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vmlDrawing1.vml" ContentType="application/vnd.openxmlformats-officedocument.vmlDrawing"/>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styles.xml" ContentType="application/vnd.openxmlformats-officedocument.spreadsheetml.styles+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colors5.xml" ContentType="application/vnd.ms-office.chartcolorstyle+xml"/>
  <Override PartName="/xl/charts/style4.xml" ContentType="application/vnd.ms-office.chartstyle+xml"/>
  <Override PartName="/xl/charts/style5.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olors7.xml" ContentType="application/vnd.ms-office.chartcolorstyle+xml"/>
  <Override PartName="/xl/charts/style6.xml" ContentType="application/vnd.ms-office.chartstyle+xml"/>
  <Override PartName="/xl/charts/style7.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2.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Lead Management" sheetId="2" state="visible" r:id="rId4"/>
    <sheet name="Consultation" sheetId="3" state="visible" r:id="rId5"/>
    <sheet name="Customers" sheetId="4" state="visible" r:id="rId6"/>
    <sheet name="Contracts" sheetId="5" state="visible" r:id="rId7"/>
    <sheet name="Process Tracking" sheetId="6" state="visible" r:id="rId8"/>
    <sheet name="Finance" sheetId="7" state="visible" r:id="rId9"/>
    <sheet name="Documents" sheetId="8" state="visible" r:id="rId10"/>
    <sheet name="Employee Management" sheetId="9" state="visible" r:id="rId11"/>
    <sheet name="Marketing &amp; Advertising" sheetId="10" state="visible" r:id="rId12"/>
    <sheet name="Reports" sheetId="11" state="visible" r:id="rId13"/>
    <sheet name="Settings" sheetId="12" state="visible" r:id="rId14"/>
  </sheets>
  <definedNames>
    <definedName function="false" hidden="false" localSheetId="2" name="_xlnm.Print_Titles" vbProcedure="false">Consultation!$1:$3</definedName>
    <definedName function="false" hidden="true" localSheetId="2" name="_xlnm._FilterDatabase" vbProcedure="false">Consultation!$A$3:$Q$203</definedName>
    <definedName function="false" hidden="false" localSheetId="4" name="_xlnm.Print_Titles" vbProcedure="false">Contracts!$1:$3</definedName>
    <definedName function="false" hidden="true" localSheetId="4" name="_xlnm._FilterDatabase" vbProcedure="false">Contracts!$A$3:$Q$203</definedName>
    <definedName function="false" hidden="false" localSheetId="3" name="_xlnm.Print_Titles" vbProcedure="false">Customers!$1:$3</definedName>
    <definedName function="false" hidden="true" localSheetId="3" name="_xlnm._FilterDatabase" vbProcedure="false">Customers!$A$3:$U$203</definedName>
    <definedName function="false" hidden="false" localSheetId="7" name="_xlnm.Print_Titles" vbProcedure="false">Documents!$1:$3</definedName>
    <definedName function="false" hidden="true" localSheetId="7" name="_xlnm._FilterDatabase" vbProcedure="false">Documents!$A$3:$U$203</definedName>
    <definedName function="false" hidden="false" localSheetId="8" name="_xlnm.Print_Titles" vbProcedure="false">'Employee Management'!$1:$3</definedName>
    <definedName function="false" hidden="true" localSheetId="8" name="_xlnm._FilterDatabase" vbProcedure="false">'Employee Management'!$A$3:$Q$203</definedName>
    <definedName function="false" hidden="false" localSheetId="6" name="_xlnm.Print_Titles" vbProcedure="false">Finance!$1:$3</definedName>
    <definedName function="false" hidden="true" localSheetId="6" name="_xlnm._FilterDatabase" vbProcedure="false">Finance!$A$3:$O$203</definedName>
    <definedName function="false" hidden="false" localSheetId="1" name="_xlnm.Print_Titles" vbProcedure="false">'Lead Management'!$1:$3</definedName>
    <definedName function="false" hidden="true" localSheetId="1" name="_xlnm._FilterDatabase" vbProcedure="false">'Lead Management'!$A$3:$X$203</definedName>
    <definedName function="false" hidden="false" localSheetId="9" name="_xlnm.Print_Titles" vbProcedure="false">'Marketing &amp; Advertising'!$1:$3</definedName>
    <definedName function="false" hidden="true" localSheetId="9" name="_xlnm._FilterDatabase" vbProcedure="false">'Marketing &amp; Advertising'!$A$3:$S$203</definedName>
    <definedName function="false" hidden="false" localSheetId="5" name="_xlnm.Print_Titles" vbProcedure="false">'Process Tracking'!$1:$4</definedName>
    <definedName function="false" hidden="true" localSheetId="5" name="_xlnm._FilterDatabase" vbProcedure="false">'Process Tracking'!$A$4:$BM$203</definedName>
  </definedNames>
  <calcPr iterateCount="100" refMode="A1" iterate="false" iterateDelta="0.0001"/>
  <extLst>
    <ext xmlns:loext="http://schemas.libreoffice.org/" uri="{7626C862-2A13-11E5-B345-FEFF819CDC9F}">
      <loext:extCalcPr stringRefSyntax="ExcelA1"/>
    </ext>
  </extLst>
</workbook>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CRM</author>
  </authors>
  <commentList>
    <comment ref="B5" authorId="0">
      <text>
        <r>
          <rPr>
            <sz val="10"/>
            <rFont val="Arial"/>
            <family val="2"/>
          </rPr>
          <t xml:space="preserve">Change the company name here - it appears in the title bar of every worksheet only after you rebuild titles manually.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-85</xdr:colOff>
                <xdr:row>1</xdr:row>
                <xdr:rowOff>-6</xdr:rowOff>
              </xdr:to>
            </anchor>
          </commentPr>
        </mc:Choice>
        <mc:Fallback/>
      </mc:AlternateContent>
    </comment>
    <comment ref="B8" authorId="0">
      <text>
        <r>
          <rPr>
            <sz val="10"/>
            <rFont val="Arial"/>
            <family val="2"/>
          </rPr>
          <t xml:space="preserve">Standard in-office consultation fee. New rows on the Consultation sheet pick this value up automatically.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-85</xdr:colOff>
                <xdr:row>1</xdr:row>
                <xdr:rowOff>-6</xdr:rowOff>
              </xdr:to>
            </anchor>
          </commentPr>
        </mc:Choice>
        <mc:Fallback/>
      </mc:AlternateContent>
    </comment>
  </commentList>
</comments>
</file>

<file path=xl/sharedStrings.xml><?xml version="1.0" encoding="utf-8"?>
<sst xmlns="http://schemas.openxmlformats.org/spreadsheetml/2006/main" count="2437" uniqueCount="818">
  <si>
    <t xml:space="preserve">VUSLAT RECRUITMENT COMPANY  |  EXECUTIVE DASHBOARD</t>
  </si>
  <si>
    <t xml:space="preserve">Every figure below is a live formula. Add or edit rows on the operational sheets and this page updates itself - press F9 if Excel is in manual calculation mode. The records currently loaded are sample data - see section 4 of the Settings sheet before going live.</t>
  </si>
  <si>
    <t xml:space="preserve">OPERATIONAL KEY PERFORMANCE INDICATORS</t>
  </si>
  <si>
    <t xml:space="preserve">TOTAL LEADS</t>
  </si>
  <si>
    <t xml:space="preserve">CUSTOMERS CONTACTED</t>
  </si>
  <si>
    <t xml:space="preserve">CONSULTATION APPOINTMENTS</t>
  </si>
  <si>
    <t xml:space="preserve">CONSULTATIONS COMPLETED</t>
  </si>
  <si>
    <t xml:space="preserve">CONTRACTS SIGNED</t>
  </si>
  <si>
    <t xml:space="preserve">ACTIVE CUSTOMERS</t>
  </si>
  <si>
    <t xml:space="preserve">VISA APPLICATIONS SUBMITTED</t>
  </si>
  <si>
    <t xml:space="preserve">APPROVED VISAS</t>
  </si>
  <si>
    <t xml:space="preserve">REJECTED VISAS</t>
  </si>
  <si>
    <t xml:space="preserve">WORKERS SENT TO EUROPE</t>
  </si>
  <si>
    <t xml:space="preserve">PENDING CASES</t>
  </si>
  <si>
    <t xml:space="preserve">COMPLETED CASES</t>
  </si>
  <si>
    <t xml:space="preserve">FINANCIAL KEY PERFORMANCE INDICATORS  (all amounts in TJS)</t>
  </si>
  <si>
    <t xml:space="preserve">TODAY'S REVENUE</t>
  </si>
  <si>
    <t xml:space="preserve">MONTHLY REVENUE</t>
  </si>
  <si>
    <t xml:space="preserve">TOTAL PAYMENTS COLLECTED</t>
  </si>
  <si>
    <t xml:space="preserve">CONSULTATION FEES</t>
  </si>
  <si>
    <t xml:space="preserve">TOTAL REVENUE</t>
  </si>
  <si>
    <t xml:space="preserve">OUTSTANDING PAYMENTS</t>
  </si>
  <si>
    <t xml:space="preserve">ACCOUNTS RECEIVABLE</t>
  </si>
  <si>
    <t xml:space="preserve">TOTAL CONTRACT VALUE</t>
  </si>
  <si>
    <t xml:space="preserve">COMPANY EXPENSES</t>
  </si>
  <si>
    <t xml:space="preserve">NET PROFIT</t>
  </si>
  <si>
    <t xml:space="preserve">PROFIT MARGIN</t>
  </si>
  <si>
    <t xml:space="preserve">COLLECTION RATE</t>
  </si>
  <si>
    <t xml:space="preserve">PERFORMANCE CHARTS</t>
  </si>
  <si>
    <t xml:space="preserve">VUSLAT RECRUITMENT COMPANY  |  LEAD MANAGEMENT</t>
  </si>
  <si>
    <t xml:space="preserve">One row per potential customer. Grey columns (I, U, V, W) are calculated - do not type in them. Use the drop-downs in columns G, K, L, M, N, O, Q, R.</t>
  </si>
  <si>
    <t xml:space="preserve">Lead ID</t>
  </si>
  <si>
    <t xml:space="preserve">Full Name</t>
  </si>
  <si>
    <t xml:space="preserve">Phone Number</t>
  </si>
  <si>
    <t xml:space="preserve">WhatsApp</t>
  </si>
  <si>
    <t xml:space="preserve">Email</t>
  </si>
  <si>
    <t xml:space="preserve">Passport Number</t>
  </si>
  <si>
    <t xml:space="preserve">Nationality</t>
  </si>
  <si>
    <t xml:space="preserve">Date of Birth</t>
  </si>
  <si>
    <t xml:space="preserve">Age</t>
  </si>
  <si>
    <t xml:space="preserve">Profession</t>
  </si>
  <si>
    <t xml:space="preserve">Education</t>
  </si>
  <si>
    <t xml:space="preserve">Russian Language Level</t>
  </si>
  <si>
    <t xml:space="preserve">English Language Level</t>
  </si>
  <si>
    <t xml:space="preserve">Preferred European Country</t>
  </si>
  <si>
    <t xml:space="preserve">Lead Source</t>
  </si>
  <si>
    <t xml:space="preserve">Registration Date</t>
  </si>
  <si>
    <t xml:space="preserve">Assigned Sales Manager</t>
  </si>
  <si>
    <t xml:space="preserve">Lead Status</t>
  </si>
  <si>
    <t xml:space="preserve">Last Contact Date</t>
  </si>
  <si>
    <t xml:space="preserve">Next Follow-up Date</t>
  </si>
  <si>
    <t xml:space="preserve">Days Since Registration</t>
  </si>
  <si>
    <t xml:space="preserve">Consultation Booked</t>
  </si>
  <si>
    <t xml:space="preserve">Converted to Customer</t>
  </si>
  <si>
    <t xml:space="preserve">Notes</t>
  </si>
  <si>
    <t xml:space="preserve">LD-001</t>
  </si>
  <si>
    <t xml:space="preserve">Firdavs Rahmonov</t>
  </si>
  <si>
    <t xml:space="preserve">+992 91 203 1137</t>
  </si>
  <si>
    <t xml:space="preserve">firdavs1@mail.tj</t>
  </si>
  <si>
    <t xml:space="preserve">A4101373</t>
  </si>
  <si>
    <t xml:space="preserve">Tajik</t>
  </si>
  <si>
    <t xml:space="preserve">Truck Driver (CE)</t>
  </si>
  <si>
    <t xml:space="preserve">Vocational</t>
  </si>
  <si>
    <t xml:space="preserve">Intermediate</t>
  </si>
  <si>
    <t xml:space="preserve">Basic</t>
  </si>
  <si>
    <t xml:space="preserve">Poland</t>
  </si>
  <si>
    <t xml:space="preserve">Instagram</t>
  </si>
  <si>
    <t xml:space="preserve">Nilufar Karimova</t>
  </si>
  <si>
    <t xml:space="preserve">Consultation Completed</t>
  </si>
  <si>
    <t xml:space="preserve">Certified welder, 6 years experience in Russia.</t>
  </si>
  <si>
    <t xml:space="preserve">LD-002</t>
  </si>
  <si>
    <t xml:space="preserve">Nilufar Sharipova</t>
  </si>
  <si>
    <t xml:space="preserve">+992 92 206 1274</t>
  </si>
  <si>
    <t xml:space="preserve">nilufar2@mail.tj</t>
  </si>
  <si>
    <t xml:space="preserve">A4102746</t>
  </si>
  <si>
    <t xml:space="preserve">Nurse</t>
  </si>
  <si>
    <t xml:space="preserve">Bachelor</t>
  </si>
  <si>
    <t xml:space="preserve">Advanced</t>
  </si>
  <si>
    <t xml:space="preserve">Germany</t>
  </si>
  <si>
    <t xml:space="preserve">Jamshed Sattorov</t>
  </si>
  <si>
    <t xml:space="preserve">LD-003</t>
  </si>
  <si>
    <t xml:space="preserve">Jamshed Karimov</t>
  </si>
  <si>
    <t xml:space="preserve">+992 93 209 1411</t>
  </si>
  <si>
    <t xml:space="preserve">jamshed3@mail.tj</t>
  </si>
  <si>
    <t xml:space="preserve">A4104119</t>
  </si>
  <si>
    <t xml:space="preserve">Seamstress</t>
  </si>
  <si>
    <t xml:space="preserve">Master</t>
  </si>
  <si>
    <t xml:space="preserve">Fluent</t>
  </si>
  <si>
    <t xml:space="preserve">Czech Republic</t>
  </si>
  <si>
    <t xml:space="preserve">Facebook</t>
  </si>
  <si>
    <t xml:space="preserve">Dilnoza Aliyeva</t>
  </si>
  <si>
    <t xml:space="preserve">Has valid Schengen refusal history - checked, cleared.</t>
  </si>
  <si>
    <t xml:space="preserve">LD-004</t>
  </si>
  <si>
    <t xml:space="preserve">Zarina Nazriyeva</t>
  </si>
  <si>
    <t xml:space="preserve">+992 94 212 1548</t>
  </si>
  <si>
    <t xml:space="preserve">zarina4@mail.tj</t>
  </si>
  <si>
    <t xml:space="preserve">A4105492</t>
  </si>
  <si>
    <t xml:space="preserve">Forklift Operator</t>
  </si>
  <si>
    <t xml:space="preserve">Secondary</t>
  </si>
  <si>
    <t xml:space="preserve">None</t>
  </si>
  <si>
    <t xml:space="preserve">LD-005</t>
  </si>
  <si>
    <t xml:space="preserve">Bakhtiyor Umarov</t>
  </si>
  <si>
    <t xml:space="preserve">+992 95 215 1685</t>
  </si>
  <si>
    <t xml:space="preserve">bakhtiyor5@mail.tj</t>
  </si>
  <si>
    <t xml:space="preserve">A4106865</t>
  </si>
  <si>
    <t xml:space="preserve">Welder</t>
  </si>
  <si>
    <t xml:space="preserve">Slovakia</t>
  </si>
  <si>
    <t xml:space="preserve">Website</t>
  </si>
  <si>
    <t xml:space="preserve">Driving licence category CE, ready to travel immediately.</t>
  </si>
  <si>
    <t xml:space="preserve">LD-006</t>
  </si>
  <si>
    <t xml:space="preserve">Manizha Qodirova</t>
  </si>
  <si>
    <t xml:space="preserve">+992 96 218 1822</t>
  </si>
  <si>
    <t xml:space="preserve">manizha6@mail.tj</t>
  </si>
  <si>
    <t xml:space="preserve">A4108238</t>
  </si>
  <si>
    <t xml:space="preserve">Referral</t>
  </si>
  <si>
    <t xml:space="preserve">LD-007</t>
  </si>
  <si>
    <t xml:space="preserve">Rustam Sattorov</t>
  </si>
  <si>
    <t xml:space="preserve">+992 97 221 1959</t>
  </si>
  <si>
    <t xml:space="preserve">rustam7@mail.tj</t>
  </si>
  <si>
    <t xml:space="preserve">A4109611</t>
  </si>
  <si>
    <t xml:space="preserve">LD-008</t>
  </si>
  <si>
    <t xml:space="preserve">+992 90 224 2096</t>
  </si>
  <si>
    <t xml:space="preserve">dilnoza8@mail.tj</t>
  </si>
  <si>
    <t xml:space="preserve">A4110984</t>
  </si>
  <si>
    <t xml:space="preserve">Lithuania</t>
  </si>
  <si>
    <t xml:space="preserve">Wants family reunification later, informed about the procedure.</t>
  </si>
  <si>
    <t xml:space="preserve">LD-009</t>
  </si>
  <si>
    <t xml:space="preserve">Sherali Yusupov</t>
  </si>
  <si>
    <t xml:space="preserve">+992 91 227 2233</t>
  </si>
  <si>
    <t xml:space="preserve">sherali9@mail.tj</t>
  </si>
  <si>
    <t xml:space="preserve">A4112357</t>
  </si>
  <si>
    <t xml:space="preserve">Uzbek</t>
  </si>
  <si>
    <t xml:space="preserve">LD-010</t>
  </si>
  <si>
    <t xml:space="preserve">Malika Ismoilova</t>
  </si>
  <si>
    <t xml:space="preserve">+992 92 230 2370</t>
  </si>
  <si>
    <t xml:space="preserve">malika10@mail.tj</t>
  </si>
  <si>
    <t xml:space="preserve">A4113730</t>
  </si>
  <si>
    <t xml:space="preserve">LD-011</t>
  </si>
  <si>
    <t xml:space="preserve">Farrukh Davlatov</t>
  </si>
  <si>
    <t xml:space="preserve">+992 93 233 2507</t>
  </si>
  <si>
    <t xml:space="preserve">farrukh11@mail.tj</t>
  </si>
  <si>
    <t xml:space="preserve">A4115103</t>
  </si>
  <si>
    <t xml:space="preserve">Hungary</t>
  </si>
  <si>
    <t xml:space="preserve">LD-012</t>
  </si>
  <si>
    <t xml:space="preserve">Gulnora Safarova</t>
  </si>
  <si>
    <t xml:space="preserve">+992 94 236 2644</t>
  </si>
  <si>
    <t xml:space="preserve">gulnora12@mail.tj</t>
  </si>
  <si>
    <t xml:space="preserve">A4116476</t>
  </si>
  <si>
    <t xml:space="preserve">Romania</t>
  </si>
  <si>
    <t xml:space="preserve">Referred by CUS-006. Speaks basic Polish.</t>
  </si>
  <si>
    <t xml:space="preserve">LD-013</t>
  </si>
  <si>
    <t xml:space="preserve">Umed Nazriev</t>
  </si>
  <si>
    <t xml:space="preserve">+992 95 239 2781</t>
  </si>
  <si>
    <t xml:space="preserve">umed13@mail.tj</t>
  </si>
  <si>
    <t xml:space="preserve">A4117849</t>
  </si>
  <si>
    <t xml:space="preserve">LD-014</t>
  </si>
  <si>
    <t xml:space="preserve">Shahnoza Rajabova</t>
  </si>
  <si>
    <t xml:space="preserve">+992 96 242 2918</t>
  </si>
  <si>
    <t xml:space="preserve">shahnoza14@mail.tj</t>
  </si>
  <si>
    <t xml:space="preserve">A4119222</t>
  </si>
  <si>
    <t xml:space="preserve">LD-015</t>
  </si>
  <si>
    <t xml:space="preserve">Iskandar Mirzoev</t>
  </si>
  <si>
    <t xml:space="preserve">+992 97 245 3055</t>
  </si>
  <si>
    <t xml:space="preserve">iskandar15@mail.tj</t>
  </si>
  <si>
    <t xml:space="preserve">A4120595</t>
  </si>
  <si>
    <t xml:space="preserve">Consultation Scheduled</t>
  </si>
  <si>
    <t xml:space="preserve">LD-016</t>
  </si>
  <si>
    <t xml:space="preserve">Sitora Hakimova</t>
  </si>
  <si>
    <t xml:space="preserve">+992 90 248 3192</t>
  </si>
  <si>
    <t xml:space="preserve">sitora16@mail.tj</t>
  </si>
  <si>
    <t xml:space="preserve">A4121968</t>
  </si>
  <si>
    <t xml:space="preserve">LD-017</t>
  </si>
  <si>
    <t xml:space="preserve">Daler Ashurov</t>
  </si>
  <si>
    <t xml:space="preserve">+992 91 251 3329</t>
  </si>
  <si>
    <t xml:space="preserve">daler17@mail.tj</t>
  </si>
  <si>
    <t xml:space="preserve">A4123341</t>
  </si>
  <si>
    <t xml:space="preserve">Walk-in</t>
  </si>
  <si>
    <t xml:space="preserve">Follow-up Required</t>
  </si>
  <si>
    <t xml:space="preserve">Did not attend the consultation appointment - reschedule.</t>
  </si>
  <si>
    <t xml:space="preserve">LD-018</t>
  </si>
  <si>
    <t xml:space="preserve">Nasiba Kholova</t>
  </si>
  <si>
    <t xml:space="preserve">+992 92 254 3466</t>
  </si>
  <si>
    <t xml:space="preserve">nasiba18@mail.tj</t>
  </si>
  <si>
    <t xml:space="preserve">A4124714</t>
  </si>
  <si>
    <t xml:space="preserve">Not Interested</t>
  </si>
  <si>
    <t xml:space="preserve">Decided to travel to Russia instead. Archived.</t>
  </si>
  <si>
    <t xml:space="preserve">LD-019</t>
  </si>
  <si>
    <t xml:space="preserve">Parviz Odinaev</t>
  </si>
  <si>
    <t xml:space="preserve">+992 93 257 3603</t>
  </si>
  <si>
    <t xml:space="preserve">parviz19@mail.tj</t>
  </si>
  <si>
    <t xml:space="preserve">A4126087</t>
  </si>
  <si>
    <t xml:space="preserve">New Lead</t>
  </si>
  <si>
    <t xml:space="preserve">LD-020</t>
  </si>
  <si>
    <t xml:space="preserve">Mavluda Ergasheva</t>
  </si>
  <si>
    <t xml:space="preserve">+992 94 260 3740</t>
  </si>
  <si>
    <t xml:space="preserve">mavluda20@mail.tj</t>
  </si>
  <si>
    <t xml:space="preserve">A4127460</t>
  </si>
  <si>
    <t xml:space="preserve">Contacted</t>
  </si>
  <si>
    <t xml:space="preserve">LD-021</t>
  </si>
  <si>
    <t xml:space="preserve">Sorbon Latifov</t>
  </si>
  <si>
    <t xml:space="preserve">+992 95 263 3877</t>
  </si>
  <si>
    <t xml:space="preserve">sorbon21@mail.tj</t>
  </si>
  <si>
    <t xml:space="preserve">A4128833</t>
  </si>
  <si>
    <t xml:space="preserve">LD-022</t>
  </si>
  <si>
    <t xml:space="preserve">Zulfiya Muminova</t>
  </si>
  <si>
    <t xml:space="preserve">+992 96 266 4014</t>
  </si>
  <si>
    <t xml:space="preserve">zulfiya22@mail.tj</t>
  </si>
  <si>
    <t xml:space="preserve">A4130206</t>
  </si>
  <si>
    <t xml:space="preserve">No Answer</t>
  </si>
  <si>
    <t xml:space="preserve">Requested a call back after Ramadan.</t>
  </si>
  <si>
    <t xml:space="preserve">LD-023</t>
  </si>
  <si>
    <t xml:space="preserve">Amirbek Turaev</t>
  </si>
  <si>
    <t xml:space="preserve">+992 97 269 4151</t>
  </si>
  <si>
    <t xml:space="preserve">amirbek23@mail.tj</t>
  </si>
  <si>
    <t xml:space="preserve">A4131579</t>
  </si>
  <si>
    <t xml:space="preserve">LD-024</t>
  </si>
  <si>
    <t xml:space="preserve">Nigina Saidova</t>
  </si>
  <si>
    <t xml:space="preserve">+992 90 272 4288</t>
  </si>
  <si>
    <t xml:space="preserve">nigina24@mail.tj</t>
  </si>
  <si>
    <t xml:space="preserve">A4132952</t>
  </si>
  <si>
    <t xml:space="preserve">Netherlands</t>
  </si>
  <si>
    <t xml:space="preserve">LD-025</t>
  </si>
  <si>
    <t xml:space="preserve">Behruz Rahimov</t>
  </si>
  <si>
    <t xml:space="preserve">+992 91 275 4425</t>
  </si>
  <si>
    <t xml:space="preserve">behruz25@mail.tj</t>
  </si>
  <si>
    <t xml:space="preserve">A4134325</t>
  </si>
  <si>
    <t xml:space="preserve">LD-026</t>
  </si>
  <si>
    <t xml:space="preserve">Mehrangez Boboeva</t>
  </si>
  <si>
    <t xml:space="preserve">+992 92 278 4562</t>
  </si>
  <si>
    <t xml:space="preserve">mehrangez26@mail.tj</t>
  </si>
  <si>
    <t xml:space="preserve">A4135698</t>
  </si>
  <si>
    <t xml:space="preserve">Portugal</t>
  </si>
  <si>
    <t xml:space="preserve">On Hold</t>
  </si>
  <si>
    <t xml:space="preserve">Walk-in from the Dushanbe office, brochure handed out.</t>
  </si>
  <si>
    <t xml:space="preserve">LD-027</t>
  </si>
  <si>
    <t xml:space="preserve">Sanjar Ochilov</t>
  </si>
  <si>
    <t xml:space="preserve">+992 93 281 4699</t>
  </si>
  <si>
    <t xml:space="preserve">sanjar27@mail.tj</t>
  </si>
  <si>
    <t xml:space="preserve">A4137071</t>
  </si>
  <si>
    <t xml:space="preserve">LD-028</t>
  </si>
  <si>
    <t xml:space="preserve">Firuza Yatimova</t>
  </si>
  <si>
    <t xml:space="preserve">+992 94 284 4836</t>
  </si>
  <si>
    <t xml:space="preserve">firuza28@mail.tj</t>
  </si>
  <si>
    <t xml:space="preserve">A4138444</t>
  </si>
  <si>
    <t xml:space="preserve">LD-029</t>
  </si>
  <si>
    <t xml:space="preserve">Komron Salimov</t>
  </si>
  <si>
    <t xml:space="preserve">+992 95 287 4973</t>
  </si>
  <si>
    <t xml:space="preserve">komron29@mail.tj</t>
  </si>
  <si>
    <t xml:space="preserve">A4139817</t>
  </si>
  <si>
    <t xml:space="preserve">Croatia</t>
  </si>
  <si>
    <t xml:space="preserve">LD-030</t>
  </si>
  <si>
    <t xml:space="preserve">Anisa Juraeva</t>
  </si>
  <si>
    <t xml:space="preserve">+992 96 290 5110</t>
  </si>
  <si>
    <t xml:space="preserve">anisa30@mail.tj</t>
  </si>
  <si>
    <t xml:space="preserve">A4141190</t>
  </si>
  <si>
    <t xml:space="preserve">VUSLAT RECRUITMENT COMPANY  |  CONSULTATION</t>
  </si>
  <si>
    <t xml:space="preserve">Every candidate pays a 50 TJS in-office consultation fee. Type the Lead ID in column B - the name, phone and fee fill in automatically.</t>
  </si>
  <si>
    <t xml:space="preserve">Consultation ID</t>
  </si>
  <si>
    <t xml:space="preserve">Phone</t>
  </si>
  <si>
    <t xml:space="preserve">Consultation Date</t>
  </si>
  <si>
    <t xml:space="preserve">Time</t>
  </si>
  <si>
    <t xml:space="preserve">Consultant</t>
  </si>
  <si>
    <t xml:space="preserve">Consultation Fee (TJS)</t>
  </si>
  <si>
    <t xml:space="preserve">Payment Status</t>
  </si>
  <si>
    <t xml:space="preserve">Consultation Status</t>
  </si>
  <si>
    <t xml:space="preserve">Customer Evaluation</t>
  </si>
  <si>
    <t xml:space="preserve">Recommended Country</t>
  </si>
  <si>
    <t xml:space="preserve">Recommended Job</t>
  </si>
  <si>
    <t xml:space="preserve">Next Action</t>
  </si>
  <si>
    <t xml:space="preserve">Consultant Notes</t>
  </si>
  <si>
    <t xml:space="preserve">Days Since Consultation</t>
  </si>
  <si>
    <t xml:space="preserve">CNS-001</t>
  </si>
  <si>
    <t xml:space="preserve">10:00</t>
  </si>
  <si>
    <t xml:space="preserve">Zarina Nazarova</t>
  </si>
  <si>
    <t xml:space="preserve">Paid</t>
  </si>
  <si>
    <t xml:space="preserve">Completed</t>
  </si>
  <si>
    <t xml:space="preserve">Strong Candidate</t>
  </si>
  <si>
    <t xml:space="preserve">Prepare Contract</t>
  </si>
  <si>
    <t xml:space="preserve">CNS-002</t>
  </si>
  <si>
    <t xml:space="preserve">11:30</t>
  </si>
  <si>
    <t xml:space="preserve">Warehouse Operator</t>
  </si>
  <si>
    <t xml:space="preserve">CNS-003</t>
  </si>
  <si>
    <t xml:space="preserve">12:00</t>
  </si>
  <si>
    <t xml:space="preserve">Good Candidate</t>
  </si>
  <si>
    <t xml:space="preserve">Construction Worker</t>
  </si>
  <si>
    <t xml:space="preserve">CNS-004</t>
  </si>
  <si>
    <t xml:space="preserve">13:30</t>
  </si>
  <si>
    <t xml:space="preserve">Electrician</t>
  </si>
  <si>
    <t xml:space="preserve">CNS-005</t>
  </si>
  <si>
    <t xml:space="preserve">14:00</t>
  </si>
  <si>
    <t xml:space="preserve">CNS-006</t>
  </si>
  <si>
    <t xml:space="preserve">15:30</t>
  </si>
  <si>
    <t xml:space="preserve">Chef</t>
  </si>
  <si>
    <t xml:space="preserve">CNS-007</t>
  </si>
  <si>
    <t xml:space="preserve">16:00</t>
  </si>
  <si>
    <t xml:space="preserve">CNS-008</t>
  </si>
  <si>
    <t xml:space="preserve">09:30</t>
  </si>
  <si>
    <t xml:space="preserve">CNS-009</t>
  </si>
  <si>
    <t xml:space="preserve">Average Candidate</t>
  </si>
  <si>
    <t xml:space="preserve">Plumber</t>
  </si>
  <si>
    <t xml:space="preserve">CNS-010</t>
  </si>
  <si>
    <t xml:space="preserve">Painter</t>
  </si>
  <si>
    <t xml:space="preserve">CNS-011</t>
  </si>
  <si>
    <t xml:space="preserve">Agricultural Worker</t>
  </si>
  <si>
    <t xml:space="preserve">CNS-012</t>
  </si>
  <si>
    <t xml:space="preserve">Cleaner</t>
  </si>
  <si>
    <t xml:space="preserve">CNS-013</t>
  </si>
  <si>
    <t xml:space="preserve">Weak Candidate</t>
  </si>
  <si>
    <t xml:space="preserve">Auto Mechanic</t>
  </si>
  <si>
    <t xml:space="preserve">Close - Not Suitable</t>
  </si>
  <si>
    <t xml:space="preserve">Weak documents, diploma not apostilled. Advised to prepare first.</t>
  </si>
  <si>
    <t xml:space="preserve">CNS-014</t>
  </si>
  <si>
    <t xml:space="preserve">Await Client Decision</t>
  </si>
  <si>
    <t xml:space="preserve">Good profile but wants to postpone the departure to next year.</t>
  </si>
  <si>
    <t xml:space="preserve">CNS-015</t>
  </si>
  <si>
    <t xml:space="preserve">Pending</t>
  </si>
  <si>
    <t xml:space="preserve">Scheduled</t>
  </si>
  <si>
    <t xml:space="preserve">Collect Documents</t>
  </si>
  <si>
    <t xml:space="preserve">CNS-016</t>
  </si>
  <si>
    <t xml:space="preserve">CNS-017</t>
  </si>
  <si>
    <t xml:space="preserve">Cancelled</t>
  </si>
  <si>
    <t xml:space="preserve">No-show</t>
  </si>
  <si>
    <t xml:space="preserve">Schedule Follow-up</t>
  </si>
  <si>
    <t xml:space="preserve">Client did not come to the office. Fee not collected.</t>
  </si>
  <si>
    <t xml:space="preserve">CNS-018</t>
  </si>
  <si>
    <t xml:space="preserve">Client cancelled one day before the appointment.</t>
  </si>
  <si>
    <t xml:space="preserve">VUSLAT RECRUITMENT COMPANY  |  CUSTOMERS</t>
  </si>
  <si>
    <t xml:space="preserve">Type the Customer ID, Lead ID, destination country and manager. Everything else - name, price, paid, balance, current stage and document progress - is calculated from the other sheets.</t>
  </si>
  <si>
    <t xml:space="preserve">Customer ID</t>
  </si>
  <si>
    <t xml:space="preserve">Destination Country</t>
  </si>
  <si>
    <t xml:space="preserve">Job Position</t>
  </si>
  <si>
    <t xml:space="preserve">Employer</t>
  </si>
  <si>
    <t xml:space="preserve">Contract No</t>
  </si>
  <si>
    <t xml:space="preserve">Contract Date</t>
  </si>
  <si>
    <t xml:space="preserve">Assigned Manager</t>
  </si>
  <si>
    <t xml:space="preserve">Package Price (TJS)</t>
  </si>
  <si>
    <t xml:space="preserve">Total Paid (TJS)</t>
  </si>
  <si>
    <t xml:space="preserve">Balance (TJS)</t>
  </si>
  <si>
    <t xml:space="preserve">Payment Progress</t>
  </si>
  <si>
    <t xml:space="preserve">Current Stage</t>
  </si>
  <si>
    <t xml:space="preserve">Documents %</t>
  </si>
  <si>
    <t xml:space="preserve">Customer Status</t>
  </si>
  <si>
    <t xml:space="preserve">CUS-001</t>
  </si>
  <si>
    <t xml:space="preserve">Stal-Bud Sp. z o.o.</t>
  </si>
  <si>
    <t xml:space="preserve">CTR-2026-001</t>
  </si>
  <si>
    <t xml:space="preserve">CUS-002</t>
  </si>
  <si>
    <t xml:space="preserve">Nordbau GmbH</t>
  </si>
  <si>
    <t xml:space="preserve">CTR-2026-002</t>
  </si>
  <si>
    <t xml:space="preserve">CUS-003</t>
  </si>
  <si>
    <t xml:space="preserve">Moravia Logistic a.s.</t>
  </si>
  <si>
    <t xml:space="preserve">CTR-2026-003</t>
  </si>
  <si>
    <t xml:space="preserve">Active</t>
  </si>
  <si>
    <t xml:space="preserve">CUS-004</t>
  </si>
  <si>
    <t xml:space="preserve">CTR-2026-004</t>
  </si>
  <si>
    <t xml:space="preserve">CUS-005</t>
  </si>
  <si>
    <t xml:space="preserve">Tatra Works s.r.o.</t>
  </si>
  <si>
    <t xml:space="preserve">CTR-2026-005</t>
  </si>
  <si>
    <t xml:space="preserve">CUS-006</t>
  </si>
  <si>
    <t xml:space="preserve">CTR-2026-006</t>
  </si>
  <si>
    <t xml:space="preserve">Visa refused by the German embassy - appeal not requested, case closed.</t>
  </si>
  <si>
    <t xml:space="preserve">CUS-007</t>
  </si>
  <si>
    <t xml:space="preserve">CTR-2026-007</t>
  </si>
  <si>
    <t xml:space="preserve">CUS-008</t>
  </si>
  <si>
    <t xml:space="preserve">Baltic Logistics UAB</t>
  </si>
  <si>
    <t xml:space="preserve">CTR-2026-008</t>
  </si>
  <si>
    <t xml:space="preserve">CUS-009</t>
  </si>
  <si>
    <t xml:space="preserve">CTR-2026-009</t>
  </si>
  <si>
    <t xml:space="preserve">Payment 3 is overdue, accountant notified.</t>
  </si>
  <si>
    <t xml:space="preserve">CUS-010</t>
  </si>
  <si>
    <t xml:space="preserve">CTR-2026-010</t>
  </si>
  <si>
    <t xml:space="preserve">CUS-011</t>
  </si>
  <si>
    <t xml:space="preserve">Duna Ipari Kft.</t>
  </si>
  <si>
    <t xml:space="preserve">CTR-2026-011</t>
  </si>
  <si>
    <t xml:space="preserve">Waiting for the apostilled diploma from the client.</t>
  </si>
  <si>
    <t xml:space="preserve">CUS-012</t>
  </si>
  <si>
    <t xml:space="preserve">Carpat Agro SRL</t>
  </si>
  <si>
    <t xml:space="preserve">CTR-2026-012</t>
  </si>
  <si>
    <t xml:space="preserve">VUSLAT RECRUITMENT COMPANY  |  CONTRACTS</t>
  </si>
  <si>
    <t xml:space="preserve">The four instalments are calculated from the package price and the percentages on the Settings sheet. Column M must read OK on every row.</t>
  </si>
  <si>
    <t xml:space="preserve">Contract Type</t>
  </si>
  <si>
    <t xml:space="preserve">Payment 1 - Contract</t>
  </si>
  <si>
    <t xml:space="preserve">Payment 2 - Documents</t>
  </si>
  <si>
    <t xml:space="preserve">Payment 3 - Work Permit</t>
  </si>
  <si>
    <t xml:space="preserve">Payment 4 - Visa Approved</t>
  </si>
  <si>
    <t xml:space="preserve">Total Scheduled (TJS)</t>
  </si>
  <si>
    <t xml:space="preserve">Check</t>
  </si>
  <si>
    <t xml:space="preserve">Signed By (Company)</t>
  </si>
  <si>
    <t xml:space="preserve">Contract Status</t>
  </si>
  <si>
    <t xml:space="preserve">Valid Until</t>
  </si>
  <si>
    <t xml:space="preserve">Standard Employment Package</t>
  </si>
  <si>
    <t xml:space="preserve">Farrukh Rahmonov</t>
  </si>
  <si>
    <t xml:space="preserve">Premium Employment Package</t>
  </si>
  <si>
    <t xml:space="preserve">Terminated</t>
  </si>
  <si>
    <t xml:space="preserve">Terminated after the visa refusal.</t>
  </si>
  <si>
    <t xml:space="preserve">VUSLAT RECRUITMENT COMPANY  |  PROCESS TRACKING</t>
  </si>
  <si>
    <t xml:space="preserve">The 14-stage customer pipeline. Set each stage to Completed / In Progress / Pending / Blocked / N-A, and enter the completion date in the Date column. Current Stage, Progress and Case Outcome update automatically. Progress is measured against the 13 stages of the successful route (Visa Rejected is the alternative branch, so a rejected case stops at 10 of 13).</t>
  </si>
  <si>
    <t xml:space="preserve">CUSTOMER &amp; CASE SUMMARY  (calculated)</t>
  </si>
  <si>
    <t xml:space="preserve">1. Contract Signed</t>
  </si>
  <si>
    <t xml:space="preserve">2. Documents Being Prepared</t>
  </si>
  <si>
    <t xml:space="preserve">3. Documents Completed</t>
  </si>
  <si>
    <t xml:space="preserve">4. Documents Sent to Employer</t>
  </si>
  <si>
    <t xml:space="preserve">5. Work Permit Issued</t>
  </si>
  <si>
    <t xml:space="preserve">6. Employment Contract Issued</t>
  </si>
  <si>
    <t xml:space="preserve">7. Embassy Appointment Booked</t>
  </si>
  <si>
    <t xml:space="preserve">8. Visa Application Submitted</t>
  </si>
  <si>
    <t xml:space="preserve">9. Visa Decision Pending</t>
  </si>
  <si>
    <t xml:space="preserve">10. Visa Approved</t>
  </si>
  <si>
    <t xml:space="preserve">11. Visa Rejected</t>
  </si>
  <si>
    <t xml:space="preserve">12. Flight Ticket Prepared</t>
  </si>
  <si>
    <t xml:space="preserve">13. Customer Departed to Europe</t>
  </si>
  <si>
    <t xml:space="preserve">14. Case Completed</t>
  </si>
  <si>
    <t xml:space="preserve">Stages Completed</t>
  </si>
  <si>
    <t xml:space="preserve">Progress</t>
  </si>
  <si>
    <t xml:space="preserve">Case Outcome</t>
  </si>
  <si>
    <t xml:space="preserve">Days in Process</t>
  </si>
  <si>
    <t xml:space="preserve">Status</t>
  </si>
  <si>
    <t xml:space="preserve">Date</t>
  </si>
  <si>
    <t xml:space="preserve">Responsible</t>
  </si>
  <si>
    <t xml:space="preserve">Comments</t>
  </si>
  <si>
    <t xml:space="preserve">Contract signed in the Dushanbe office.</t>
  </si>
  <si>
    <t xml:space="preserve">Work permit received from the employer.</t>
  </si>
  <si>
    <t xml:space="preserve">Application lodged at the embassy.</t>
  </si>
  <si>
    <t xml:space="preserve">Visa sticker issued.</t>
  </si>
  <si>
    <t xml:space="preserve">N/A</t>
  </si>
  <si>
    <t xml:space="preserve">Departure flight confirmed.</t>
  </si>
  <si>
    <t xml:space="preserve">All obligations closed, file archived.</t>
  </si>
  <si>
    <t xml:space="preserve">In Progress</t>
  </si>
  <si>
    <t xml:space="preserve">Stage in progress.</t>
  </si>
  <si>
    <t xml:space="preserve">Refusal received - client informed.</t>
  </si>
  <si>
    <t xml:space="preserve">VUSLAT RECRUITMENT COMPANY  |  FINANCE</t>
  </si>
  <si>
    <t xml:space="preserve">Left block = customer payments (4 instalments per contract). Middle block = company expenses. Right block = live totals. Only rows with Payment Status = Paid count as collected revenue.</t>
  </si>
  <si>
    <t xml:space="preserve">Invoice Number</t>
  </si>
  <si>
    <t xml:space="preserve">Customer Name</t>
  </si>
  <si>
    <t xml:space="preserve">Payment Stage</t>
  </si>
  <si>
    <t xml:space="preserve">Amount (TJS)</t>
  </si>
  <si>
    <t xml:space="preserve">Payment Date</t>
  </si>
  <si>
    <t xml:space="preserve">Payment Method</t>
  </si>
  <si>
    <t xml:space="preserve">Receipt Number</t>
  </si>
  <si>
    <t xml:space="preserve">Due Date</t>
  </si>
  <si>
    <t xml:space="preserve">Days Overdue</t>
  </si>
  <si>
    <t xml:space="preserve">Customer Total Paid (TJS)</t>
  </si>
  <si>
    <t xml:space="preserve">Remaining Balance (TJS)</t>
  </si>
  <si>
    <t xml:space="preserve">Received By</t>
  </si>
  <si>
    <t xml:space="preserve">Expense ID</t>
  </si>
  <si>
    <t xml:space="preserve">Category</t>
  </si>
  <si>
    <t xml:space="preserve">Description</t>
  </si>
  <si>
    <t xml:space="preserve">Paid To</t>
  </si>
  <si>
    <t xml:space="preserve">Approved By</t>
  </si>
  <si>
    <t xml:space="preserve">FINANCE SUMMARY (live)</t>
  </si>
  <si>
    <t xml:space="preserve">INV-2026-0001</t>
  </si>
  <si>
    <t xml:space="preserve">Bank Transfer</t>
  </si>
  <si>
    <t xml:space="preserve">RCP-0001</t>
  </si>
  <si>
    <t xml:space="preserve">Manizha Sharipova</t>
  </si>
  <si>
    <t xml:space="preserve">EXP-001</t>
  </si>
  <si>
    <t xml:space="preserve">Office Rent</t>
  </si>
  <si>
    <t xml:space="preserve">Office rent - Rudaki ave., Dushanbe</t>
  </si>
  <si>
    <t xml:space="preserve">Ismoilov Property LLC</t>
  </si>
  <si>
    <t xml:space="preserve">Total Payments Collected</t>
  </si>
  <si>
    <t xml:space="preserve">INV-2026-0002</t>
  </si>
  <si>
    <t xml:space="preserve">Mobile Money</t>
  </si>
  <si>
    <t xml:space="preserve">RCP-0002</t>
  </si>
  <si>
    <t xml:space="preserve">EXP-002</t>
  </si>
  <si>
    <t xml:space="preserve">Salaries</t>
  </si>
  <si>
    <t xml:space="preserve">Monthly staff salaries (8 employees)</t>
  </si>
  <si>
    <t xml:space="preserve">Staff payroll</t>
  </si>
  <si>
    <t xml:space="preserve">Consultation Fees Collected</t>
  </si>
  <si>
    <t xml:space="preserve">INV-2026-0003</t>
  </si>
  <si>
    <t xml:space="preserve">RCP-0003</t>
  </si>
  <si>
    <t xml:space="preserve">EXP-003</t>
  </si>
  <si>
    <t xml:space="preserve">Marketing Costs</t>
  </si>
  <si>
    <t xml:space="preserve">Instagram / Facebook advertising budget</t>
  </si>
  <si>
    <t xml:space="preserve">Cash</t>
  </si>
  <si>
    <t xml:space="preserve">Meta Platforms</t>
  </si>
  <si>
    <t xml:space="preserve">Total Revenue</t>
  </si>
  <si>
    <t xml:space="preserve">INV-2026-0004</t>
  </si>
  <si>
    <t xml:space="preserve">RCP-0004</t>
  </si>
  <si>
    <t xml:space="preserve">EXP-004</t>
  </si>
  <si>
    <t xml:space="preserve">Visa Expenses</t>
  </si>
  <si>
    <t xml:space="preserve">Embassy fees, translations, apostille</t>
  </si>
  <si>
    <t xml:space="preserve">Embassy / Notary</t>
  </si>
  <si>
    <t xml:space="preserve">Payments Still Pending</t>
  </si>
  <si>
    <t xml:space="preserve">INV-2026-0005</t>
  </si>
  <si>
    <t xml:space="preserve">RCP-0005</t>
  </si>
  <si>
    <t xml:space="preserve">EXP-005</t>
  </si>
  <si>
    <t xml:space="preserve">Miscellaneous Expenses</t>
  </si>
  <si>
    <t xml:space="preserve">Utilities, stationery, transport</t>
  </si>
  <si>
    <t xml:space="preserve">Various</t>
  </si>
  <si>
    <t xml:space="preserve">Payments Overdue</t>
  </si>
  <si>
    <t xml:space="preserve">INV-2026-0006</t>
  </si>
  <si>
    <t xml:space="preserve">RCP-0006</t>
  </si>
  <si>
    <t xml:space="preserve">EXP-006</t>
  </si>
  <si>
    <t xml:space="preserve">Outstanding Payments (pending + overdue)</t>
  </si>
  <si>
    <t xml:space="preserve">INV-2026-0007</t>
  </si>
  <si>
    <t xml:space="preserve">RCP-0007</t>
  </si>
  <si>
    <t xml:space="preserve">EXP-007</t>
  </si>
  <si>
    <t xml:space="preserve">Accounts Receivable (all balances)</t>
  </si>
  <si>
    <t xml:space="preserve">INV-2026-0008</t>
  </si>
  <si>
    <t xml:space="preserve">RCP-0008</t>
  </si>
  <si>
    <t xml:space="preserve">EXP-008</t>
  </si>
  <si>
    <t xml:space="preserve">Total Contract Value</t>
  </si>
  <si>
    <t xml:space="preserve">INV-2026-0009</t>
  </si>
  <si>
    <t xml:space="preserve">RCP-0009</t>
  </si>
  <si>
    <t xml:space="preserve">EXP-009</t>
  </si>
  <si>
    <t xml:space="preserve">INV-2026-0010</t>
  </si>
  <si>
    <t xml:space="preserve">RCP-0010</t>
  </si>
  <si>
    <t xml:space="preserve">EXP-010</t>
  </si>
  <si>
    <t xml:space="preserve">INV-2026-0011</t>
  </si>
  <si>
    <t xml:space="preserve">RCP-0011</t>
  </si>
  <si>
    <t xml:space="preserve">EXP-011</t>
  </si>
  <si>
    <t xml:space="preserve">INV-2026-0012</t>
  </si>
  <si>
    <t xml:space="preserve">RCP-0012</t>
  </si>
  <si>
    <t xml:space="preserve">EXP-012</t>
  </si>
  <si>
    <t xml:space="preserve">INV-2026-0013</t>
  </si>
  <si>
    <t xml:space="preserve">RCP-0013</t>
  </si>
  <si>
    <t xml:space="preserve">EXP-013</t>
  </si>
  <si>
    <t xml:space="preserve">INV-2026-0014</t>
  </si>
  <si>
    <t xml:space="preserve">RCP-0014</t>
  </si>
  <si>
    <t xml:space="preserve">EXP-014</t>
  </si>
  <si>
    <t xml:space="preserve">INV-2026-0015</t>
  </si>
  <si>
    <t xml:space="preserve">RCP-0015</t>
  </si>
  <si>
    <t xml:space="preserve">EXP-015</t>
  </si>
  <si>
    <t xml:space="preserve">Total Expenses</t>
  </si>
  <si>
    <t xml:space="preserve">INV-2026-0016</t>
  </si>
  <si>
    <t xml:space="preserve">RCP-0016</t>
  </si>
  <si>
    <t xml:space="preserve">EXP-016</t>
  </si>
  <si>
    <t xml:space="preserve">INV-2026-0017</t>
  </si>
  <si>
    <t xml:space="preserve">RCP-0017</t>
  </si>
  <si>
    <t xml:space="preserve">EXP-017</t>
  </si>
  <si>
    <t xml:space="preserve">INV-2026-0018</t>
  </si>
  <si>
    <t xml:space="preserve">RCP-0018</t>
  </si>
  <si>
    <t xml:space="preserve">EXP-018</t>
  </si>
  <si>
    <t xml:space="preserve">Profit Margin</t>
  </si>
  <si>
    <t xml:space="preserve">INV-2026-0019</t>
  </si>
  <si>
    <t xml:space="preserve">RCP-0019</t>
  </si>
  <si>
    <t xml:space="preserve">EXP-019</t>
  </si>
  <si>
    <t xml:space="preserve">Collection Rate</t>
  </si>
  <si>
    <t xml:space="preserve">INV-2026-0020</t>
  </si>
  <si>
    <t xml:space="preserve">EXP-020</t>
  </si>
  <si>
    <t xml:space="preserve">INV-2026-0021</t>
  </si>
  <si>
    <t xml:space="preserve">RCP-0021</t>
  </si>
  <si>
    <t xml:space="preserve">EXP-021</t>
  </si>
  <si>
    <t xml:space="preserve">INV-2026-0022</t>
  </si>
  <si>
    <t xml:space="preserve">RCP-0022</t>
  </si>
  <si>
    <t xml:space="preserve">EXP-022</t>
  </si>
  <si>
    <t xml:space="preserve">INV-2026-0023</t>
  </si>
  <si>
    <t xml:space="preserve">RCP-0023</t>
  </si>
  <si>
    <t xml:space="preserve">EXP-023</t>
  </si>
  <si>
    <t xml:space="preserve">INV-2026-0024</t>
  </si>
  <si>
    <t xml:space="preserve">Cancelled - visa refused, final payment not due.</t>
  </si>
  <si>
    <t xml:space="preserve">EXP-024</t>
  </si>
  <si>
    <t xml:space="preserve">INV-2026-0025</t>
  </si>
  <si>
    <t xml:space="preserve">RCP-0025</t>
  </si>
  <si>
    <t xml:space="preserve">EXP-025</t>
  </si>
  <si>
    <t xml:space="preserve">INV-2026-0026</t>
  </si>
  <si>
    <t xml:space="preserve">RCP-0026</t>
  </si>
  <si>
    <t xml:space="preserve">EXP-026</t>
  </si>
  <si>
    <t xml:space="preserve">INV-2026-0027</t>
  </si>
  <si>
    <t xml:space="preserve">RCP-0027</t>
  </si>
  <si>
    <t xml:space="preserve">EXP-027</t>
  </si>
  <si>
    <t xml:space="preserve">INV-2026-0028</t>
  </si>
  <si>
    <t xml:space="preserve">RCP-0028</t>
  </si>
  <si>
    <t xml:space="preserve">EXP-028</t>
  </si>
  <si>
    <t xml:space="preserve">INV-2026-0029</t>
  </si>
  <si>
    <t xml:space="preserve">Card</t>
  </si>
  <si>
    <t xml:space="preserve">RCP-0029</t>
  </si>
  <si>
    <t xml:space="preserve">EXP-029</t>
  </si>
  <si>
    <t xml:space="preserve">INV-2026-0030</t>
  </si>
  <si>
    <t xml:space="preserve">RCP-0030</t>
  </si>
  <si>
    <t xml:space="preserve">EXP-030</t>
  </si>
  <si>
    <t xml:space="preserve">INV-2026-0031</t>
  </si>
  <si>
    <t xml:space="preserve">RCP-0031</t>
  </si>
  <si>
    <t xml:space="preserve">EXP-031</t>
  </si>
  <si>
    <t xml:space="preserve">INV-2026-0032</t>
  </si>
  <si>
    <t xml:space="preserve">RCP-0032</t>
  </si>
  <si>
    <t xml:space="preserve">EXP-032</t>
  </si>
  <si>
    <t xml:space="preserve">INV-2026-0033</t>
  </si>
  <si>
    <t xml:space="preserve">Overdue</t>
  </si>
  <si>
    <t xml:space="preserve">EXP-033</t>
  </si>
  <si>
    <t xml:space="preserve">INV-2026-0034</t>
  </si>
  <si>
    <t xml:space="preserve">RCP-0034</t>
  </si>
  <si>
    <t xml:space="preserve">EXP-034</t>
  </si>
  <si>
    <t xml:space="preserve">INV-2026-0035</t>
  </si>
  <si>
    <t xml:space="preserve">RCP-0035</t>
  </si>
  <si>
    <t xml:space="preserve">EXP-035</t>
  </si>
  <si>
    <t xml:space="preserve">INV-2026-0036</t>
  </si>
  <si>
    <t xml:space="preserve">RCP-0036</t>
  </si>
  <si>
    <t xml:space="preserve">Late payment received today.</t>
  </si>
  <si>
    <t xml:space="preserve">INV-2026-0037</t>
  </si>
  <si>
    <t xml:space="preserve">RCP-0037</t>
  </si>
  <si>
    <t xml:space="preserve">INV-2026-0038</t>
  </si>
  <si>
    <t xml:space="preserve">RCP-0038</t>
  </si>
  <si>
    <t xml:space="preserve">INV-2026-0039</t>
  </si>
  <si>
    <t xml:space="preserve">RCP-0039</t>
  </si>
  <si>
    <t xml:space="preserve">INV-2026-0040</t>
  </si>
  <si>
    <t xml:space="preserve">RCP-0040</t>
  </si>
  <si>
    <t xml:space="preserve">VUSLAT RECRUITMENT COMPANY  |  DOCUMENT MANAGEMENT</t>
  </si>
  <si>
    <t xml:space="preserve">Yes / No per document. Received, Completion % and Document Status are calculated. Green = present, red = still missing.</t>
  </si>
  <si>
    <t xml:space="preserve">Passport</t>
  </si>
  <si>
    <t xml:space="preserve">Diploma</t>
  </si>
  <si>
    <t xml:space="preserve">Europass CV</t>
  </si>
  <si>
    <t xml:space="preserve">Photo</t>
  </si>
  <si>
    <t xml:space="preserve">Criminal Record Certificate</t>
  </si>
  <si>
    <t xml:space="preserve">Medical Certificate</t>
  </si>
  <si>
    <t xml:space="preserve">Work Permit</t>
  </si>
  <si>
    <t xml:space="preserve">Employment Contract</t>
  </si>
  <si>
    <t xml:space="preserve">Visa</t>
  </si>
  <si>
    <t xml:space="preserve">Insurance</t>
  </si>
  <si>
    <t xml:space="preserve">Apostille Documents</t>
  </si>
  <si>
    <t xml:space="preserve">Documents Received</t>
  </si>
  <si>
    <t xml:space="preserve">Documents Required</t>
  </si>
  <si>
    <t xml:space="preserve">Completion %</t>
  </si>
  <si>
    <t xml:space="preserve">Document Status</t>
  </si>
  <si>
    <t xml:space="preserve">Responsible Officer</t>
  </si>
  <si>
    <t xml:space="preserve">Last Updated</t>
  </si>
  <si>
    <t xml:space="preserve">Yes</t>
  </si>
  <si>
    <t xml:space="preserve">No</t>
  </si>
  <si>
    <t xml:space="preserve">Visa refused - file closed.</t>
  </si>
  <si>
    <t xml:space="preserve">VUSLAT RECRUITMENT COMPANY  |  EMPLOYEE MANAGEMENT</t>
  </si>
  <si>
    <t xml:space="preserve">Staff register. Leads, consultations, customers, revenue and commission are calculated from the operational sheets. The names in column B feed every employee drop-down in the workbook.</t>
  </si>
  <si>
    <t xml:space="preserve">Employee ID</t>
  </si>
  <si>
    <t xml:space="preserve">Role</t>
  </si>
  <si>
    <t xml:space="preserve">Department</t>
  </si>
  <si>
    <t xml:space="preserve">Hire Date</t>
  </si>
  <si>
    <t xml:space="preserve">Employment Status</t>
  </si>
  <si>
    <t xml:space="preserve">Monthly Salary (TJS)</t>
  </si>
  <si>
    <t xml:space="preserve">Leads Assigned</t>
  </si>
  <si>
    <t xml:space="preserve">Consultations Handled</t>
  </si>
  <si>
    <t xml:space="preserve">Customers Managed</t>
  </si>
  <si>
    <t xml:space="preserve">Revenue Collected (TJS)</t>
  </si>
  <si>
    <t xml:space="preserve">Commission %</t>
  </si>
  <si>
    <t xml:space="preserve">Commission Earned (TJS)</t>
  </si>
  <si>
    <t xml:space="preserve">Conversion Rate</t>
  </si>
  <si>
    <t xml:space="preserve">EMP-001</t>
  </si>
  <si>
    <t xml:space="preserve">Director</t>
  </si>
  <si>
    <t xml:space="preserve">Management</t>
  </si>
  <si>
    <t xml:space="preserve">+992 90 111 2201</t>
  </si>
  <si>
    <t xml:space="preserve">f.rahmonov@vuslat.tj</t>
  </si>
  <si>
    <t xml:space="preserve">Owner of the company, signs every contract.</t>
  </si>
  <si>
    <t xml:space="preserve">EMP-002</t>
  </si>
  <si>
    <t xml:space="preserve">Sales Manager</t>
  </si>
  <si>
    <t xml:space="preserve">Sales</t>
  </si>
  <si>
    <t xml:space="preserve">+992 90 111 2202</t>
  </si>
  <si>
    <t xml:space="preserve">n.karimova@vuslat.tj</t>
  </si>
  <si>
    <t xml:space="preserve">EMP-003</t>
  </si>
  <si>
    <t xml:space="preserve">+992 90 111 2203</t>
  </si>
  <si>
    <t xml:space="preserve">j.sattorov@vuslat.tj</t>
  </si>
  <si>
    <t xml:space="preserve">EMP-004</t>
  </si>
  <si>
    <t xml:space="preserve">Consulting</t>
  </si>
  <si>
    <t xml:space="preserve">+992 90 111 2204</t>
  </si>
  <si>
    <t xml:space="preserve">z.nazarova@vuslat.tj</t>
  </si>
  <si>
    <t xml:space="preserve">EMP-005</t>
  </si>
  <si>
    <t xml:space="preserve">Document Specialist</t>
  </si>
  <si>
    <t xml:space="preserve">Operations</t>
  </si>
  <si>
    <t xml:space="preserve">+992 90 111 2205</t>
  </si>
  <si>
    <t xml:space="preserve">b.umarov@vuslat.tj</t>
  </si>
  <si>
    <t xml:space="preserve">EMP-006</t>
  </si>
  <si>
    <t xml:space="preserve">Accountant</t>
  </si>
  <si>
    <t xml:space="preserve">Finance</t>
  </si>
  <si>
    <t xml:space="preserve">+992 90 111 2206</t>
  </si>
  <si>
    <t xml:space="preserve">m.sharipova@vuslat.tj</t>
  </si>
  <si>
    <t xml:space="preserve">EMP-007</t>
  </si>
  <si>
    <t xml:space="preserve">Rustam Qodirov</t>
  </si>
  <si>
    <t xml:space="preserve">Marketing Specialist</t>
  </si>
  <si>
    <t xml:space="preserve">Marketing</t>
  </si>
  <si>
    <t xml:space="preserve">+992 90 111 2207</t>
  </si>
  <si>
    <t xml:space="preserve">r.qodirov@vuslat.tj</t>
  </si>
  <si>
    <t xml:space="preserve">EMP-008</t>
  </si>
  <si>
    <t xml:space="preserve">Manager</t>
  </si>
  <si>
    <t xml:space="preserve">+992 90 111 2208</t>
  </si>
  <si>
    <t xml:space="preserve">d.aliyeva@vuslat.tj</t>
  </si>
  <si>
    <t xml:space="preserve">VUSLAT RECRUITMENT COMPANY  |  MARKETING &amp; ADVERTISING</t>
  </si>
  <si>
    <t xml:space="preserve">Leads, consultations, customers and revenue are attributed automatically to the campaign whose channel and date range match the lead registration date.</t>
  </si>
  <si>
    <t xml:space="preserve">Campaign ID</t>
  </si>
  <si>
    <t xml:space="preserve">Campaign Name</t>
  </si>
  <si>
    <t xml:space="preserve">Channel</t>
  </si>
  <si>
    <t xml:space="preserve">Start Date</t>
  </si>
  <si>
    <t xml:space="preserve">End Date</t>
  </si>
  <si>
    <t xml:space="preserve">Budget (TJS)</t>
  </si>
  <si>
    <t xml:space="preserve">Actual Spend (TJS)</t>
  </si>
  <si>
    <t xml:space="preserve">Impressions</t>
  </si>
  <si>
    <t xml:space="preserve">Clicks</t>
  </si>
  <si>
    <t xml:space="preserve">CTR</t>
  </si>
  <si>
    <t xml:space="preserve">Leads Generated</t>
  </si>
  <si>
    <t xml:space="preserve">Cost per Lead (TJS)</t>
  </si>
  <si>
    <t xml:space="preserve">Consultations</t>
  </si>
  <si>
    <t xml:space="preserve">Customers Converted</t>
  </si>
  <si>
    <t xml:space="preserve">Revenue Attributed (TJS)</t>
  </si>
  <si>
    <t xml:space="preserve">ROI</t>
  </si>
  <si>
    <t xml:space="preserve">Lead to Customer Rate</t>
  </si>
  <si>
    <t xml:space="preserve">Campaign Status</t>
  </si>
  <si>
    <t xml:space="preserve">CMP-001</t>
  </si>
  <si>
    <t xml:space="preserve">Instagram - Winter Europe Jobs</t>
  </si>
  <si>
    <t xml:space="preserve">Best performing winter campaign, 3 qualified leads.</t>
  </si>
  <si>
    <t xml:space="preserve">CMP-002</t>
  </si>
  <si>
    <t xml:space="preserve">Instagram - Spring Poland Push</t>
  </si>
  <si>
    <t xml:space="preserve">Targeted welders and construction workers in Sughd region.</t>
  </si>
  <si>
    <t xml:space="preserve">CMP-003</t>
  </si>
  <si>
    <t xml:space="preserve">Facebook - Germany Welders</t>
  </si>
  <si>
    <t xml:space="preserve">Higher cost per lead than Instagram.</t>
  </si>
  <si>
    <t xml:space="preserve">CMP-004</t>
  </si>
  <si>
    <t xml:space="preserve">Website SEO &amp; Landing Page</t>
  </si>
  <si>
    <t xml:space="preserve">Organic search traffic, cheapest channel.</t>
  </si>
  <si>
    <t xml:space="preserve">CMP-005</t>
  </si>
  <si>
    <t xml:space="preserve">Referral Bonus Program</t>
  </si>
  <si>
    <t xml:space="preserve">150 TJS bonus paid for every referral that signs a contract.</t>
  </si>
  <si>
    <t xml:space="preserve">CMP-006</t>
  </si>
  <si>
    <t xml:space="preserve">Instagram - Summer Reels</t>
  </si>
  <si>
    <t xml:space="preserve">Short video format, campaign still running.</t>
  </si>
  <si>
    <t xml:space="preserve">VUSLAT RECRUITMENT COMPANY  |  REPORTS</t>
  </si>
  <si>
    <t xml:space="preserve">Eight live cross-tab reports. Every figure is a formula - they refresh by themselves, no pivot-table refresh needed. These tables feed the dashboard charts.</t>
  </si>
  <si>
    <t xml:space="preserve">1.  MONTHLY PERFORMANCE  (reporting year is set on the Settings sheet)</t>
  </si>
  <si>
    <t xml:space="preserve">Month</t>
  </si>
  <si>
    <t xml:space="preserve">Month Start</t>
  </si>
  <si>
    <t xml:space="preserve">Month End</t>
  </si>
  <si>
    <t xml:space="preserve">Payment Revenue</t>
  </si>
  <si>
    <t xml:space="preserve">Consultation Revenue</t>
  </si>
  <si>
    <t xml:space="preserve">Expenses</t>
  </si>
  <si>
    <t xml:space="preserve">Net Profit</t>
  </si>
  <si>
    <t xml:space="preserve">New Leads</t>
  </si>
  <si>
    <t xml:space="preserve">Contracts Signed</t>
  </si>
  <si>
    <t xml:space="preserve">Departures</t>
  </si>
  <si>
    <t xml:space="preserve">TOTAL</t>
  </si>
  <si>
    <t xml:space="preserve">2.  CUSTOMER CONVERSION FUNNEL</t>
  </si>
  <si>
    <t xml:space="preserve">3.  VISA DECISION SUMMARY</t>
  </si>
  <si>
    <t xml:space="preserve">4.  LEAD SOURCE PERFORMANCE</t>
  </si>
  <si>
    <t xml:space="preserve">Funnel Stage</t>
  </si>
  <si>
    <t xml:space="preserve">Count</t>
  </si>
  <si>
    <t xml:space="preserve">% of Leads</t>
  </si>
  <si>
    <t xml:space="preserve">Visa Decision</t>
  </si>
  <si>
    <t xml:space="preserve">Cases</t>
  </si>
  <si>
    <t xml:space="preserve">Share</t>
  </si>
  <si>
    <t xml:space="preserve">Leads</t>
  </si>
  <si>
    <t xml:space="preserve">Customers</t>
  </si>
  <si>
    <t xml:space="preserve">Conversion</t>
  </si>
  <si>
    <t xml:space="preserve">1. Leads Registered</t>
  </si>
  <si>
    <t xml:space="preserve">Approved</t>
  </si>
  <si>
    <t xml:space="preserve">2. Leads Contacted</t>
  </si>
  <si>
    <t xml:space="preserve">Rejected</t>
  </si>
  <si>
    <t xml:space="preserve">3. Consultation Booked</t>
  </si>
  <si>
    <t xml:space="preserve">Decision Pending</t>
  </si>
  <si>
    <t xml:space="preserve">4. Consultation Completed</t>
  </si>
  <si>
    <t xml:space="preserve">5. Contract Signed</t>
  </si>
  <si>
    <t xml:space="preserve">6. Visa Approved</t>
  </si>
  <si>
    <t xml:space="preserve">7. Departed to Europe</t>
  </si>
  <si>
    <t xml:space="preserve">5.  COUNTRY DISTRIBUTION</t>
  </si>
  <si>
    <t xml:space="preserve">6.  EMPLOYEE PERFORMANCE</t>
  </si>
  <si>
    <t xml:space="preserve">Revenue Collected</t>
  </si>
  <si>
    <t xml:space="preserve">Employee</t>
  </si>
  <si>
    <t xml:space="preserve">7.  ADVERTISING PERFORMANCE</t>
  </si>
  <si>
    <t xml:space="preserve">Campaign</t>
  </si>
  <si>
    <t xml:space="preserve">Spend</t>
  </si>
  <si>
    <t xml:space="preserve">Revenue</t>
  </si>
  <si>
    <t xml:space="preserve">8.  PIPELINE STAGE DISTRIBUTION  (where the customers are now)</t>
  </si>
  <si>
    <t xml:space="preserve">Pipeline Stage</t>
  </si>
  <si>
    <t xml:space="preserve">Customers at Stage</t>
  </si>
  <si>
    <t xml:space="preserve">VUSLAT RECRUITMENT COMPANY  |  SETTINGS &amp; MASTER DATA</t>
  </si>
  <si>
    <t xml:space="preserve">Yellow cells are the only ones you should change. Every drop-down list, price and percentage used by the whole workbook is defined here.</t>
  </si>
  <si>
    <t xml:space="preserve">1.  COMPANY INFORMATION &amp; GLOBAL PARAMETERS</t>
  </si>
  <si>
    <t xml:space="preserve">Company Name</t>
  </si>
  <si>
    <t xml:space="preserve">Vuslat Recruitment Company</t>
  </si>
  <si>
    <t xml:space="preserve">Country</t>
  </si>
  <si>
    <t xml:space="preserve">Tajikistan</t>
  </si>
  <si>
    <t xml:space="preserve">Base Currency</t>
  </si>
  <si>
    <t xml:space="preserve">TJS (Somoni)</t>
  </si>
  <si>
    <t xml:space="preserve">Payment 1 - Contract signing (%)</t>
  </si>
  <si>
    <t xml:space="preserve">Payment 2 - Document preparation (%)</t>
  </si>
  <si>
    <t xml:space="preserve">Payment 3 - Work permit &amp; contract (%)</t>
  </si>
  <si>
    <t xml:space="preserve">Payment 4 - After visa approval (%)</t>
  </si>
  <si>
    <t xml:space="preserve">Payment split check (must be 100%)</t>
  </si>
  <si>
    <t xml:space="preserve">Reporting Year</t>
  </si>
  <si>
    <t xml:space="preserve">2.  COUNTRY PRICE LIST  (drives Contracts and Customers automatically)</t>
  </si>
  <si>
    <t xml:space="preserve">European Country</t>
  </si>
  <si>
    <t xml:space="preserve">Payment 1</t>
  </si>
  <si>
    <t xml:space="preserve">Payment 2</t>
  </si>
  <si>
    <t xml:space="preserve">Payment 3</t>
  </si>
  <si>
    <t xml:space="preserve">Payment 4</t>
  </si>
  <si>
    <t xml:space="preserve">Avg. Processing (days)</t>
  </si>
  <si>
    <t xml:space="preserve">3.  DROP-DOWN LISTS  (used by the data-validation menus across the workbook)</t>
  </si>
  <si>
    <t xml:space="preserve">Add a value to the bottom of a list to make it available in the matching drop-down. Do not leave gaps inside a list.</t>
  </si>
  <si>
    <t xml:space="preserve">Language Level</t>
  </si>
  <si>
    <t xml:space="preserve">Stage Status</t>
  </si>
  <si>
    <t xml:space="preserve">Yes / No</t>
  </si>
  <si>
    <t xml:space="preserve">Employee Role</t>
  </si>
  <si>
    <t xml:space="preserve">Expense Category</t>
  </si>
  <si>
    <t xml:space="preserve">Marketing Channel</t>
  </si>
  <si>
    <t xml:space="preserve">Draft</t>
  </si>
  <si>
    <t xml:space="preserve">Contract Signed</t>
  </si>
  <si>
    <t xml:space="preserve">Signed</t>
  </si>
  <si>
    <t xml:space="preserve">Documents Being Prepared</t>
  </si>
  <si>
    <t xml:space="preserve">Kyrgyz</t>
  </si>
  <si>
    <t xml:space="preserve">Documents Completed</t>
  </si>
  <si>
    <t xml:space="preserve">Russian</t>
  </si>
  <si>
    <t xml:space="preserve">Partial</t>
  </si>
  <si>
    <t xml:space="preserve">Blocked</t>
  </si>
  <si>
    <t xml:space="preserve">Send Offer</t>
  </si>
  <si>
    <t xml:space="preserve">Documents Sent to Employer</t>
  </si>
  <si>
    <t xml:space="preserve">Other</t>
  </si>
  <si>
    <t xml:space="preserve">Work Permit Issued</t>
  </si>
  <si>
    <t xml:space="preserve">Employment Contract Issued</t>
  </si>
  <si>
    <t xml:space="preserve">Embassy Appointment Booked</t>
  </si>
  <si>
    <t xml:space="preserve">Driver</t>
  </si>
  <si>
    <t xml:space="preserve">Visa Application Submitted</t>
  </si>
  <si>
    <t xml:space="preserve">Visa Decision Pending</t>
  </si>
  <si>
    <t xml:space="preserve">Visa Approved</t>
  </si>
  <si>
    <t xml:space="preserve">Visa Rejected</t>
  </si>
  <si>
    <t xml:space="preserve">Carpenter</t>
  </si>
  <si>
    <t xml:space="preserve">Flight Ticket Prepared</t>
  </si>
  <si>
    <t xml:space="preserve">Customer Departed to Europe</t>
  </si>
  <si>
    <t xml:space="preserve">Case Completed</t>
  </si>
  <si>
    <t xml:space="preserve">4.  NOTES &amp; ASSUMPTIONS  (please read before going live)</t>
  </si>
  <si>
    <t xml:space="preserve">•  SAMPLE DATA: the 30 leads, 18 consultations, 12 customers, 40 payments, 35 expense lines, 8 employees and 6 campaigns already in this workbook are illustrative examples generated on 30 July 2026 so that every formula, chart and KPI can be seen working. Delete those rows before you start entering real data - all formulas stay intact.</t>
  </si>
  <si>
    <t xml:space="preserve">•  PACKAGE PRICES (section 2 above) are assumptions, not quoted figures. Replace the yellow price cells with your real prices; Contracts and Customers follow automatically.</t>
  </si>
  <si>
    <t xml:space="preserve">•  PAYMENT SPLIT 30 / 20 / 25 / 25 percent is an assumption based on the four-instalment schedule you described (contract, documents, work permit, after visa approval). Change the yellow percentage cells in section 1 and every contract recalculates.</t>
  </si>
  <si>
    <t xml:space="preserve">•  EMPLOYEE ROLES: your specification was cut off after 'Director, Manager, S...'. The list below assumes Sales Manager, Consultant, Document Specialist, Accountant, Marketing Specialist and Driver. Edit column P of section 3 to match your real roles.</t>
  </si>
  <si>
    <t xml:space="preserve">•  SALARIES, RENT, MARKETING AND VISA COSTS on the Finance sheet are illustrative monthly figures for Jan-Jul 2026 only.</t>
  </si>
  <si>
    <t xml:space="preserve">•  CAPACITY: formulas and drop-downs are pre-filled down to row 203 on every sheet (200 records). Copy the last row down if you need more; the totals already read to row 1003.</t>
  </si>
  <si>
    <t xml:space="preserve">•  REPORTS: the eight tables on the Reports sheet are formula-driven cross-tabs rather than pivot tables, so they refresh by themselves - there is no pivot cache to refresh.</t>
  </si>
  <si>
    <t xml:space="preserve">•  NO MACROS: the file is a plain .xlsx so it opens without any security warning. Everything is done with native formulas, data validation, conditional formatting and charts.</t>
  </si>
</sst>
</file>

<file path=xl/styles.xml><?xml version="1.0" encoding="utf-8"?>
<styleSheet xmlns="http://schemas.openxmlformats.org/spreadsheetml/2006/main">
  <numFmts count="9">
    <numFmt numFmtId="164" formatCode="General"/>
    <numFmt numFmtId="165" formatCode="#,##0"/>
    <numFmt numFmtId="166" formatCode="#,##0&quot; TJS&quot;"/>
    <numFmt numFmtId="167" formatCode="#,##0&quot; TJS&quot;;[RED]\(#,##0&quot;) TJS&quot;;\-"/>
    <numFmt numFmtId="168" formatCode="0.0%"/>
    <numFmt numFmtId="169" formatCode="dd\-mmm\-yyyy"/>
    <numFmt numFmtId="170" formatCode="0%"/>
    <numFmt numFmtId="171" formatCode="0.00%"/>
    <numFmt numFmtId="172" formatCode="0"/>
  </numFmts>
  <fonts count="2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808080"/>
      <name val="Arial"/>
      <family val="0"/>
      <charset val="1"/>
    </font>
    <font>
      <b val="true"/>
      <sz val="9"/>
      <color rgb="FF1F3864"/>
      <name val="Arial"/>
      <family val="0"/>
      <charset val="1"/>
    </font>
    <font>
      <b val="true"/>
      <sz val="11"/>
      <color rgb="FFFFFFFF"/>
      <name val="Arial"/>
      <family val="0"/>
      <charset val="1"/>
    </font>
    <font>
      <b val="true"/>
      <sz val="9"/>
      <color rgb="FFFFFFFF"/>
      <name val="Arial"/>
      <family val="0"/>
      <charset val="1"/>
    </font>
    <font>
      <b val="true"/>
      <sz val="18"/>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
      <sz val="10"/>
      <name val="Arial"/>
      <family val="0"/>
      <charset val="1"/>
    </font>
    <font>
      <b val="true"/>
      <sz val="11"/>
      <color rgb="FF1F3864"/>
      <name val="Arial"/>
      <family val="0"/>
      <charset val="1"/>
    </font>
    <font>
      <b val="true"/>
      <sz val="10"/>
      <name val="Arial"/>
      <family val="0"/>
      <charset val="1"/>
    </font>
    <font>
      <b val="true"/>
      <sz val="12"/>
      <color rgb="FF1F3864"/>
      <name val="Arial"/>
      <family val="0"/>
      <charset val="1"/>
    </font>
    <font>
      <b val="true"/>
      <sz val="10"/>
      <color rgb="FF1F3864"/>
      <name val="Arial"/>
      <family val="0"/>
      <charset val="1"/>
    </font>
    <font>
      <b val="true"/>
      <sz val="10"/>
      <color rgb="FF0000FF"/>
      <name val="Arial"/>
      <family val="0"/>
      <charset val="1"/>
    </font>
    <font>
      <sz val="8"/>
      <color rgb="FF808080"/>
      <name val="Arial"/>
      <family val="0"/>
      <charset val="1"/>
    </font>
    <font>
      <b val="true"/>
      <sz val="9"/>
      <color rgb="FF9C0006"/>
      <name val="Arial"/>
      <family val="0"/>
      <charset val="1"/>
    </font>
    <font>
      <sz val="9"/>
      <color rgb="FF333333"/>
      <name val="Arial"/>
      <family val="0"/>
      <charset val="1"/>
    </font>
    <font>
      <sz val="10"/>
      <name val="Arial"/>
      <family val="2"/>
    </font>
  </fonts>
  <fills count="12">
    <fill>
      <patternFill patternType="none"/>
    </fill>
    <fill>
      <patternFill patternType="gray125"/>
    </fill>
    <fill>
      <patternFill patternType="solid">
        <fgColor rgb="FF1F3864"/>
        <bgColor rgb="FF333333"/>
      </patternFill>
    </fill>
    <fill>
      <patternFill patternType="solid">
        <fgColor rgb="FFDCE6F1"/>
        <bgColor rgb="FFD6E4F7"/>
      </patternFill>
    </fill>
    <fill>
      <patternFill patternType="solid">
        <fgColor rgb="FF44688F"/>
        <bgColor rgb="FF4672A8"/>
      </patternFill>
    </fill>
    <fill>
      <patternFill patternType="solid">
        <fgColor rgb="FF2E5C8A"/>
        <bgColor rgb="FF44688F"/>
      </patternFill>
    </fill>
    <fill>
      <patternFill patternType="solid">
        <fgColor rgb="FF1F6F4E"/>
        <bgColor rgb="FF0B6623"/>
      </patternFill>
    </fill>
    <fill>
      <patternFill patternType="solid">
        <fgColor rgb="FF8A5A00"/>
        <bgColor rgb="FF7F6000"/>
      </patternFill>
    </fill>
    <fill>
      <patternFill patternType="solid">
        <fgColor rgb="FF6B3FA0"/>
        <bgColor rgb="FF5B3B8C"/>
      </patternFill>
    </fill>
    <fill>
      <patternFill patternType="solid">
        <fgColor rgb="FFEEF3F9"/>
        <bgColor rgb="FFF5F8FC"/>
      </patternFill>
    </fill>
    <fill>
      <patternFill patternType="solid">
        <fgColor rgb="FFEDEDED"/>
        <bgColor rgb="FFE8E8E8"/>
      </patternFill>
    </fill>
    <fill>
      <patternFill patternType="solid">
        <fgColor rgb="FFFFF7E0"/>
        <bgColor rgb="FFF5F8FC"/>
      </patternFill>
    </fill>
  </fills>
  <borders count="8">
    <border diagonalUp="false" diagonalDown="false">
      <left/>
      <right/>
      <top/>
      <bottom/>
      <diagonal/>
    </border>
    <border diagonalUp="false" diagonalDown="false">
      <left style="thin">
        <color rgb="FF1F3864"/>
      </left>
      <right style="thin">
        <color rgb="FF1F3864"/>
      </right>
      <top style="thin">
        <color rgb="FF1F3864"/>
      </top>
      <bottom style="thin">
        <color rgb="FF1F3864"/>
      </bottom>
      <diagonal/>
    </border>
    <border diagonalUp="false" diagonalDown="false">
      <left style="thin">
        <color rgb="FF2E5C8A"/>
      </left>
      <right style="thin">
        <color rgb="FF2E5C8A"/>
      </right>
      <top style="thin">
        <color rgb="FF2E5C8A"/>
      </top>
      <bottom style="thin">
        <color rgb="FF2E5C8A"/>
      </bottom>
      <diagonal/>
    </border>
    <border diagonalUp="false" diagonalDown="false">
      <left style="thin">
        <color rgb="FF44688F"/>
      </left>
      <right style="thin">
        <color rgb="FF44688F"/>
      </right>
      <top style="thin">
        <color rgb="FF44688F"/>
      </top>
      <bottom style="thin">
        <color rgb="FF44688F"/>
      </bottom>
      <diagonal/>
    </border>
    <border diagonalUp="false" diagonalDown="false">
      <left style="thin">
        <color rgb="FF1F6F4E"/>
      </left>
      <right style="thin">
        <color rgb="FF1F6F4E"/>
      </right>
      <top style="thin">
        <color rgb="FF1F6F4E"/>
      </top>
      <bottom style="thin">
        <color rgb="FF1F6F4E"/>
      </bottom>
      <diagonal/>
    </border>
    <border diagonalUp="false" diagonalDown="false">
      <left style="thin">
        <color rgb="FF8A5A00"/>
      </left>
      <right style="thin">
        <color rgb="FF8A5A00"/>
      </right>
      <top style="thin">
        <color rgb="FF8A5A00"/>
      </top>
      <bottom style="thin">
        <color rgb="FF8A5A00"/>
      </bottom>
      <diagonal/>
    </border>
    <border diagonalUp="false" diagonalDown="false">
      <left style="thin">
        <color rgb="FF6B3FA0"/>
      </left>
      <right style="thin">
        <color rgb="FF6B3FA0"/>
      </right>
      <top style="thin">
        <color rgb="FF6B3FA0"/>
      </top>
      <bottom style="thin">
        <color rgb="FF6B3FA0"/>
      </bottom>
      <diagonal/>
    </border>
    <border diagonalUp="false" diagonalDown="false">
      <left style="thin">
        <color rgb="FFB7C4D4"/>
      </left>
      <right style="thin">
        <color rgb="FFB7C4D4"/>
      </right>
      <top style="thin">
        <color rgb="FFB7C4D4"/>
      </top>
      <bottom style="thin">
        <color rgb="FFB7C4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left" vertical="center" textRotation="0" wrapText="false" indent="1"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6" borderId="4" xfId="0" applyFont="true" applyBorder="true" applyAlignment="true" applyProtection="false">
      <alignment horizontal="center" vertical="center" textRotation="0" wrapText="true" indent="0" shrinkToFit="false"/>
      <protection locked="true" hidden="false"/>
    </xf>
    <xf numFmtId="164" fontId="8" fillId="7" borderId="5" xfId="0" applyFont="true" applyBorder="true" applyAlignment="true" applyProtection="false">
      <alignment horizontal="center" vertical="center" textRotation="0" wrapText="true" indent="0" shrinkToFit="false"/>
      <protection locked="true" hidden="false"/>
    </xf>
    <xf numFmtId="164" fontId="8" fillId="8" borderId="6" xfId="0" applyFont="true" applyBorder="true" applyAlignment="true" applyProtection="false">
      <alignment horizontal="center" vertical="center" textRotation="0" wrapText="true" indent="0" shrinkToFit="false"/>
      <protection locked="true" hidden="false"/>
    </xf>
    <xf numFmtId="165" fontId="9" fillId="9" borderId="1" xfId="0" applyFont="true" applyBorder="true" applyAlignment="true" applyProtection="false">
      <alignment horizontal="center" vertical="center" textRotation="0" wrapText="false" indent="0" shrinkToFit="false"/>
      <protection locked="true" hidden="false"/>
    </xf>
    <xf numFmtId="165" fontId="9" fillId="9" borderId="2" xfId="0" applyFont="true" applyBorder="true" applyAlignment="true" applyProtection="false">
      <alignment horizontal="center" vertical="center" textRotation="0" wrapText="false" indent="0" shrinkToFit="false"/>
      <protection locked="true" hidden="false"/>
    </xf>
    <xf numFmtId="165" fontId="9" fillId="9" borderId="3" xfId="0" applyFont="true" applyBorder="true" applyAlignment="true" applyProtection="false">
      <alignment horizontal="center" vertical="center" textRotation="0" wrapText="false" indent="0" shrinkToFit="false"/>
      <protection locked="true" hidden="false"/>
    </xf>
    <xf numFmtId="165" fontId="9" fillId="9" borderId="4" xfId="0" applyFont="true" applyBorder="true" applyAlignment="true" applyProtection="false">
      <alignment horizontal="center" vertical="center" textRotation="0" wrapText="false" indent="0" shrinkToFit="false"/>
      <protection locked="true" hidden="false"/>
    </xf>
    <xf numFmtId="165" fontId="9" fillId="9" borderId="5" xfId="0" applyFont="true" applyBorder="true" applyAlignment="true" applyProtection="false">
      <alignment horizontal="center" vertical="center" textRotation="0" wrapText="false" indent="0" shrinkToFit="false"/>
      <protection locked="true" hidden="false"/>
    </xf>
    <xf numFmtId="165" fontId="9" fillId="9" borderId="6" xfId="0" applyFont="true" applyBorder="true" applyAlignment="true" applyProtection="false">
      <alignment horizontal="center" vertical="center" textRotation="0" wrapText="false" indent="0" shrinkToFit="false"/>
      <protection locked="true" hidden="false"/>
    </xf>
    <xf numFmtId="166" fontId="9" fillId="9" borderId="1" xfId="0" applyFont="true" applyBorder="true" applyAlignment="true" applyProtection="false">
      <alignment horizontal="center" vertical="center" textRotation="0" wrapText="false" indent="0" shrinkToFit="false"/>
      <protection locked="true" hidden="false"/>
    </xf>
    <xf numFmtId="166" fontId="9" fillId="9" borderId="2" xfId="0" applyFont="true" applyBorder="true" applyAlignment="true" applyProtection="false">
      <alignment horizontal="center" vertical="center" textRotation="0" wrapText="false" indent="0" shrinkToFit="false"/>
      <protection locked="true" hidden="false"/>
    </xf>
    <xf numFmtId="166" fontId="9" fillId="9" borderId="3" xfId="0" applyFont="true" applyBorder="true" applyAlignment="true" applyProtection="false">
      <alignment horizontal="center" vertical="center" textRotation="0" wrapText="false" indent="0" shrinkToFit="false"/>
      <protection locked="true" hidden="false"/>
    </xf>
    <xf numFmtId="166" fontId="9" fillId="9" borderId="4" xfId="0" applyFont="true" applyBorder="true" applyAlignment="true" applyProtection="false">
      <alignment horizontal="center" vertical="center" textRotation="0" wrapText="false" indent="0" shrinkToFit="false"/>
      <protection locked="true" hidden="false"/>
    </xf>
    <xf numFmtId="166" fontId="9" fillId="9" borderId="5" xfId="0" applyFont="true" applyBorder="true" applyAlignment="true" applyProtection="false">
      <alignment horizontal="center" vertical="center" textRotation="0" wrapText="false" indent="0" shrinkToFit="false"/>
      <protection locked="true" hidden="false"/>
    </xf>
    <xf numFmtId="166" fontId="9" fillId="9" borderId="6" xfId="0" applyFont="true" applyBorder="true" applyAlignment="true" applyProtection="false">
      <alignment horizontal="center" vertical="center" textRotation="0" wrapText="false" indent="0" shrinkToFit="false"/>
      <protection locked="true" hidden="false"/>
    </xf>
    <xf numFmtId="167" fontId="9" fillId="9" borderId="4" xfId="0" applyFont="true" applyBorder="true" applyAlignment="true" applyProtection="false">
      <alignment horizontal="center" vertical="center" textRotation="0" wrapText="false" indent="0" shrinkToFit="false"/>
      <protection locked="true" hidden="false"/>
    </xf>
    <xf numFmtId="168" fontId="9" fillId="9" borderId="5" xfId="0" applyFont="true" applyBorder="true" applyAlignment="true" applyProtection="false">
      <alignment horizontal="center" vertical="center" textRotation="0" wrapText="false" indent="0" shrinkToFit="false"/>
      <protection locked="true" hidden="false"/>
    </xf>
    <xf numFmtId="168" fontId="9" fillId="9" borderId="6" xfId="0" applyFont="true" applyBorder="true" applyAlignment="true" applyProtection="false">
      <alignment horizontal="center" vertical="center" textRotation="0" wrapText="false" indent="0" shrinkToFit="false"/>
      <protection locked="true" hidden="false"/>
    </xf>
    <xf numFmtId="164" fontId="13" fillId="5" borderId="7" xfId="0" applyFont="true" applyBorder="true" applyAlignment="true" applyProtection="false">
      <alignment horizontal="center" vertical="center" textRotation="0" wrapText="true" indent="0" shrinkToFit="false"/>
      <protection locked="true" hidden="false"/>
    </xf>
    <xf numFmtId="164" fontId="14" fillId="0" borderId="7" xfId="0" applyFont="true" applyBorder="true" applyAlignment="true" applyProtection="false">
      <alignment horizontal="center" vertical="center" textRotation="0" wrapText="true" indent="0" shrinkToFit="false"/>
      <protection locked="true" hidden="false"/>
    </xf>
    <xf numFmtId="164" fontId="14" fillId="0" borderId="7" xfId="0" applyFont="true" applyBorder="true" applyAlignment="true" applyProtection="false">
      <alignment horizontal="left"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true" indent="0" shrinkToFit="false"/>
      <protection locked="true" hidden="false"/>
    </xf>
    <xf numFmtId="165" fontId="14" fillId="10" borderId="7" xfId="0" applyFont="true" applyBorder="true" applyAlignment="true" applyProtection="false">
      <alignment horizontal="center" vertical="center" textRotation="0" wrapText="true" indent="0" shrinkToFit="false"/>
      <protection locked="true" hidden="false"/>
    </xf>
    <xf numFmtId="164" fontId="14" fillId="10" borderId="7" xfId="0" applyFont="true" applyBorder="true" applyAlignment="true" applyProtection="false">
      <alignment horizontal="center" vertical="center" textRotation="0" wrapText="true" indent="0" shrinkToFit="false"/>
      <protection locked="true" hidden="false"/>
    </xf>
    <xf numFmtId="164" fontId="14" fillId="0" borderId="7" xfId="0" applyFont="true" applyBorder="true" applyAlignment="true" applyProtection="false">
      <alignment horizontal="left" vertical="center" textRotation="0" wrapText="true" indent="0" shrinkToFit="false"/>
      <protection locked="true" hidden="false"/>
    </xf>
    <xf numFmtId="164" fontId="14" fillId="10" borderId="7" xfId="0" applyFont="true" applyBorder="true" applyAlignment="true" applyProtection="false">
      <alignment horizontal="left" vertical="center" textRotation="0" wrapText="false" indent="0" shrinkToFit="false"/>
      <protection locked="true" hidden="false"/>
    </xf>
    <xf numFmtId="166" fontId="14" fillId="10" borderId="7" xfId="0" applyFont="true" applyBorder="true" applyAlignment="true" applyProtection="false">
      <alignment horizontal="right" vertical="center" textRotation="0" wrapText="false" indent="0" shrinkToFit="false"/>
      <protection locked="true" hidden="false"/>
    </xf>
    <xf numFmtId="168" fontId="14" fillId="10" borderId="7" xfId="0" applyFont="true" applyBorder="true" applyAlignment="true" applyProtection="false">
      <alignment horizontal="center" vertical="center" textRotation="0" wrapText="true" indent="0" shrinkToFit="false"/>
      <protection locked="true" hidden="false"/>
    </xf>
    <xf numFmtId="169" fontId="14" fillId="10" borderId="7" xfId="0" applyFont="true" applyBorder="true" applyAlignment="true" applyProtection="false">
      <alignment horizontal="center" vertical="center" textRotation="0" wrapText="true" indent="0" shrinkToFit="false"/>
      <protection locked="true" hidden="false"/>
    </xf>
    <xf numFmtId="164" fontId="13" fillId="2" borderId="7" xfId="0" applyFont="true" applyBorder="true" applyAlignment="true" applyProtection="false">
      <alignment horizontal="center" vertical="center" textRotation="0" wrapText="true" indent="0" shrinkToFit="false"/>
      <protection locked="true" hidden="false"/>
    </xf>
    <xf numFmtId="164" fontId="13" fillId="4" borderId="7" xfId="0" applyFont="true" applyBorder="true" applyAlignment="true" applyProtection="false">
      <alignment horizontal="center" vertical="center" textRotation="0" wrapText="true" indent="0" shrinkToFit="false"/>
      <protection locked="true" hidden="false"/>
    </xf>
    <xf numFmtId="169" fontId="14" fillId="10" borderId="7" xfId="0" applyFont="true" applyBorder="true" applyAlignment="true" applyProtection="false">
      <alignment horizontal="left" vertical="center" textRotation="0" wrapText="false" indent="0" shrinkToFit="false"/>
      <protection locked="true" hidden="false"/>
    </xf>
    <xf numFmtId="164" fontId="15" fillId="3" borderId="0" xfId="0" applyFont="true" applyBorder="true" applyAlignment="true" applyProtection="false">
      <alignment horizontal="left" vertical="center" textRotation="0" wrapText="false" indent="1" shrinkToFit="false"/>
      <protection locked="true" hidden="false"/>
    </xf>
    <xf numFmtId="166" fontId="14" fillId="0" borderId="7" xfId="0" applyFont="true" applyBorder="true" applyAlignment="true" applyProtection="false">
      <alignment horizontal="right" vertical="center" textRotation="0" wrapText="false" indent="0" shrinkToFit="false"/>
      <protection locked="true" hidden="false"/>
    </xf>
    <xf numFmtId="164" fontId="14" fillId="0" borderId="7" xfId="0" applyFont="true" applyBorder="true" applyAlignment="false" applyProtection="false">
      <alignment horizontal="general" vertical="bottom" textRotation="0" wrapText="false" indent="0" shrinkToFit="false"/>
      <protection locked="true" hidden="false"/>
    </xf>
    <xf numFmtId="166" fontId="16" fillId="0" borderId="7" xfId="0" applyFont="true" applyBorder="true" applyAlignment="true" applyProtection="false">
      <alignment horizontal="right" vertical="center" textRotation="0" wrapText="false" indent="0" shrinkToFit="false"/>
      <protection locked="true" hidden="false"/>
    </xf>
    <xf numFmtId="164" fontId="16" fillId="0" borderId="7" xfId="0" applyFont="true" applyBorder="true" applyAlignment="false" applyProtection="false">
      <alignment horizontal="general" vertical="bottom" textRotation="0" wrapText="false" indent="0" shrinkToFit="false"/>
      <protection locked="true" hidden="false"/>
    </xf>
    <xf numFmtId="164" fontId="7" fillId="2" borderId="7" xfId="0" applyFont="true" applyBorder="true" applyAlignment="false" applyProtection="false">
      <alignment horizontal="general" vertical="bottom" textRotation="0" wrapText="false" indent="0" shrinkToFit="false"/>
      <protection locked="true" hidden="false"/>
    </xf>
    <xf numFmtId="167" fontId="17" fillId="3" borderId="7" xfId="0" applyFont="true" applyBorder="true" applyAlignment="true" applyProtection="false">
      <alignment horizontal="right" vertical="center" textRotation="0" wrapText="false" indent="0" shrinkToFit="false"/>
      <protection locked="true" hidden="false"/>
    </xf>
    <xf numFmtId="168" fontId="16" fillId="0" borderId="7" xfId="0" applyFont="true" applyBorder="true" applyAlignment="true" applyProtection="false">
      <alignment horizontal="right" vertical="center" textRotation="0" wrapText="false" indent="0" shrinkToFit="false"/>
      <protection locked="true" hidden="false"/>
    </xf>
    <xf numFmtId="170" fontId="14" fillId="0" borderId="7" xfId="0" applyFont="true" applyBorder="true" applyAlignment="true" applyProtection="false">
      <alignment horizontal="center" vertical="center" textRotation="0" wrapText="true" indent="0" shrinkToFit="false"/>
      <protection locked="true" hidden="false"/>
    </xf>
    <xf numFmtId="165" fontId="14" fillId="0" borderId="7" xfId="0" applyFont="true" applyBorder="true" applyAlignment="true" applyProtection="false">
      <alignment horizontal="right" vertical="center" textRotation="0" wrapText="false" indent="0" shrinkToFit="false"/>
      <protection locked="true" hidden="false"/>
    </xf>
    <xf numFmtId="171" fontId="14" fillId="10" borderId="7" xfId="0" applyFont="true" applyBorder="true" applyAlignment="true" applyProtection="false">
      <alignment horizontal="center" vertical="center" textRotation="0" wrapText="true" indent="0" shrinkToFit="false"/>
      <protection locked="true" hidden="false"/>
    </xf>
    <xf numFmtId="167" fontId="14" fillId="0" borderId="7" xfId="0" applyFont="true" applyBorder="true" applyAlignment="true" applyProtection="false">
      <alignment horizontal="right" vertical="center" textRotation="0" wrapText="false" indent="0" shrinkToFit="false"/>
      <protection locked="true" hidden="false"/>
    </xf>
    <xf numFmtId="165" fontId="14" fillId="0" borderId="7" xfId="0" applyFont="true" applyBorder="true" applyAlignment="true" applyProtection="false">
      <alignment horizontal="center" vertical="center" textRotation="0" wrapText="true" indent="0" shrinkToFit="false"/>
      <protection locked="true" hidden="false"/>
    </xf>
    <xf numFmtId="164" fontId="18" fillId="3" borderId="7" xfId="0" applyFont="true" applyBorder="true" applyAlignment="false" applyProtection="false">
      <alignment horizontal="general" vertical="bottom" textRotation="0" wrapText="false" indent="0" shrinkToFit="false"/>
      <protection locked="true" hidden="false"/>
    </xf>
    <xf numFmtId="167" fontId="18" fillId="3" borderId="7" xfId="0" applyFont="true" applyBorder="true" applyAlignment="true" applyProtection="false">
      <alignment horizontal="right" vertical="center" textRotation="0" wrapText="false" indent="0" shrinkToFit="false"/>
      <protection locked="true" hidden="false"/>
    </xf>
    <xf numFmtId="165" fontId="18" fillId="3" borderId="7" xfId="0" applyFont="true" applyBorder="true" applyAlignment="true" applyProtection="false">
      <alignment horizontal="center" vertical="center" textRotation="0" wrapText="true" indent="0" shrinkToFit="false"/>
      <protection locked="true" hidden="false"/>
    </xf>
    <xf numFmtId="168" fontId="14" fillId="0" borderId="7" xfId="0" applyFont="true" applyBorder="true" applyAlignment="true" applyProtection="false">
      <alignment horizontal="center" vertical="center" textRotation="0" wrapText="true" indent="0" shrinkToFit="false"/>
      <protection locked="true" hidden="false"/>
    </xf>
    <xf numFmtId="164" fontId="19" fillId="11" borderId="7" xfId="0" applyFont="true" applyBorder="true" applyAlignment="true" applyProtection="false">
      <alignment horizontal="center" vertical="center" textRotation="0" wrapText="true" indent="0" shrinkToFit="false"/>
      <protection locked="true" hidden="false"/>
    </xf>
    <xf numFmtId="166" fontId="19" fillId="11" borderId="7" xfId="0" applyFont="true" applyBorder="true" applyAlignment="true" applyProtection="false">
      <alignment horizontal="center" vertical="center" textRotation="0" wrapText="true" indent="0" shrinkToFit="false"/>
      <protection locked="true" hidden="false"/>
    </xf>
    <xf numFmtId="170" fontId="19" fillId="11" borderId="7" xfId="0" applyFont="true" applyBorder="true" applyAlignment="true" applyProtection="false">
      <alignment horizontal="center" vertical="center" textRotation="0" wrapText="true" indent="0" shrinkToFit="false"/>
      <protection locked="true" hidden="false"/>
    </xf>
    <xf numFmtId="170" fontId="16" fillId="3" borderId="7"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2" fontId="19" fillId="11" borderId="7" xfId="0" applyFont="true" applyBorder="true" applyAlignment="true" applyProtection="false">
      <alignment horizontal="center" vertical="center" textRotation="0" wrapText="true" indent="0" shrinkToFit="false"/>
      <protection locked="true" hidden="false"/>
    </xf>
    <xf numFmtId="166" fontId="14" fillId="11" borderId="7" xfId="0" applyFont="true" applyBorder="true" applyAlignment="true" applyProtection="false">
      <alignment horizontal="right"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left" vertical="top" textRotation="0" wrapText="true" indent="0" shrinkToFit="false"/>
      <protection locked="true" hidden="false"/>
    </xf>
    <xf numFmtId="164" fontId="22"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ill>
        <patternFill patternType="solid">
          <fgColor rgb="FF2E5C8A"/>
          <bgColor rgb="FF000000"/>
        </patternFill>
      </fill>
    </dxf>
    <dxf>
      <fill>
        <patternFill patternType="solid">
          <fgColor rgb="FFF5F8FC"/>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C6EFCE"/>
          <bgColor rgb="FF000000"/>
        </patternFill>
      </fill>
    </dxf>
    <dxf>
      <fill>
        <patternFill patternType="solid">
          <fgColor rgb="FFD6E4F7"/>
          <bgColor rgb="FF000000"/>
        </patternFill>
      </fill>
    </dxf>
    <dxf>
      <fill>
        <patternFill patternType="solid">
          <fgColor rgb="FFE4D9F2"/>
          <bgColor rgb="FF000000"/>
        </patternFill>
      </fill>
    </dxf>
    <dxf>
      <fill>
        <patternFill patternType="solid">
          <fgColor rgb="FFE8E8E8"/>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B6623"/>
          <bgColor rgb="FF000000"/>
        </patternFill>
      </fill>
    </dxf>
    <dxf>
      <fill>
        <patternFill patternType="solid">
          <fgColor rgb="FF1F3864"/>
          <bgColor rgb="FF000000"/>
        </patternFill>
      </fill>
    </dxf>
    <dxf>
      <fill>
        <patternFill patternType="solid">
          <fgColor rgb="FF5A5A5A"/>
          <bgColor rgb="FF000000"/>
        </patternFill>
      </fill>
    </dxf>
    <dxf>
      <fill>
        <patternFill patternType="solid">
          <fgColor rgb="FF5B3B8C"/>
          <bgColor rgb="FF000000"/>
        </patternFill>
      </fill>
    </dxf>
    <dxf>
      <fill>
        <patternFill patternType="solid">
          <fgColor rgb="FF9C0006"/>
          <bgColor rgb="FF000000"/>
        </patternFill>
      </fill>
    </dxf>
    <dxf>
      <fill>
        <patternFill patternType="solid">
          <fgColor rgb="FF9C6500"/>
          <bgColor rgb="FF000000"/>
        </patternFill>
      </fill>
    </dxf>
    <dxf>
      <fill>
        <patternFill>
          <bgColor rgb="FFF5F8FC"/>
        </patternFill>
      </fill>
    </dxf>
    <dxf>
      <font>
        <name val="Arial"/>
        <charset val="1"/>
        <family val="0"/>
        <b val="1"/>
        <color rgb="FF1F3864"/>
        <sz val="10"/>
      </font>
      <fill>
        <patternFill>
          <bgColor rgb="FFD6E4F7"/>
        </patternFill>
      </fill>
    </dxf>
    <dxf>
      <font>
        <name val="Arial"/>
        <charset val="1"/>
        <family val="0"/>
        <b val="1"/>
        <color rgb="FF0B6623"/>
        <sz val="10"/>
      </font>
      <fill>
        <patternFill>
          <bgColor rgb="FFC6EFCE"/>
        </patternFill>
      </fill>
    </dxf>
    <dxf>
      <font>
        <name val="Arial"/>
        <charset val="1"/>
        <family val="0"/>
        <b val="1"/>
        <color rgb="FF9C6500"/>
        <sz val="10"/>
      </font>
      <fill>
        <patternFill>
          <bgColor rgb="FFFFEB9C"/>
        </patternFill>
      </fill>
    </dxf>
    <dxf>
      <font>
        <name val="Arial"/>
        <charset val="1"/>
        <family val="0"/>
        <b val="1"/>
        <color rgb="FF5B3B8C"/>
        <sz val="10"/>
      </font>
      <fill>
        <patternFill>
          <bgColor rgb="FFE4D9F2"/>
        </patternFill>
      </fill>
    </dxf>
    <dxf>
      <font>
        <name val="Arial"/>
        <charset val="1"/>
        <family val="0"/>
        <b val="1"/>
        <color rgb="FF9C0006"/>
        <sz val="10"/>
      </font>
      <fill>
        <patternFill>
          <bgColor rgb="FFFFC7CE"/>
        </patternFill>
      </fill>
    </dxf>
    <dxf>
      <font>
        <name val="Arial"/>
        <charset val="1"/>
        <family val="0"/>
        <b val="1"/>
        <color rgb="FF5A5A5A"/>
        <sz val="10"/>
      </font>
      <fill>
        <patternFill>
          <bgColor rgb="FFE8E8E8"/>
        </patternFill>
      </fill>
    </dxf>
    <dxf>
      <font>
        <name val="Arial"/>
        <charset val="1"/>
        <family val="0"/>
        <b val="1"/>
        <color rgb="FF9C6500"/>
        <sz val="10"/>
      </font>
    </dxf>
    <dxf>
      <fill>
        <patternFill patternType="solid">
          <fgColor rgb="FF808080"/>
          <bgColor rgb="FF000000"/>
        </patternFill>
      </fill>
    </dxf>
    <dxf>
      <font>
        <name val="Arial"/>
        <charset val="1"/>
        <family val="0"/>
        <b val="1"/>
        <color rgb="FF808080"/>
        <sz val="10"/>
      </font>
      <fill>
        <patternFill>
          <bgColor rgb="FFFFFFFF"/>
        </patternFill>
      </fill>
    </dxf>
    <dxf>
      <font>
        <name val="Arial"/>
        <charset val="1"/>
        <family val="0"/>
        <b val="1"/>
        <color rgb="FF0B6623"/>
        <sz val="10"/>
      </font>
    </dxf>
    <dxf>
      <font>
        <name val="Arial"/>
        <charset val="1"/>
        <family val="0"/>
        <b val="1"/>
        <color rgb="FF9C0006"/>
        <sz val="10"/>
      </font>
    </dxf>
  </dxfs>
  <colors>
    <indexedColors>
      <rgbColor rgb="FF000000"/>
      <rgbColor rgb="FFFFFFFF"/>
      <rgbColor rgb="FFC00000"/>
      <rgbColor rgb="FFF5F8FC"/>
      <rgbColor rgb="FF0000FF"/>
      <rgbColor rgb="FFE8E8E8"/>
      <rgbColor rgb="FFFF00FF"/>
      <rgbColor rgb="FFDCE6F1"/>
      <rgbColor rgb="FF9C0006"/>
      <rgbColor rgb="FF0B6623"/>
      <rgbColor rgb="FF000080"/>
      <rgbColor rgb="FF7F6000"/>
      <rgbColor rgb="FF6B3FA0"/>
      <rgbColor rgb="FF1F6F4E"/>
      <rgbColor rgb="FFB7C4D4"/>
      <rgbColor rgb="FF808080"/>
      <rgbColor rgb="FF93A9CE"/>
      <rgbColor rgb="FFAB4744"/>
      <rgbColor rgb="FFFFF7E0"/>
      <rgbColor rgb="FFEEF3F9"/>
      <rgbColor rgb="FF660066"/>
      <rgbColor rgb="FFDC853E"/>
      <rgbColor rgb="FF2E5C8A"/>
      <rgbColor rgb="FFE4D9F2"/>
      <rgbColor rgb="FF000080"/>
      <rgbColor rgb="FFFF00FF"/>
      <rgbColor rgb="FFEDEDED"/>
      <rgbColor rgb="FFD9D9D9"/>
      <rgbColor rgb="FF800080"/>
      <rgbColor rgb="FF800000"/>
      <rgbColor rgb="FF44688F"/>
      <rgbColor rgb="FF0000FF"/>
      <rgbColor rgb="FF8AA64F"/>
      <rgbColor rgb="FFD6E4F7"/>
      <rgbColor rgb="FFC6EFCE"/>
      <rgbColor rgb="FFFFEB9C"/>
      <rgbColor rgb="FFB8CD97"/>
      <rgbColor rgb="FFD09493"/>
      <rgbColor rgb="FFA99BBD"/>
      <rgbColor rgb="FFFFC7CE"/>
      <rgbColor rgb="FF4A7EBB"/>
      <rgbColor rgb="FF4F81BD"/>
      <rgbColor rgb="FF98B855"/>
      <rgbColor rgb="FF9BBB59"/>
      <rgbColor rgb="FF9C6500"/>
      <rgbColor rgb="FFC0504D"/>
      <rgbColor rgb="FF725990"/>
      <rgbColor rgb="FF878787"/>
      <rgbColor rgb="FF1F3864"/>
      <rgbColor rgb="FF4299B0"/>
      <rgbColor rgb="FF4672A8"/>
      <rgbColor rgb="FF5A5A5A"/>
      <rgbColor rgb="FF8A5A00"/>
      <rgbColor rgb="FFBE4B48"/>
      <rgbColor rgb="FF5B3B8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Monthly Sales - Total Revenue (TJS)</a:t>
            </a:r>
          </a:p>
        </c:rich>
      </c:tx>
      <c:overlay val="0"/>
      <c:spPr>
        <a:noFill/>
        <a:ln w="0">
          <a:noFill/>
        </a:ln>
      </c:spPr>
    </c:title>
    <c:autoTitleDeleted val="0"/>
    <c:plotArea>
      <c:barChart>
        <c:barDir val="col"/>
        <c:grouping val="clustered"/>
        <c:varyColors val="0"/>
        <c:ser>
          <c:idx val="0"/>
          <c:order val="0"/>
          <c:tx>
            <c:strRef>
              <c:f>Reports!F5</c:f>
              <c:strCache>
                <c:ptCount val="1"/>
                <c:pt idx="0">
                  <c:v>Total Revenue</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Reports!$A$6:$A$17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Reports!$F$6:$F$17</c:f>
              <c:numCache>
                <c:formatCode>#,##0" TJS"</c:formatCode>
                <c:ptCount val="12"/>
                <c:pt idx="0">
                  <c:v>23550</c:v>
                </c:pt>
                <c:pt idx="1">
                  <c:v>39450</c:v>
                </c:pt>
                <c:pt idx="2">
                  <c:v>62150</c:v>
                </c:pt>
                <c:pt idx="3">
                  <c:v>76350</c:v>
                </c:pt>
                <c:pt idx="4">
                  <c:v>15150</c:v>
                </c:pt>
                <c:pt idx="5">
                  <c:v>0</c:v>
                </c:pt>
                <c:pt idx="6">
                  <c:v>9300</c:v>
                </c:pt>
                <c:pt idx="7">
                  <c:v>0</c:v>
                </c:pt>
                <c:pt idx="8">
                  <c:v>0</c:v>
                </c:pt>
                <c:pt idx="9">
                  <c:v>0</c:v>
                </c:pt>
                <c:pt idx="10">
                  <c:v>0</c:v>
                </c:pt>
                <c:pt idx="11">
                  <c:v>0</c:v>
                </c:pt>
              </c:numCache>
            </c:numRef>
          </c:val>
        </c:ser>
        <c:gapWidth val="150"/>
        <c:overlap val="0"/>
        <c:axId val="17253407"/>
        <c:axId val="42054021"/>
      </c:barChart>
      <c:catAx>
        <c:axId val="172534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2054021"/>
        <c:crosses val="autoZero"/>
        <c:auto val="1"/>
        <c:lblAlgn val="ctr"/>
        <c:lblOffset val="100"/>
        <c:noMultiLvlLbl val="0"/>
      </c:catAx>
      <c:valAx>
        <c:axId val="4205402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TJS</a:t>
                </a:r>
              </a:p>
            </c:rich>
          </c:tx>
          <c:overlay val="0"/>
          <c:spPr>
            <a:noFill/>
            <a:ln w="0">
              <a:noFill/>
            </a:ln>
          </c:spPr>
        </c:title>
        <c:numFmt formatCode="#,##0&quot; TJS&quot;"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25340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Revenue Trend - Revenue vs Expenses vs Net Profit</a:t>
            </a:r>
          </a:p>
        </c:rich>
      </c:tx>
      <c:overlay val="0"/>
      <c:spPr>
        <a:noFill/>
        <a:ln w="0">
          <a:noFill/>
        </a:ln>
      </c:spPr>
    </c:title>
    <c:autoTitleDeleted val="0"/>
    <c:plotArea>
      <c:lineChart>
        <c:grouping val="standard"/>
        <c:varyColors val="0"/>
        <c:ser>
          <c:idx val="0"/>
          <c:order val="0"/>
          <c:tx>
            <c:strRef>
              <c:f>Reports!F5</c:f>
              <c:strCache>
                <c:ptCount val="1"/>
                <c:pt idx="0">
                  <c:v>Total Revenue</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Reports!$A$6:$A$17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Reports!$F$6:$F$17</c:f>
              <c:numCache>
                <c:formatCode>#,##0" TJS"</c:formatCode>
                <c:ptCount val="12"/>
                <c:pt idx="0">
                  <c:v>23550</c:v>
                </c:pt>
                <c:pt idx="1">
                  <c:v>39450</c:v>
                </c:pt>
                <c:pt idx="2">
                  <c:v>62150</c:v>
                </c:pt>
                <c:pt idx="3">
                  <c:v>76350</c:v>
                </c:pt>
                <c:pt idx="4">
                  <c:v>15150</c:v>
                </c:pt>
                <c:pt idx="5">
                  <c:v>0</c:v>
                </c:pt>
                <c:pt idx="6">
                  <c:v>9300</c:v>
                </c:pt>
                <c:pt idx="7">
                  <c:v>0</c:v>
                </c:pt>
                <c:pt idx="8">
                  <c:v>0</c:v>
                </c:pt>
                <c:pt idx="9">
                  <c:v>0</c:v>
                </c:pt>
                <c:pt idx="10">
                  <c:v>0</c:v>
                </c:pt>
                <c:pt idx="11">
                  <c:v>0</c:v>
                </c:pt>
              </c:numCache>
            </c:numRef>
          </c:val>
          <c:smooth val="0"/>
        </c:ser>
        <c:ser>
          <c:idx val="1"/>
          <c:order val="1"/>
          <c:tx>
            <c:strRef>
              <c:f>Reports!G5</c:f>
              <c:strCache>
                <c:ptCount val="1"/>
                <c:pt idx="0">
                  <c:v>Expenses</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Reports!$A$6:$A$17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Reports!$G$6:$G$17</c:f>
              <c:numCache>
                <c:formatCode>#,##0" TJS"</c:formatCode>
                <c:ptCount val="12"/>
                <c:pt idx="0">
                  <c:v>26100</c:v>
                </c:pt>
                <c:pt idx="1">
                  <c:v>26750</c:v>
                </c:pt>
                <c:pt idx="2">
                  <c:v>27800</c:v>
                </c:pt>
                <c:pt idx="3">
                  <c:v>28420</c:v>
                </c:pt>
                <c:pt idx="4">
                  <c:v>28440</c:v>
                </c:pt>
                <c:pt idx="5">
                  <c:v>27580</c:v>
                </c:pt>
                <c:pt idx="6">
                  <c:v>27210</c:v>
                </c:pt>
                <c:pt idx="7">
                  <c:v>0</c:v>
                </c:pt>
                <c:pt idx="8">
                  <c:v>0</c:v>
                </c:pt>
                <c:pt idx="9">
                  <c:v>0</c:v>
                </c:pt>
                <c:pt idx="10">
                  <c:v>0</c:v>
                </c:pt>
                <c:pt idx="11">
                  <c:v>0</c:v>
                </c:pt>
              </c:numCache>
            </c:numRef>
          </c:val>
          <c:smooth val="0"/>
        </c:ser>
        <c:ser>
          <c:idx val="2"/>
          <c:order val="2"/>
          <c:tx>
            <c:strRef>
              <c:f>Reports!H5</c:f>
              <c:strCache>
                <c:ptCount val="1"/>
                <c:pt idx="0">
                  <c:v>Net Profit</c:v>
                </c:pt>
              </c:strCache>
            </c:strRef>
          </c:tx>
          <c:spPr>
            <a:solidFill>
              <a:srgbClr val="98B855"/>
            </a:solidFill>
            <a:ln w="12600">
              <a:solidFill>
                <a:srgbClr val="98B855"/>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Reports!$A$6:$A$17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Reports!$H$6:$H$17</c:f>
              <c:numCache>
                <c:formatCode>#,##0" TJS";[RED]\(#,##0") TJS";\-</c:formatCode>
                <c:ptCount val="12"/>
                <c:pt idx="0">
                  <c:v>-2550</c:v>
                </c:pt>
                <c:pt idx="1">
                  <c:v>12700</c:v>
                </c:pt>
                <c:pt idx="2">
                  <c:v>34350</c:v>
                </c:pt>
                <c:pt idx="3">
                  <c:v>47930</c:v>
                </c:pt>
                <c:pt idx="4">
                  <c:v>-13290</c:v>
                </c:pt>
                <c:pt idx="5">
                  <c:v>-27580</c:v>
                </c:pt>
                <c:pt idx="6">
                  <c:v>-17910</c:v>
                </c:pt>
                <c:pt idx="7">
                  <c:v>0</c:v>
                </c:pt>
                <c:pt idx="8">
                  <c:v>0</c:v>
                </c:pt>
                <c:pt idx="9">
                  <c:v>0</c:v>
                </c:pt>
                <c:pt idx="10">
                  <c:v>0</c:v>
                </c:pt>
                <c:pt idx="11">
                  <c:v>0</c:v>
                </c:pt>
              </c:numCache>
            </c:numRef>
          </c:val>
          <c:smooth val="0"/>
        </c:ser>
        <c:hiLowLines>
          <c:spPr>
            <a:ln w="0">
              <a:noFill/>
            </a:ln>
          </c:spPr>
        </c:hiLowLines>
        <c:marker val="0"/>
        <c:axId val="41622521"/>
        <c:axId val="73312401"/>
      </c:lineChart>
      <c:catAx>
        <c:axId val="4162252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312401"/>
        <c:crosses val="autoZero"/>
        <c:auto val="1"/>
        <c:lblAlgn val="ctr"/>
        <c:lblOffset val="100"/>
        <c:noMultiLvlLbl val="0"/>
      </c:catAx>
      <c:valAx>
        <c:axId val="7331240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TJS</a:t>
                </a:r>
              </a:p>
            </c:rich>
          </c:tx>
          <c:overlay val="0"/>
          <c:spPr>
            <a:noFill/>
            <a:ln w="0">
              <a:noFill/>
            </a:ln>
          </c:spPr>
        </c:title>
        <c:numFmt formatCode="#,##0&quot; TJS&quot;"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162252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Customer Conversion Funnel</a:t>
            </a:r>
          </a:p>
        </c:rich>
      </c:tx>
      <c:overlay val="0"/>
      <c:spPr>
        <a:noFill/>
        <a:ln w="0">
          <a:noFill/>
        </a:ln>
      </c:spPr>
    </c:title>
    <c:autoTitleDeleted val="0"/>
    <c:plotArea>
      <c:barChart>
        <c:barDir val="bar"/>
        <c:grouping val="clustered"/>
        <c:varyColors val="0"/>
        <c:ser>
          <c:idx val="0"/>
          <c:order val="0"/>
          <c:tx>
            <c:strRef>
              <c:f>Reports!B21</c:f>
              <c:strCache>
                <c:ptCount val="1"/>
                <c:pt idx="0">
                  <c:v>Count</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1"/>
            <c:showVal val="1"/>
            <c:showCatName val="1"/>
            <c:showSerName val="1"/>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Reports!$A$22:$A$28</c:f>
              <c:strCache>
                <c:ptCount val="7"/>
                <c:pt idx="0">
                  <c:v>1. Leads Registered</c:v>
                </c:pt>
                <c:pt idx="1">
                  <c:v>2. Leads Contacted</c:v>
                </c:pt>
                <c:pt idx="2">
                  <c:v>3. Consultation Booked</c:v>
                </c:pt>
                <c:pt idx="3">
                  <c:v>4. Consultation Completed</c:v>
                </c:pt>
                <c:pt idx="4">
                  <c:v>5. Contract Signed</c:v>
                </c:pt>
                <c:pt idx="5">
                  <c:v>6. Visa Approved</c:v>
                </c:pt>
                <c:pt idx="6">
                  <c:v>7. Departed to Europe</c:v>
                </c:pt>
              </c:strCache>
            </c:strRef>
          </c:cat>
          <c:val>
            <c:numRef>
              <c:f>Reports!$B$22:$B$28</c:f>
              <c:numCache>
                <c:formatCode>#,##0</c:formatCode>
                <c:ptCount val="7"/>
                <c:pt idx="0">
                  <c:v>30</c:v>
                </c:pt>
                <c:pt idx="1">
                  <c:v>26</c:v>
                </c:pt>
                <c:pt idx="2">
                  <c:v>18</c:v>
                </c:pt>
                <c:pt idx="3">
                  <c:v>14</c:v>
                </c:pt>
                <c:pt idx="4">
                  <c:v>12</c:v>
                </c:pt>
                <c:pt idx="5">
                  <c:v>5</c:v>
                </c:pt>
                <c:pt idx="6">
                  <c:v>3</c:v>
                </c:pt>
              </c:numCache>
            </c:numRef>
          </c:val>
        </c:ser>
        <c:gapWidth val="150"/>
        <c:overlap val="0"/>
        <c:axId val="77759092"/>
        <c:axId val="37671602"/>
      </c:barChart>
      <c:catAx>
        <c:axId val="777590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671602"/>
        <c:crosses val="autoZero"/>
        <c:auto val="1"/>
        <c:lblAlgn val="ctr"/>
        <c:lblOffset val="100"/>
        <c:noMultiLvlLbl val="0"/>
      </c:catAx>
      <c:valAx>
        <c:axId val="37671602"/>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7759092"/>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Country Distribution - Customers</a:t>
            </a:r>
          </a:p>
        </c:rich>
      </c:tx>
      <c:overlay val="0"/>
      <c:spPr>
        <a:noFill/>
        <a:ln w="0">
          <a:noFill/>
        </a:ln>
      </c:spPr>
    </c:title>
    <c:autoTitleDeleted val="0"/>
    <c:plotArea>
      <c:doughnutChart>
        <c:varyColors val="1"/>
        <c:ser>
          <c:idx val="0"/>
          <c:order val="0"/>
          <c:tx>
            <c:strRef>
              <c:f>Reports!B31</c:f>
              <c:strCache>
                <c:ptCount val="1"/>
                <c:pt idx="0">
                  <c:v>Customers</c:v>
                </c:pt>
              </c:strCache>
            </c:strRef>
          </c:tx>
          <c:spPr>
            <a:solidFill>
              <a:srgbClr val="4F81BD"/>
            </a:solidFill>
            <a:ln w="12600">
              <a:noFill/>
            </a:ln>
          </c:spPr>
          <c:explosion val="0"/>
          <c:dPt>
            <c:idx val="0"/>
            <c:spPr>
              <a:solidFill>
                <a:srgbClr val="4672A8"/>
              </a:solidFill>
              <a:ln w="12600">
                <a:noFill/>
              </a:ln>
            </c:spPr>
          </c:dPt>
          <c:dPt>
            <c:idx val="1"/>
            <c:spPr>
              <a:solidFill>
                <a:srgbClr val="AB4744"/>
              </a:solidFill>
              <a:ln w="12600">
                <a:noFill/>
              </a:ln>
            </c:spPr>
          </c:dPt>
          <c:dPt>
            <c:idx val="2"/>
            <c:spPr>
              <a:solidFill>
                <a:srgbClr val="8AA64F"/>
              </a:solidFill>
              <a:ln w="12600">
                <a:noFill/>
              </a:ln>
            </c:spPr>
          </c:dPt>
          <c:dPt>
            <c:idx val="3"/>
            <c:spPr>
              <a:solidFill>
                <a:srgbClr val="725990"/>
              </a:solidFill>
              <a:ln w="12600">
                <a:noFill/>
              </a:ln>
            </c:spPr>
          </c:dPt>
          <c:dPt>
            <c:idx val="4"/>
            <c:spPr>
              <a:solidFill>
                <a:srgbClr val="4299B0"/>
              </a:solidFill>
              <a:ln w="12600">
                <a:noFill/>
              </a:ln>
            </c:spPr>
          </c:dPt>
          <c:dPt>
            <c:idx val="5"/>
            <c:spPr>
              <a:solidFill>
                <a:srgbClr val="DC853E"/>
              </a:solidFill>
              <a:ln w="12600">
                <a:noFill/>
              </a:ln>
            </c:spPr>
          </c:dPt>
          <c:dPt>
            <c:idx val="6"/>
            <c:spPr>
              <a:solidFill>
                <a:srgbClr val="93A9CE"/>
              </a:solidFill>
              <a:ln w="12600">
                <a:noFill/>
              </a:ln>
            </c:spPr>
          </c:dPt>
          <c:dPt>
            <c:idx val="7"/>
            <c:spPr>
              <a:solidFill>
                <a:srgbClr val="D09493"/>
              </a:solidFill>
              <a:ln w="12600">
                <a:noFill/>
              </a:ln>
            </c:spPr>
          </c:dPt>
          <c:dPt>
            <c:idx val="8"/>
            <c:spPr>
              <a:solidFill>
                <a:srgbClr val="B8CD97"/>
              </a:solidFill>
              <a:ln w="12600">
                <a:noFill/>
              </a:ln>
            </c:spPr>
          </c:dPt>
          <c:dPt>
            <c:idx val="9"/>
            <c:spPr>
              <a:solidFill>
                <a:srgbClr val="A99BBD"/>
              </a:solidFill>
              <a:ln w="12600">
                <a:noFill/>
              </a:ln>
            </c:spPr>
          </c:dPt>
          <c:dLbls>
            <c:dLbl>
              <c:idx val="0"/>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dLbl>
              <c:idx val="1"/>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dLbl>
              <c:idx val="2"/>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dLbl>
              <c:idx val="3"/>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dLbl>
              <c:idx val="4"/>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dLbl>
              <c:idx val="5"/>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dLbl>
              <c:idx val="6"/>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dLbl>
              <c:idx val="7"/>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dLbl>
              <c:idx val="8"/>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dLbl>
              <c:idx val="9"/>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dLbl>
            <c:txPr>
              <a:bodyPr wrap="square"/>
              <a:lstStyle/>
              <a:p>
                <a:pPr>
                  <a:defRPr sz="1000" b="0" u="none" strike="noStrike">
                    <a:solidFill>
                      <a:srgbClr val="000000"/>
                    </a:solidFill>
                    <a:uFillTx/>
                    <a:latin typeface="Calibri"/>
                  </a:defRPr>
                </a:pPr>
              </a:p>
            </c:txPr>
            <c:showLegendKey val="1"/>
            <c:showVal val="1"/>
            <c:showCatName val="1"/>
            <c:showSerName val="1"/>
            <c:showPercent val="1"/>
            <c:separator>; </c:separator>
            <c:showLeaderLines val="1"/>
            <c:leaderLines>
              <c:spPr>
                <a:ln w="0">
                  <a:solidFill>
                    <a:srgbClr val="000000"/>
                  </a:solidFill>
                </a:ln>
              </c:spPr>
            </c:leaderLines>
          </c:dLbls>
          <c:cat>
            <c:strRef>
              <c:f>Reports!$A$32:$A$41</c:f>
              <c:strCache>
                <c:ptCount val="10"/>
                <c:pt idx="0">
                  <c:v>Poland</c:v>
                </c:pt>
                <c:pt idx="1">
                  <c:v>Germany</c:v>
                </c:pt>
                <c:pt idx="2">
                  <c:v>Czech Republic</c:v>
                </c:pt>
                <c:pt idx="3">
                  <c:v>Slovakia</c:v>
                </c:pt>
                <c:pt idx="4">
                  <c:v>Lithuania</c:v>
                </c:pt>
                <c:pt idx="5">
                  <c:v>Hungary</c:v>
                </c:pt>
                <c:pt idx="6">
                  <c:v>Romania</c:v>
                </c:pt>
                <c:pt idx="7">
                  <c:v>Croatia</c:v>
                </c:pt>
                <c:pt idx="8">
                  <c:v>Netherlands</c:v>
                </c:pt>
                <c:pt idx="9">
                  <c:v>Portugal</c:v>
                </c:pt>
              </c:strCache>
            </c:strRef>
          </c:cat>
          <c:val>
            <c:numRef>
              <c:f>Reports!$B$32:$B$41</c:f>
              <c:numCache>
                <c:formatCode>#,##0</c:formatCode>
                <c:ptCount val="10"/>
                <c:pt idx="0">
                  <c:v>4</c:v>
                </c:pt>
                <c:pt idx="1">
                  <c:v>2</c:v>
                </c:pt>
                <c:pt idx="2">
                  <c:v>2</c:v>
                </c:pt>
                <c:pt idx="3">
                  <c:v>1</c:v>
                </c:pt>
                <c:pt idx="4">
                  <c:v>1</c:v>
                </c:pt>
                <c:pt idx="5">
                  <c:v>1</c:v>
                </c:pt>
                <c:pt idx="6">
                  <c:v>1</c:v>
                </c:pt>
                <c:pt idx="7">
                  <c:v>0</c:v>
                </c:pt>
                <c:pt idx="8">
                  <c:v>0</c:v>
                </c:pt>
                <c:pt idx="9">
                  <c:v>0</c:v>
                </c:pt>
              </c:numCache>
            </c:numRef>
          </c:val>
        </c:ser>
        <c:firstSliceAng val="0"/>
        <c:holeSize val="50"/>
      </c:doughnut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Visa Approval Rate</a:t>
            </a:r>
          </a:p>
        </c:rich>
      </c:tx>
      <c:overlay val="0"/>
      <c:spPr>
        <a:noFill/>
        <a:ln w="0">
          <a:noFill/>
        </a:ln>
      </c:spPr>
    </c:title>
    <c:autoTitleDeleted val="0"/>
    <c:plotArea>
      <c:pieChart>
        <c:varyColors val="1"/>
        <c:ser>
          <c:idx val="0"/>
          <c:order val="0"/>
          <c:tx>
            <c:strRef>
              <c:f>Reports!F21</c:f>
              <c:strCache>
                <c:ptCount val="1"/>
                <c:pt idx="0">
                  <c:v>Cases</c:v>
                </c:pt>
              </c:strCache>
            </c:strRef>
          </c:tx>
          <c:spPr>
            <a:solidFill>
              <a:srgbClr val="4F81BD"/>
            </a:solidFill>
            <a:ln w="12600">
              <a:noFill/>
            </a:ln>
          </c:spPr>
          <c:explosion val="0"/>
          <c:dPt>
            <c:idx val="0"/>
            <c:spPr>
              <a:solidFill>
                <a:srgbClr val="4F81BD"/>
              </a:solidFill>
              <a:ln w="12600">
                <a:noFill/>
              </a:ln>
            </c:spPr>
          </c:dPt>
          <c:dPt>
            <c:idx val="1"/>
            <c:spPr>
              <a:solidFill>
                <a:srgbClr val="C0504D"/>
              </a:solidFill>
              <a:ln w="12600">
                <a:noFill/>
              </a:ln>
            </c:spPr>
          </c:dPt>
          <c:dPt>
            <c:idx val="2"/>
            <c:spPr>
              <a:solidFill>
                <a:srgbClr val="9BBB59"/>
              </a:solidFill>
              <a:ln w="12600">
                <a:noFill/>
              </a:ln>
            </c:spPr>
          </c:dPt>
          <c:dLbls>
            <c:dLbl>
              <c:idx val="0"/>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1"/>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2"/>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showLeaderLines val="1"/>
            <c:leaderLines>
              <c:spPr>
                <a:ln w="0">
                  <a:solidFill>
                    <a:srgbClr val="000000"/>
                  </a:solidFill>
                </a:ln>
              </c:spPr>
            </c:leaderLines>
          </c:dLbls>
          <c:cat>
            <c:strRef>
              <c:f>Reports!$E$22:$E$24</c:f>
              <c:strCache>
                <c:ptCount val="3"/>
                <c:pt idx="0">
                  <c:v>Approved</c:v>
                </c:pt>
                <c:pt idx="1">
                  <c:v>Rejected</c:v>
                </c:pt>
                <c:pt idx="2">
                  <c:v>Decision Pending</c:v>
                </c:pt>
              </c:strCache>
            </c:strRef>
          </c:cat>
          <c:val>
            <c:numRef>
              <c:f>Reports!$F$22:$F$24</c:f>
              <c:numCache>
                <c:formatCode>#,##0</c:formatCode>
                <c:ptCount val="3"/>
                <c:pt idx="0">
                  <c:v>5</c:v>
                </c:pt>
                <c:pt idx="1">
                  <c:v>1</c:v>
                </c:pt>
                <c:pt idx="2">
                  <c:v>2</c:v>
                </c:pt>
              </c:numCache>
            </c:numRef>
          </c:val>
        </c:ser>
        <c:firstSliceAng val="0"/>
      </c:pieChart>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Advertising Performance - Leads vs Customers</a:t>
            </a:r>
          </a:p>
        </c:rich>
      </c:tx>
      <c:overlay val="0"/>
      <c:spPr>
        <a:noFill/>
        <a:ln w="0">
          <a:noFill/>
        </a:ln>
      </c:spPr>
    </c:title>
    <c:autoTitleDeleted val="0"/>
    <c:plotArea>
      <c:barChart>
        <c:barDir val="col"/>
        <c:grouping val="clustered"/>
        <c:varyColors val="0"/>
        <c:ser>
          <c:idx val="0"/>
          <c:order val="0"/>
          <c:tx>
            <c:strRef>
              <c:f>Reports!D44</c:f>
              <c:strCache>
                <c:ptCount val="1"/>
                <c:pt idx="0">
                  <c:v>Leads</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Reports!$A$45:$A$50</c:f>
              <c:strCache>
                <c:ptCount val="6"/>
                <c:pt idx="0">
                  <c:v>Instagram - Winter Europe Jobs</c:v>
                </c:pt>
                <c:pt idx="1">
                  <c:v>Instagram - Spring Poland Push</c:v>
                </c:pt>
                <c:pt idx="2">
                  <c:v>Facebook - Germany Welders</c:v>
                </c:pt>
                <c:pt idx="3">
                  <c:v>Website SEO &amp; Landing Page</c:v>
                </c:pt>
                <c:pt idx="4">
                  <c:v>Referral Bonus Program</c:v>
                </c:pt>
                <c:pt idx="5">
                  <c:v>Instagram - Summer Reels</c:v>
                </c:pt>
              </c:strCache>
            </c:strRef>
          </c:cat>
          <c:val>
            <c:numRef>
              <c:f>Reports!$D$45:$D$50</c:f>
              <c:numCache>
                <c:formatCode>#,##0</c:formatCode>
                <c:ptCount val="6"/>
                <c:pt idx="0">
                  <c:v>3</c:v>
                </c:pt>
                <c:pt idx="1">
                  <c:v>4</c:v>
                </c:pt>
                <c:pt idx="2">
                  <c:v>3</c:v>
                </c:pt>
                <c:pt idx="3">
                  <c:v>5</c:v>
                </c:pt>
                <c:pt idx="4">
                  <c:v>4</c:v>
                </c:pt>
                <c:pt idx="5">
                  <c:v>8</c:v>
                </c:pt>
              </c:numCache>
            </c:numRef>
          </c:val>
        </c:ser>
        <c:ser>
          <c:idx val="1"/>
          <c:order val="1"/>
          <c:tx>
            <c:strRef>
              <c:f>Reports!E44</c:f>
              <c:strCache>
                <c:ptCount val="1"/>
                <c:pt idx="0">
                  <c:v>Customers</c:v>
                </c:pt>
              </c:strCache>
            </c:strRef>
          </c:tx>
          <c:spPr>
            <a:solidFill>
              <a:srgbClr val="C0504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Reports!$A$45:$A$50</c:f>
              <c:strCache>
                <c:ptCount val="6"/>
                <c:pt idx="0">
                  <c:v>Instagram - Winter Europe Jobs</c:v>
                </c:pt>
                <c:pt idx="1">
                  <c:v>Instagram - Spring Poland Push</c:v>
                </c:pt>
                <c:pt idx="2">
                  <c:v>Facebook - Germany Welders</c:v>
                </c:pt>
                <c:pt idx="3">
                  <c:v>Website SEO &amp; Landing Page</c:v>
                </c:pt>
                <c:pt idx="4">
                  <c:v>Referral Bonus Program</c:v>
                </c:pt>
                <c:pt idx="5">
                  <c:v>Instagram - Summer Reels</c:v>
                </c:pt>
              </c:strCache>
            </c:strRef>
          </c:cat>
          <c:val>
            <c:numRef>
              <c:f>Reports!$E$45:$E$50</c:f>
              <c:numCache>
                <c:formatCode>#,##0</c:formatCode>
                <c:ptCount val="6"/>
                <c:pt idx="0">
                  <c:v>3</c:v>
                </c:pt>
                <c:pt idx="1">
                  <c:v>3</c:v>
                </c:pt>
                <c:pt idx="2">
                  <c:v>2</c:v>
                </c:pt>
                <c:pt idx="3">
                  <c:v>2</c:v>
                </c:pt>
                <c:pt idx="4">
                  <c:v>2</c:v>
                </c:pt>
                <c:pt idx="5">
                  <c:v>0</c:v>
                </c:pt>
              </c:numCache>
            </c:numRef>
          </c:val>
        </c:ser>
        <c:gapWidth val="150"/>
        <c:overlap val="0"/>
        <c:axId val="83787918"/>
        <c:axId val="53505355"/>
      </c:barChart>
      <c:catAx>
        <c:axId val="837879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3505355"/>
        <c:crosses val="autoZero"/>
        <c:auto val="1"/>
        <c:lblAlgn val="ctr"/>
        <c:lblOffset val="100"/>
        <c:noMultiLvlLbl val="0"/>
      </c:catAx>
      <c:valAx>
        <c:axId val="5350535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378791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Employee Performance - Revenue Collected (TJS)</a:t>
            </a:r>
          </a:p>
        </c:rich>
      </c:tx>
      <c:overlay val="0"/>
      <c:spPr>
        <a:noFill/>
        <a:ln w="0">
          <a:noFill/>
        </a:ln>
      </c:spPr>
    </c:title>
    <c:autoTitleDeleted val="0"/>
    <c:plotArea>
      <c:barChart>
        <c:barDir val="col"/>
        <c:grouping val="clustered"/>
        <c:varyColors val="0"/>
        <c:ser>
          <c:idx val="0"/>
          <c:order val="0"/>
          <c:tx>
            <c:strRef>
              <c:f>Reports!K31</c:f>
              <c:strCache>
                <c:ptCount val="1"/>
                <c:pt idx="0">
                  <c:v>Revenue Collected</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Reports!$F$32:$F$39</c:f>
              <c:strCache>
                <c:ptCount val="8"/>
                <c:pt idx="0">
                  <c:v>Farrukh Rahmonov</c:v>
                </c:pt>
                <c:pt idx="1">
                  <c:v>Nilufar Karimova</c:v>
                </c:pt>
                <c:pt idx="2">
                  <c:v>Jamshed Sattorov</c:v>
                </c:pt>
                <c:pt idx="3">
                  <c:v>Zarina Nazarova</c:v>
                </c:pt>
                <c:pt idx="4">
                  <c:v>Bakhtiyor Umarov</c:v>
                </c:pt>
                <c:pt idx="5">
                  <c:v>Manizha Sharipova</c:v>
                </c:pt>
                <c:pt idx="6">
                  <c:v>Rustam Qodirov</c:v>
                </c:pt>
                <c:pt idx="7">
                  <c:v>Dilnoza Aliyeva</c:v>
                </c:pt>
              </c:strCache>
            </c:strRef>
          </c:cat>
          <c:val>
            <c:numRef>
              <c:f>Reports!$K$32:$K$39</c:f>
              <c:numCache>
                <c:formatCode>#,##0" TJS"</c:formatCode>
                <c:ptCount val="8"/>
                <c:pt idx="0">
                  <c:v>0</c:v>
                </c:pt>
                <c:pt idx="1">
                  <c:v>77000</c:v>
                </c:pt>
                <c:pt idx="2">
                  <c:v>77250</c:v>
                </c:pt>
                <c:pt idx="3">
                  <c:v>0</c:v>
                </c:pt>
                <c:pt idx="4">
                  <c:v>0</c:v>
                </c:pt>
                <c:pt idx="5">
                  <c:v>0</c:v>
                </c:pt>
                <c:pt idx="6">
                  <c:v>0</c:v>
                </c:pt>
                <c:pt idx="7">
                  <c:v>71000</c:v>
                </c:pt>
              </c:numCache>
            </c:numRef>
          </c:val>
        </c:ser>
        <c:gapWidth val="150"/>
        <c:overlap val="0"/>
        <c:axId val="29315685"/>
        <c:axId val="77571496"/>
      </c:barChart>
      <c:catAx>
        <c:axId val="293156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7571496"/>
        <c:crosses val="autoZero"/>
        <c:auto val="1"/>
        <c:lblAlgn val="ctr"/>
        <c:lblOffset val="100"/>
        <c:noMultiLvlLbl val="0"/>
      </c:catAx>
      <c:valAx>
        <c:axId val="77571496"/>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TJS</a:t>
                </a:r>
              </a:p>
            </c:rich>
          </c:tx>
          <c:overlay val="0"/>
          <c:spPr>
            <a:noFill/>
            <a:ln w="0">
              <a:noFill/>
            </a:ln>
          </c:spPr>
        </c:title>
        <c:numFmt formatCode="#,##0&quot; TJS&quot;"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931568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Customers by Pipeline Stage</a:t>
            </a:r>
          </a:p>
        </c:rich>
      </c:tx>
      <c:overlay val="0"/>
      <c:spPr>
        <a:noFill/>
        <a:ln w="0">
          <a:noFill/>
        </a:ln>
      </c:spPr>
    </c:title>
    <c:autoTitleDeleted val="0"/>
    <c:plotArea>
      <c:barChart>
        <c:barDir val="bar"/>
        <c:grouping val="clustered"/>
        <c:varyColors val="0"/>
        <c:ser>
          <c:idx val="0"/>
          <c:order val="0"/>
          <c:tx>
            <c:strRef>
              <c:f>Reports!B53</c:f>
              <c:strCache>
                <c:ptCount val="1"/>
                <c:pt idx="0">
                  <c:v>Customers at Stage</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Reports!$A$54:$A$67</c:f>
              <c:strCache>
                <c:ptCount val="14"/>
                <c:pt idx="0">
                  <c:v>Contract Signed</c:v>
                </c:pt>
                <c:pt idx="1">
                  <c:v>Documents Being Prepared</c:v>
                </c:pt>
                <c:pt idx="2">
                  <c:v>Documents Completed</c:v>
                </c:pt>
                <c:pt idx="3">
                  <c:v>Documents Sent to Employer</c:v>
                </c:pt>
                <c:pt idx="4">
                  <c:v>Work Permit Issued</c:v>
                </c:pt>
                <c:pt idx="5">
                  <c:v>Employment Contract Issued</c:v>
                </c:pt>
                <c:pt idx="6">
                  <c:v>Embassy Appointment Booked</c:v>
                </c:pt>
                <c:pt idx="7">
                  <c:v>Visa Application Submitted</c:v>
                </c:pt>
                <c:pt idx="8">
                  <c:v>Visa Decision Pending</c:v>
                </c:pt>
                <c:pt idx="9">
                  <c:v>Visa Approved</c:v>
                </c:pt>
                <c:pt idx="10">
                  <c:v>Visa Rejected</c:v>
                </c:pt>
                <c:pt idx="11">
                  <c:v>Flight Ticket Prepared</c:v>
                </c:pt>
                <c:pt idx="12">
                  <c:v>Customer Departed to Europe</c:v>
                </c:pt>
                <c:pt idx="13">
                  <c:v>Case Completed</c:v>
                </c:pt>
              </c:strCache>
            </c:strRef>
          </c:cat>
          <c:val>
            <c:numRef>
              <c:f>Reports!$B$54:$B$67</c:f>
              <c:numCache>
                <c:formatCode>#,##0</c:formatCode>
                <c:ptCount val="14"/>
                <c:pt idx="0">
                  <c:v>0</c:v>
                </c:pt>
                <c:pt idx="1">
                  <c:v>1</c:v>
                </c:pt>
                <c:pt idx="2">
                  <c:v>0</c:v>
                </c:pt>
                <c:pt idx="3">
                  <c:v>1</c:v>
                </c:pt>
                <c:pt idx="4">
                  <c:v>0</c:v>
                </c:pt>
                <c:pt idx="5">
                  <c:v>1</c:v>
                </c:pt>
                <c:pt idx="6">
                  <c:v>1</c:v>
                </c:pt>
                <c:pt idx="7">
                  <c:v>1</c:v>
                </c:pt>
                <c:pt idx="8">
                  <c:v>1</c:v>
                </c:pt>
                <c:pt idx="9">
                  <c:v>1</c:v>
                </c:pt>
                <c:pt idx="10">
                  <c:v>1</c:v>
                </c:pt>
                <c:pt idx="11">
                  <c:v>1</c:v>
                </c:pt>
                <c:pt idx="12">
                  <c:v>1</c:v>
                </c:pt>
                <c:pt idx="13">
                  <c:v>2</c:v>
                </c:pt>
              </c:numCache>
            </c:numRef>
          </c:val>
        </c:ser>
        <c:gapWidth val="150"/>
        <c:overlap val="0"/>
        <c:axId val="22691240"/>
        <c:axId val="36661908"/>
      </c:barChart>
      <c:catAx>
        <c:axId val="226912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661908"/>
        <c:crosses val="autoZero"/>
        <c:auto val="1"/>
        <c:lblAlgn val="ctr"/>
        <c:lblOffset val="100"/>
        <c:noMultiLvlLbl val="0"/>
      </c:catAx>
      <c:valAx>
        <c:axId val="36661908"/>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2691240"/>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0</xdr:rowOff>
    </xdr:from>
    <xdr:to>
      <xdr:col>10</xdr:col>
      <xdr:colOff>72360</xdr:colOff>
      <xdr:row>41</xdr:row>
      <xdr:rowOff>93960</xdr:rowOff>
    </xdr:to>
    <xdr:graphicFrame>
      <xdr:nvGraphicFramePr>
        <xdr:cNvPr id="1" name="Chart 1"/>
        <xdr:cNvGraphicFramePr/>
      </xdr:nvGraphicFramePr>
      <xdr:xfrm>
        <a:off x="141120" y="5657760"/>
        <a:ext cx="4895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26</xdr:row>
      <xdr:rowOff>0</xdr:rowOff>
    </xdr:from>
    <xdr:to>
      <xdr:col>19</xdr:col>
      <xdr:colOff>72000</xdr:colOff>
      <xdr:row>41</xdr:row>
      <xdr:rowOff>93960</xdr:rowOff>
    </xdr:to>
    <xdr:graphicFrame>
      <xdr:nvGraphicFramePr>
        <xdr:cNvPr id="2" name="Chart 2"/>
        <xdr:cNvGraphicFramePr/>
      </xdr:nvGraphicFramePr>
      <xdr:xfrm>
        <a:off x="4964400" y="5657760"/>
        <a:ext cx="4895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44</xdr:row>
      <xdr:rowOff>0</xdr:rowOff>
    </xdr:from>
    <xdr:to>
      <xdr:col>10</xdr:col>
      <xdr:colOff>72360</xdr:colOff>
      <xdr:row>59</xdr:row>
      <xdr:rowOff>93960</xdr:rowOff>
    </xdr:to>
    <xdr:graphicFrame>
      <xdr:nvGraphicFramePr>
        <xdr:cNvPr id="3" name="Chart 3"/>
        <xdr:cNvGraphicFramePr/>
      </xdr:nvGraphicFramePr>
      <xdr:xfrm>
        <a:off x="141120" y="9086760"/>
        <a:ext cx="4895640" cy="295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44</xdr:row>
      <xdr:rowOff>0</xdr:rowOff>
    </xdr:from>
    <xdr:to>
      <xdr:col>19</xdr:col>
      <xdr:colOff>72000</xdr:colOff>
      <xdr:row>59</xdr:row>
      <xdr:rowOff>93960</xdr:rowOff>
    </xdr:to>
    <xdr:graphicFrame>
      <xdr:nvGraphicFramePr>
        <xdr:cNvPr id="4" name="Chart 4"/>
        <xdr:cNvGraphicFramePr/>
      </xdr:nvGraphicFramePr>
      <xdr:xfrm>
        <a:off x="4964400" y="9086760"/>
        <a:ext cx="4895640" cy="295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62</xdr:row>
      <xdr:rowOff>0</xdr:rowOff>
    </xdr:from>
    <xdr:to>
      <xdr:col>10</xdr:col>
      <xdr:colOff>72360</xdr:colOff>
      <xdr:row>77</xdr:row>
      <xdr:rowOff>93960</xdr:rowOff>
    </xdr:to>
    <xdr:graphicFrame>
      <xdr:nvGraphicFramePr>
        <xdr:cNvPr id="5" name="Chart 5"/>
        <xdr:cNvGraphicFramePr/>
      </xdr:nvGraphicFramePr>
      <xdr:xfrm>
        <a:off x="141120" y="12515760"/>
        <a:ext cx="4895640" cy="295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62</xdr:row>
      <xdr:rowOff>0</xdr:rowOff>
    </xdr:from>
    <xdr:to>
      <xdr:col>19</xdr:col>
      <xdr:colOff>72000</xdr:colOff>
      <xdr:row>77</xdr:row>
      <xdr:rowOff>93960</xdr:rowOff>
    </xdr:to>
    <xdr:graphicFrame>
      <xdr:nvGraphicFramePr>
        <xdr:cNvPr id="6" name="Chart 6"/>
        <xdr:cNvGraphicFramePr/>
      </xdr:nvGraphicFramePr>
      <xdr:xfrm>
        <a:off x="4964400" y="12515760"/>
        <a:ext cx="4895640" cy="2951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80</xdr:row>
      <xdr:rowOff>0</xdr:rowOff>
    </xdr:from>
    <xdr:to>
      <xdr:col>10</xdr:col>
      <xdr:colOff>72360</xdr:colOff>
      <xdr:row>95</xdr:row>
      <xdr:rowOff>93960</xdr:rowOff>
    </xdr:to>
    <xdr:graphicFrame>
      <xdr:nvGraphicFramePr>
        <xdr:cNvPr id="7" name="Chart 7"/>
        <xdr:cNvGraphicFramePr/>
      </xdr:nvGraphicFramePr>
      <xdr:xfrm>
        <a:off x="141120" y="15944760"/>
        <a:ext cx="4895640" cy="2951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80</xdr:row>
      <xdr:rowOff>0</xdr:rowOff>
    </xdr:from>
    <xdr:to>
      <xdr:col>19</xdr:col>
      <xdr:colOff>72000</xdr:colOff>
      <xdr:row>95</xdr:row>
      <xdr:rowOff>93960</xdr:rowOff>
    </xdr:to>
    <xdr:graphicFrame>
      <xdr:nvGraphicFramePr>
        <xdr:cNvPr id="8" name="Chart 8"/>
        <xdr:cNvGraphicFramePr/>
      </xdr:nvGraphicFramePr>
      <xdr:xfrm>
        <a:off x="4964400" y="15944760"/>
        <a:ext cx="4895640" cy="2951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S25"/>
  <sheetViews>
    <sheetView showFormulas="false" showGridLines="false" showRowColHeaders="true" showZeros="true" rightToLeft="false" tabSelected="true" showOutlineSymbols="true" defaultGridColor="true" view="normal" topLeftCell="A1" colorId="64" zoomScale="80" zoomScaleNormal="80" zoomScalePageLayoutView="100" workbookViewId="0">
      <selection pane="topLeft" activeCell="A1" activeCellId="0" sqref="A1"/>
    </sheetView>
  </sheetViews>
  <sheetFormatPr defaultColWidth="8.2734375" defaultRowHeight="15" customHeight="false" zeroHeight="false" outlineLevelRow="0" outlineLevelCol="0"/>
  <cols>
    <col collapsed="false" customWidth="true" hidden="false" outlineLevel="0" max="1" min="1" style="0" width="2"/>
    <col collapsed="false" customWidth="true" hidden="false" outlineLevel="0" max="19" min="2" style="0" width="7.61"/>
    <col collapsed="false" customWidth="true" hidden="false" outlineLevel="0" max="20" min="20" style="0" width="2"/>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row>
    <row r="2" customFormat="false" ht="15.75" hidden="false" customHeight="true" outlineLevel="0" collapsed="false">
      <c r="A2" s="2" t="s">
        <v>1</v>
      </c>
      <c r="B2" s="2"/>
      <c r="C2" s="2"/>
      <c r="D2" s="2"/>
      <c r="E2" s="2"/>
      <c r="F2" s="2"/>
      <c r="G2" s="2"/>
      <c r="H2" s="2"/>
      <c r="I2" s="2"/>
      <c r="J2" s="2"/>
      <c r="K2" s="2"/>
      <c r="L2" s="2"/>
      <c r="M2" s="2"/>
      <c r="N2" s="2"/>
      <c r="O2" s="2"/>
      <c r="P2" s="2"/>
      <c r="Q2" s="2"/>
      <c r="R2" s="2"/>
      <c r="S2" s="2"/>
    </row>
    <row r="3" customFormat="false" ht="19.5" hidden="false" customHeight="true" outlineLevel="0" collapsed="false">
      <c r="B3" s="3" t="str">
        <f aca="true">" Reporting currency: TJS (Somoni)      |      Report generated: "&amp;TEXT(TODAY(),"DD MMMM YYYY")&amp;"      |      Customers in pipeline: "&amp;COUNTA(Customers!$A$4:$A$1003)&amp;"      |      Active campaigns: "&amp;COUNTIF('Marketing &amp; Advertising'!$R$4:$R$1003,"Active")</f>
        <v> Reporting currency: TJS (Somoni)      |      Report generated: 30 July 2026      |      Customers in pipeline: 12      |      Active campaigns: 3</v>
      </c>
      <c r="C3" s="3"/>
      <c r="D3" s="3"/>
      <c r="E3" s="3"/>
      <c r="F3" s="3"/>
      <c r="G3" s="3"/>
      <c r="H3" s="3"/>
      <c r="I3" s="3"/>
      <c r="J3" s="3"/>
      <c r="K3" s="3"/>
      <c r="L3" s="3"/>
      <c r="M3" s="3"/>
      <c r="N3" s="3"/>
      <c r="O3" s="3"/>
      <c r="P3" s="3"/>
      <c r="Q3" s="3"/>
      <c r="R3" s="3"/>
      <c r="S3" s="3"/>
    </row>
    <row r="5" customFormat="false" ht="21.75" hidden="false" customHeight="true" outlineLevel="0" collapsed="false">
      <c r="B5" s="4" t="s">
        <v>2</v>
      </c>
      <c r="C5" s="4"/>
      <c r="D5" s="4"/>
      <c r="E5" s="4"/>
      <c r="F5" s="4"/>
      <c r="G5" s="4"/>
      <c r="H5" s="4"/>
      <c r="I5" s="4"/>
      <c r="J5" s="4"/>
      <c r="K5" s="4"/>
      <c r="L5" s="4"/>
      <c r="M5" s="4"/>
      <c r="N5" s="4"/>
      <c r="O5" s="4"/>
      <c r="P5" s="4"/>
      <c r="Q5" s="4"/>
      <c r="R5" s="4"/>
      <c r="S5" s="4"/>
    </row>
    <row r="7" customFormat="false" ht="25.5" hidden="false" customHeight="true" outlineLevel="0" collapsed="false">
      <c r="B7" s="5" t="s">
        <v>3</v>
      </c>
      <c r="C7" s="5"/>
      <c r="D7" s="5"/>
      <c r="E7" s="6" t="s">
        <v>4</v>
      </c>
      <c r="F7" s="6"/>
      <c r="G7" s="6"/>
      <c r="H7" s="7" t="s">
        <v>5</v>
      </c>
      <c r="I7" s="7"/>
      <c r="J7" s="7"/>
      <c r="K7" s="8" t="s">
        <v>6</v>
      </c>
      <c r="L7" s="8"/>
      <c r="M7" s="8"/>
      <c r="N7" s="9" t="s">
        <v>7</v>
      </c>
      <c r="O7" s="9"/>
      <c r="P7" s="9"/>
      <c r="Q7" s="10" t="s">
        <v>8</v>
      </c>
      <c r="R7" s="10"/>
      <c r="S7" s="10"/>
    </row>
    <row r="8" customFormat="false" ht="15" hidden="false" customHeight="true" outlineLevel="0" collapsed="false">
      <c r="B8" s="11" t="n">
        <f aca="false">COUNTA('Lead Management'!$A$4:$A$1003)</f>
        <v>30</v>
      </c>
      <c r="C8" s="11"/>
      <c r="D8" s="11"/>
      <c r="E8" s="12" t="n">
        <f aca="false">COUNT('Lead Management'!$S$4:$S$1003)</f>
        <v>26</v>
      </c>
      <c r="F8" s="12"/>
      <c r="G8" s="12"/>
      <c r="H8" s="13" t="n">
        <f aca="false">COUNTA(Consultation!$A$4:$A$1003)</f>
        <v>18</v>
      </c>
      <c r="I8" s="13"/>
      <c r="J8" s="13"/>
      <c r="K8" s="14" t="n">
        <f aca="false">COUNTIF(Consultation!$J$4:$J$1003,"Completed")</f>
        <v>14</v>
      </c>
      <c r="L8" s="14"/>
      <c r="M8" s="14"/>
      <c r="N8" s="15" t="n">
        <f aca="false">COUNTA(Contracts!$A$4:$A$1003)</f>
        <v>12</v>
      </c>
      <c r="O8" s="15"/>
      <c r="P8" s="15"/>
      <c r="Q8" s="16" t="n">
        <f aca="false">COUNTIF(Customers!$R$4:$R$1003,"Active")</f>
        <v>9</v>
      </c>
      <c r="R8" s="16"/>
      <c r="S8" s="16"/>
    </row>
    <row r="9" customFormat="false" ht="15" hidden="false" customHeight="true" outlineLevel="0" collapsed="false">
      <c r="B9" s="11"/>
      <c r="C9" s="11"/>
      <c r="D9" s="11"/>
      <c r="E9" s="12"/>
      <c r="F9" s="12"/>
      <c r="G9" s="12"/>
      <c r="H9" s="13"/>
      <c r="I9" s="13"/>
      <c r="J9" s="13"/>
      <c r="K9" s="14"/>
      <c r="L9" s="14"/>
      <c r="M9" s="14"/>
      <c r="N9" s="15"/>
      <c r="O9" s="15"/>
      <c r="P9" s="15"/>
      <c r="Q9" s="16"/>
      <c r="R9" s="16"/>
      <c r="S9" s="16"/>
    </row>
    <row r="10" customFormat="false" ht="6" hidden="false" customHeight="true" outlineLevel="0" collapsed="false"/>
    <row r="11" customFormat="false" ht="25.5" hidden="false" customHeight="true" outlineLevel="0" collapsed="false">
      <c r="B11" s="5" t="s">
        <v>9</v>
      </c>
      <c r="C11" s="5"/>
      <c r="D11" s="5"/>
      <c r="E11" s="6" t="s">
        <v>10</v>
      </c>
      <c r="F11" s="6"/>
      <c r="G11" s="6"/>
      <c r="H11" s="7" t="s">
        <v>11</v>
      </c>
      <c r="I11" s="7"/>
      <c r="J11" s="7"/>
      <c r="K11" s="8" t="s">
        <v>12</v>
      </c>
      <c r="L11" s="8"/>
      <c r="M11" s="8"/>
      <c r="N11" s="9" t="s">
        <v>13</v>
      </c>
      <c r="O11" s="9"/>
      <c r="P11" s="9"/>
      <c r="Q11" s="10" t="s">
        <v>14</v>
      </c>
      <c r="R11" s="10"/>
      <c r="S11" s="10"/>
    </row>
    <row r="12" customFormat="false" ht="15" hidden="false" customHeight="true" outlineLevel="0" collapsed="false">
      <c r="B12" s="11" t="n">
        <f aca="false">COUNTIF('Process Tracking'!$AL$5:$AL$1003,"Completed")</f>
        <v>8</v>
      </c>
      <c r="C12" s="11"/>
      <c r="D12" s="11"/>
      <c r="E12" s="12" t="n">
        <f aca="false">COUNTIF('Process Tracking'!$AT$5:$AT$1003,"Completed")</f>
        <v>5</v>
      </c>
      <c r="F12" s="12"/>
      <c r="G12" s="12"/>
      <c r="H12" s="13" t="n">
        <f aca="false">COUNTIF('Process Tracking'!$AX$5:$AX$1003,"Completed")</f>
        <v>1</v>
      </c>
      <c r="I12" s="13"/>
      <c r="J12" s="13"/>
      <c r="K12" s="14" t="n">
        <f aca="false">COUNTIF('Process Tracking'!$BF$5:$BF$1003,"Completed")</f>
        <v>3</v>
      </c>
      <c r="L12" s="14"/>
      <c r="M12" s="14"/>
      <c r="N12" s="15" t="n">
        <f aca="false">COUNTA(Customers!$A$4:$A$1003)-COUNTIF(Customers!$R$4:$R$1003,"Completed")-COUNTIF(Customers!$R$4:$R$1003,"Cancelled")</f>
        <v>9</v>
      </c>
      <c r="O12" s="15"/>
      <c r="P12" s="15"/>
      <c r="Q12" s="16" t="n">
        <f aca="false">COUNTIF('Process Tracking'!$BJ$5:$BJ$1003,"Completed")</f>
        <v>2</v>
      </c>
      <c r="R12" s="16"/>
      <c r="S12" s="16"/>
    </row>
    <row r="13" customFormat="false" ht="15" hidden="false" customHeight="true" outlineLevel="0" collapsed="false">
      <c r="B13" s="11"/>
      <c r="C13" s="11"/>
      <c r="D13" s="11"/>
      <c r="E13" s="12"/>
      <c r="F13" s="12"/>
      <c r="G13" s="12"/>
      <c r="H13" s="13"/>
      <c r="I13" s="13"/>
      <c r="J13" s="13"/>
      <c r="K13" s="14"/>
      <c r="L13" s="14"/>
      <c r="M13" s="14"/>
      <c r="N13" s="15"/>
      <c r="O13" s="15"/>
      <c r="P13" s="15"/>
      <c r="Q13" s="16"/>
      <c r="R13" s="16"/>
      <c r="S13" s="16"/>
    </row>
    <row r="15" customFormat="false" ht="21.75" hidden="false" customHeight="true" outlineLevel="0" collapsed="false">
      <c r="B15" s="4" t="s">
        <v>15</v>
      </c>
      <c r="C15" s="4"/>
      <c r="D15" s="4"/>
      <c r="E15" s="4"/>
      <c r="F15" s="4"/>
      <c r="G15" s="4"/>
      <c r="H15" s="4"/>
      <c r="I15" s="4"/>
      <c r="J15" s="4"/>
      <c r="K15" s="4"/>
      <c r="L15" s="4"/>
      <c r="M15" s="4"/>
      <c r="N15" s="4"/>
      <c r="O15" s="4"/>
      <c r="P15" s="4"/>
      <c r="Q15" s="4"/>
      <c r="R15" s="4"/>
      <c r="S15" s="4"/>
    </row>
    <row r="17" customFormat="false" ht="25.5" hidden="false" customHeight="true" outlineLevel="0" collapsed="false">
      <c r="B17" s="5" t="s">
        <v>16</v>
      </c>
      <c r="C17" s="5"/>
      <c r="D17" s="5"/>
      <c r="E17" s="6" t="s">
        <v>17</v>
      </c>
      <c r="F17" s="6"/>
      <c r="G17" s="6"/>
      <c r="H17" s="7" t="s">
        <v>18</v>
      </c>
      <c r="I17" s="7"/>
      <c r="J17" s="7"/>
      <c r="K17" s="8" t="s">
        <v>19</v>
      </c>
      <c r="L17" s="8"/>
      <c r="M17" s="8"/>
      <c r="N17" s="9" t="s">
        <v>20</v>
      </c>
      <c r="O17" s="9"/>
      <c r="P17" s="9"/>
      <c r="Q17" s="10" t="s">
        <v>21</v>
      </c>
      <c r="R17" s="10"/>
      <c r="S17" s="10"/>
    </row>
    <row r="18" customFormat="false" ht="15" hidden="false" customHeight="true" outlineLevel="0" collapsed="false">
      <c r="B18" s="17" t="n">
        <f aca="true">SUMIFS(Finance!$E$4:$E$1003,Finance!$F$4:$F$1003,TODAY(),Finance!$J$4:$J$1003,"Paid")</f>
        <v>9300</v>
      </c>
      <c r="C18" s="17"/>
      <c r="D18" s="17"/>
      <c r="E18" s="18" t="n">
        <f aca="true">SUMIFS(Finance!$E$4:$E$1003,Finance!$F$4:$F$1003,"&gt;="&amp;EOMONTH(TODAY(),-1)+1,Finance!$F$4:$F$1003,"&lt;="&amp;EOMONTH(TODAY(),0),Finance!$J$4:$J$1003,"Paid")</f>
        <v>9300</v>
      </c>
      <c r="F18" s="18"/>
      <c r="G18" s="18"/>
      <c r="H18" s="19" t="n">
        <f aca="false">Finance!$AA$4</f>
        <v>225250</v>
      </c>
      <c r="I18" s="19"/>
      <c r="J18" s="19"/>
      <c r="K18" s="20" t="n">
        <f aca="false">Finance!$AA$5</f>
        <v>700</v>
      </c>
      <c r="L18" s="20"/>
      <c r="M18" s="20"/>
      <c r="N18" s="21" t="n">
        <f aca="false">Finance!$AA$6</f>
        <v>225950</v>
      </c>
      <c r="O18" s="21"/>
      <c r="P18" s="21"/>
      <c r="Q18" s="22" t="n">
        <f aca="false">Finance!$AA$9</f>
        <v>12250</v>
      </c>
      <c r="R18" s="22"/>
      <c r="S18" s="22"/>
    </row>
    <row r="19" customFormat="false" ht="15" hidden="false" customHeight="true" outlineLevel="0" collapsed="false">
      <c r="B19" s="17"/>
      <c r="C19" s="17"/>
      <c r="D19" s="17"/>
      <c r="E19" s="18"/>
      <c r="F19" s="18"/>
      <c r="G19" s="18"/>
      <c r="H19" s="19"/>
      <c r="I19" s="19"/>
      <c r="J19" s="19"/>
      <c r="K19" s="20"/>
      <c r="L19" s="20"/>
      <c r="M19" s="20"/>
      <c r="N19" s="21"/>
      <c r="O19" s="21"/>
      <c r="P19" s="21"/>
      <c r="Q19" s="22"/>
      <c r="R19" s="22"/>
      <c r="S19" s="22"/>
    </row>
    <row r="20" customFormat="false" ht="6" hidden="false" customHeight="true" outlineLevel="0" collapsed="false"/>
    <row r="21" customFormat="false" ht="25.5" hidden="false" customHeight="true" outlineLevel="0" collapsed="false">
      <c r="B21" s="5" t="s">
        <v>22</v>
      </c>
      <c r="C21" s="5"/>
      <c r="D21" s="5"/>
      <c r="E21" s="6" t="s">
        <v>23</v>
      </c>
      <c r="F21" s="6"/>
      <c r="G21" s="6"/>
      <c r="H21" s="7" t="s">
        <v>24</v>
      </c>
      <c r="I21" s="7"/>
      <c r="J21" s="7"/>
      <c r="K21" s="8" t="s">
        <v>25</v>
      </c>
      <c r="L21" s="8"/>
      <c r="M21" s="8"/>
      <c r="N21" s="9" t="s">
        <v>26</v>
      </c>
      <c r="O21" s="9"/>
      <c r="P21" s="9"/>
      <c r="Q21" s="10" t="s">
        <v>27</v>
      </c>
      <c r="R21" s="10"/>
      <c r="S21" s="10"/>
    </row>
    <row r="22" customFormat="false" ht="15" hidden="false" customHeight="true" outlineLevel="0" collapsed="false">
      <c r="B22" s="17" t="n">
        <f aca="false">Finance!$AA$10</f>
        <v>63750</v>
      </c>
      <c r="C22" s="17"/>
      <c r="D22" s="17"/>
      <c r="E22" s="18" t="n">
        <f aca="false">Finance!$AA$11</f>
        <v>289000</v>
      </c>
      <c r="F22" s="18"/>
      <c r="G22" s="18"/>
      <c r="H22" s="19" t="n">
        <f aca="false">Finance!$AA$18</f>
        <v>192300</v>
      </c>
      <c r="I22" s="19"/>
      <c r="J22" s="19"/>
      <c r="K22" s="23" t="n">
        <f aca="false">Finance!$AA$20</f>
        <v>33650</v>
      </c>
      <c r="L22" s="23"/>
      <c r="M22" s="23"/>
      <c r="N22" s="24" t="n">
        <f aca="false">Finance!$AA$21</f>
        <v>0.148926753706572</v>
      </c>
      <c r="O22" s="24"/>
      <c r="P22" s="24"/>
      <c r="Q22" s="25" t="n">
        <f aca="false">Finance!$AA$22</f>
        <v>0.779411764705882</v>
      </c>
      <c r="R22" s="25"/>
      <c r="S22" s="25"/>
    </row>
    <row r="23" customFormat="false" ht="15" hidden="false" customHeight="true" outlineLevel="0" collapsed="false">
      <c r="B23" s="17"/>
      <c r="C23" s="17"/>
      <c r="D23" s="17"/>
      <c r="E23" s="18"/>
      <c r="F23" s="18"/>
      <c r="G23" s="18"/>
      <c r="H23" s="19"/>
      <c r="I23" s="19"/>
      <c r="J23" s="19"/>
      <c r="K23" s="23"/>
      <c r="L23" s="23"/>
      <c r="M23" s="23"/>
      <c r="N23" s="24"/>
      <c r="O23" s="24"/>
      <c r="P23" s="24"/>
      <c r="Q23" s="25"/>
      <c r="R23" s="25"/>
      <c r="S23" s="25"/>
    </row>
    <row r="24" customFormat="false" ht="6" hidden="false" customHeight="true" outlineLevel="0" collapsed="false"/>
    <row r="25" customFormat="false" ht="21.75" hidden="false" customHeight="true" outlineLevel="0" collapsed="false">
      <c r="B25" s="4" t="s">
        <v>28</v>
      </c>
      <c r="C25" s="4"/>
      <c r="D25" s="4"/>
      <c r="E25" s="4"/>
      <c r="F25" s="4"/>
      <c r="G25" s="4"/>
      <c r="H25" s="4"/>
      <c r="I25" s="4"/>
      <c r="J25" s="4"/>
      <c r="K25" s="4"/>
      <c r="L25" s="4"/>
      <c r="M25" s="4"/>
      <c r="N25" s="4"/>
      <c r="O25" s="4"/>
      <c r="P25" s="4"/>
      <c r="Q25" s="4"/>
      <c r="R25" s="4"/>
      <c r="S25" s="4"/>
    </row>
  </sheetData>
  <mergeCells count="54">
    <mergeCell ref="A1:S1"/>
    <mergeCell ref="A2:S2"/>
    <mergeCell ref="B3:S3"/>
    <mergeCell ref="B5:S5"/>
    <mergeCell ref="B7:D7"/>
    <mergeCell ref="E7:G7"/>
    <mergeCell ref="H7:J7"/>
    <mergeCell ref="K7:M7"/>
    <mergeCell ref="N7:P7"/>
    <mergeCell ref="Q7:S7"/>
    <mergeCell ref="B8:D9"/>
    <mergeCell ref="E8:G9"/>
    <mergeCell ref="H8:J9"/>
    <mergeCell ref="K8:M9"/>
    <mergeCell ref="N8:P9"/>
    <mergeCell ref="Q8:S9"/>
    <mergeCell ref="B11:D11"/>
    <mergeCell ref="E11:G11"/>
    <mergeCell ref="H11:J11"/>
    <mergeCell ref="K11:M11"/>
    <mergeCell ref="N11:P11"/>
    <mergeCell ref="Q11:S11"/>
    <mergeCell ref="B12:D13"/>
    <mergeCell ref="E12:G13"/>
    <mergeCell ref="H12:J13"/>
    <mergeCell ref="K12:M13"/>
    <mergeCell ref="N12:P13"/>
    <mergeCell ref="Q12:S13"/>
    <mergeCell ref="B15:S15"/>
    <mergeCell ref="B17:D17"/>
    <mergeCell ref="E17:G17"/>
    <mergeCell ref="H17:J17"/>
    <mergeCell ref="K17:M17"/>
    <mergeCell ref="N17:P17"/>
    <mergeCell ref="Q17:S17"/>
    <mergeCell ref="B18:D19"/>
    <mergeCell ref="E18:G19"/>
    <mergeCell ref="H18:J19"/>
    <mergeCell ref="K18:M19"/>
    <mergeCell ref="N18:P19"/>
    <mergeCell ref="Q18:S19"/>
    <mergeCell ref="B21:D21"/>
    <mergeCell ref="E21:G21"/>
    <mergeCell ref="H21:J21"/>
    <mergeCell ref="K21:M21"/>
    <mergeCell ref="N21:P21"/>
    <mergeCell ref="Q21:S21"/>
    <mergeCell ref="B22:D23"/>
    <mergeCell ref="E22:G23"/>
    <mergeCell ref="H22:J23"/>
    <mergeCell ref="K22:M23"/>
    <mergeCell ref="N22:P23"/>
    <mergeCell ref="Q22:S23"/>
    <mergeCell ref="B25:S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X2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27343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4" min="3" style="0" width="17"/>
    <col collapsed="false" customWidth="true" hidden="false" outlineLevel="0" max="5" min="5" style="0" width="24"/>
    <col collapsed="false" customWidth="true" hidden="false" outlineLevel="0" max="6" min="6" style="0" width="15"/>
    <col collapsed="false" customWidth="true" hidden="false" outlineLevel="0" max="7" min="7" style="0" width="12"/>
    <col collapsed="false" customWidth="true" hidden="false" outlineLevel="0" max="8" min="8" style="0" width="13"/>
    <col collapsed="false" customWidth="true" hidden="false" outlineLevel="0" max="9" min="9" style="0" width="6"/>
    <col collapsed="false" customWidth="true" hidden="false" outlineLevel="0" max="10" min="10" style="0" width="20"/>
    <col collapsed="false" customWidth="true" hidden="false" outlineLevel="0" max="11" min="11" style="0" width="12"/>
    <col collapsed="false" customWidth="true" hidden="false" outlineLevel="0" max="13" min="12" style="0" width="14"/>
    <col collapsed="false" customWidth="true" hidden="false" outlineLevel="0" max="14" min="14" style="0" width="20"/>
    <col collapsed="false" customWidth="true" hidden="false" outlineLevel="0" max="15" min="15" style="0" width="12"/>
    <col collapsed="false" customWidth="true" hidden="false" outlineLevel="0" max="16" min="16" style="0" width="14"/>
    <col collapsed="false" customWidth="true" hidden="false" outlineLevel="0" max="18" min="17" style="0" width="20"/>
    <col collapsed="false" customWidth="true" hidden="false" outlineLevel="0" max="20" min="19" style="0" width="14"/>
    <col collapsed="false" customWidth="true" hidden="false" outlineLevel="0" max="21" min="21" style="0" width="11"/>
    <col collapsed="false" customWidth="true" hidden="false" outlineLevel="0" max="22" min="22" style="0" width="12"/>
    <col collapsed="false" customWidth="true" hidden="false" outlineLevel="0" max="23" min="23" style="0" width="13"/>
    <col collapsed="false" customWidth="true" hidden="false" outlineLevel="0" max="24" min="24" style="0" width="44"/>
  </cols>
  <sheetData>
    <row r="1" customFormat="false" ht="30" hidden="false" customHeight="true" outlineLevel="0" collapsed="false">
      <c r="A1" s="1" t="s">
        <v>29</v>
      </c>
      <c r="B1" s="1"/>
      <c r="C1" s="1"/>
      <c r="D1" s="1"/>
      <c r="E1" s="1"/>
      <c r="F1" s="1"/>
      <c r="G1" s="1"/>
      <c r="H1" s="1"/>
      <c r="I1" s="1"/>
      <c r="J1" s="1"/>
      <c r="K1" s="1"/>
      <c r="L1" s="1"/>
      <c r="M1" s="1"/>
      <c r="N1" s="1"/>
      <c r="O1" s="1"/>
      <c r="P1" s="1"/>
      <c r="Q1" s="1"/>
      <c r="R1" s="1"/>
      <c r="S1" s="1"/>
      <c r="T1" s="1"/>
      <c r="U1" s="1"/>
      <c r="V1" s="1"/>
      <c r="W1" s="1"/>
      <c r="X1" s="1"/>
    </row>
    <row r="2" customFormat="false" ht="15.75" hidden="false" customHeight="true" outlineLevel="0" collapsed="false">
      <c r="A2" s="2" t="s">
        <v>30</v>
      </c>
      <c r="B2" s="2"/>
      <c r="C2" s="2"/>
      <c r="D2" s="2"/>
      <c r="E2" s="2"/>
      <c r="F2" s="2"/>
      <c r="G2" s="2"/>
      <c r="H2" s="2"/>
      <c r="I2" s="2"/>
      <c r="J2" s="2"/>
      <c r="K2" s="2"/>
      <c r="L2" s="2"/>
      <c r="M2" s="2"/>
      <c r="N2" s="2"/>
      <c r="O2" s="2"/>
      <c r="P2" s="2"/>
      <c r="Q2" s="2"/>
      <c r="R2" s="2"/>
      <c r="S2" s="2"/>
      <c r="T2" s="2"/>
      <c r="U2" s="2"/>
      <c r="V2" s="2"/>
      <c r="W2" s="2"/>
      <c r="X2" s="2"/>
    </row>
    <row r="3" customFormat="false" ht="31.5" hidden="false" customHeight="true" outlineLevel="0" collapsed="false">
      <c r="A3" s="26" t="s">
        <v>31</v>
      </c>
      <c r="B3" s="26" t="s">
        <v>32</v>
      </c>
      <c r="C3" s="26" t="s">
        <v>33</v>
      </c>
      <c r="D3" s="26" t="s">
        <v>34</v>
      </c>
      <c r="E3" s="26" t="s">
        <v>35</v>
      </c>
      <c r="F3" s="26" t="s">
        <v>36</v>
      </c>
      <c r="G3" s="26" t="s">
        <v>37</v>
      </c>
      <c r="H3" s="26" t="s">
        <v>38</v>
      </c>
      <c r="I3" s="26" t="s">
        <v>39</v>
      </c>
      <c r="J3" s="26" t="s">
        <v>40</v>
      </c>
      <c r="K3" s="26" t="s">
        <v>41</v>
      </c>
      <c r="L3" s="26" t="s">
        <v>42</v>
      </c>
      <c r="M3" s="26" t="s">
        <v>43</v>
      </c>
      <c r="N3" s="26" t="s">
        <v>44</v>
      </c>
      <c r="O3" s="26" t="s">
        <v>45</v>
      </c>
      <c r="P3" s="26" t="s">
        <v>46</v>
      </c>
      <c r="Q3" s="26" t="s">
        <v>47</v>
      </c>
      <c r="R3" s="26" t="s">
        <v>48</v>
      </c>
      <c r="S3" s="26" t="s">
        <v>49</v>
      </c>
      <c r="T3" s="26" t="s">
        <v>50</v>
      </c>
      <c r="U3" s="26" t="s">
        <v>51</v>
      </c>
      <c r="V3" s="26" t="s">
        <v>52</v>
      </c>
      <c r="W3" s="26" t="s">
        <v>53</v>
      </c>
      <c r="X3" s="26" t="s">
        <v>54</v>
      </c>
    </row>
    <row r="4" customFormat="false" ht="15.75" hidden="false" customHeight="true" outlineLevel="0" collapsed="false">
      <c r="A4" s="27" t="s">
        <v>55</v>
      </c>
      <c r="B4" s="28" t="s">
        <v>56</v>
      </c>
      <c r="C4" s="28" t="s">
        <v>57</v>
      </c>
      <c r="D4" s="28" t="s">
        <v>57</v>
      </c>
      <c r="E4" s="28" t="s">
        <v>58</v>
      </c>
      <c r="F4" s="28" t="s">
        <v>59</v>
      </c>
      <c r="G4" s="27" t="s">
        <v>60</v>
      </c>
      <c r="H4" s="29" t="n">
        <v>33767</v>
      </c>
      <c r="I4" s="30" t="n">
        <f aca="true">IF($H4="","",DATEDIF($H4,TODAY(),"Y"))</f>
        <v>34</v>
      </c>
      <c r="J4" s="28" t="s">
        <v>61</v>
      </c>
      <c r="K4" s="27" t="s">
        <v>62</v>
      </c>
      <c r="L4" s="27" t="s">
        <v>63</v>
      </c>
      <c r="M4" s="27" t="s">
        <v>64</v>
      </c>
      <c r="N4" s="28" t="s">
        <v>65</v>
      </c>
      <c r="O4" s="27" t="s">
        <v>66</v>
      </c>
      <c r="P4" s="29" t="n">
        <v>46030</v>
      </c>
      <c r="Q4" s="28" t="s">
        <v>67</v>
      </c>
      <c r="R4" s="27" t="s">
        <v>68</v>
      </c>
      <c r="S4" s="29" t="n">
        <v>46032</v>
      </c>
      <c r="T4" s="29"/>
      <c r="U4" s="30" t="n">
        <f aca="true">IF($P4="","",TODAY()-$P4)</f>
        <v>203</v>
      </c>
      <c r="V4" s="31" t="str">
        <f aca="false">IF($A4="","",IF(COUNTIF(Consultation!$B$4:$B$1003,$A4)&gt;0,"Yes","No"))</f>
        <v>Yes</v>
      </c>
      <c r="W4" s="31" t="str">
        <f aca="false">IF($A4="","",IF(COUNTIF(Customers!$B$4:$B$1003,$A4)&gt;0,"Yes","No"))</f>
        <v>Yes</v>
      </c>
      <c r="X4" s="32" t="s">
        <v>69</v>
      </c>
    </row>
    <row r="5" customFormat="false" ht="15.75" hidden="false" customHeight="true" outlineLevel="0" collapsed="false">
      <c r="A5" s="27" t="s">
        <v>70</v>
      </c>
      <c r="B5" s="28" t="s">
        <v>71</v>
      </c>
      <c r="C5" s="28" t="s">
        <v>72</v>
      </c>
      <c r="D5" s="28" t="s">
        <v>72</v>
      </c>
      <c r="E5" s="28" t="s">
        <v>73</v>
      </c>
      <c r="F5" s="28" t="s">
        <v>74</v>
      </c>
      <c r="G5" s="27" t="s">
        <v>60</v>
      </c>
      <c r="H5" s="29" t="n">
        <v>36487</v>
      </c>
      <c r="I5" s="30" t="n">
        <f aca="true">IF($H5="","",DATEDIF($H5,TODAY(),"Y"))</f>
        <v>26</v>
      </c>
      <c r="J5" s="28" t="s">
        <v>75</v>
      </c>
      <c r="K5" s="27" t="s">
        <v>76</v>
      </c>
      <c r="L5" s="27" t="s">
        <v>77</v>
      </c>
      <c r="M5" s="27" t="s">
        <v>63</v>
      </c>
      <c r="N5" s="28" t="s">
        <v>78</v>
      </c>
      <c r="O5" s="27" t="s">
        <v>66</v>
      </c>
      <c r="P5" s="29" t="n">
        <v>46037</v>
      </c>
      <c r="Q5" s="28" t="s">
        <v>79</v>
      </c>
      <c r="R5" s="27" t="s">
        <v>68</v>
      </c>
      <c r="S5" s="29" t="n">
        <v>46039</v>
      </c>
      <c r="T5" s="29"/>
      <c r="U5" s="30" t="n">
        <f aca="true">IF($P5="","",TODAY()-$P5)</f>
        <v>196</v>
      </c>
      <c r="V5" s="31" t="str">
        <f aca="false">IF($A5="","",IF(COUNTIF(Consultation!$B$4:$B$1003,$A5)&gt;0,"Yes","No"))</f>
        <v>Yes</v>
      </c>
      <c r="W5" s="31" t="str">
        <f aca="false">IF($A5="","",IF(COUNTIF(Customers!$B$4:$B$1003,$A5)&gt;0,"Yes","No"))</f>
        <v>Yes</v>
      </c>
      <c r="X5" s="32"/>
    </row>
    <row r="6" customFormat="false" ht="15.75" hidden="false" customHeight="true" outlineLevel="0" collapsed="false">
      <c r="A6" s="27" t="s">
        <v>80</v>
      </c>
      <c r="B6" s="28" t="s">
        <v>81</v>
      </c>
      <c r="C6" s="28" t="s">
        <v>82</v>
      </c>
      <c r="D6" s="28" t="s">
        <v>82</v>
      </c>
      <c r="E6" s="28" t="s">
        <v>83</v>
      </c>
      <c r="F6" s="28" t="s">
        <v>84</v>
      </c>
      <c r="G6" s="27" t="s">
        <v>60</v>
      </c>
      <c r="H6" s="29" t="n">
        <v>32240</v>
      </c>
      <c r="I6" s="30" t="n">
        <f aca="true">IF($H6="","",DATEDIF($H6,TODAY(),"Y"))</f>
        <v>38</v>
      </c>
      <c r="J6" s="28" t="s">
        <v>85</v>
      </c>
      <c r="K6" s="27" t="s">
        <v>86</v>
      </c>
      <c r="L6" s="27" t="s">
        <v>87</v>
      </c>
      <c r="M6" s="27" t="s">
        <v>77</v>
      </c>
      <c r="N6" s="28" t="s">
        <v>88</v>
      </c>
      <c r="O6" s="27" t="s">
        <v>89</v>
      </c>
      <c r="P6" s="29" t="n">
        <v>46058</v>
      </c>
      <c r="Q6" s="28" t="s">
        <v>90</v>
      </c>
      <c r="R6" s="27" t="s">
        <v>68</v>
      </c>
      <c r="S6" s="29" t="n">
        <v>46060</v>
      </c>
      <c r="T6" s="29"/>
      <c r="U6" s="30" t="n">
        <f aca="true">IF($P6="","",TODAY()-$P6)</f>
        <v>175</v>
      </c>
      <c r="V6" s="31" t="str">
        <f aca="false">IF($A6="","",IF(COUNTIF(Consultation!$B$4:$B$1003,$A6)&gt;0,"Yes","No"))</f>
        <v>Yes</v>
      </c>
      <c r="W6" s="31" t="str">
        <f aca="false">IF($A6="","",IF(COUNTIF(Customers!$B$4:$B$1003,$A6)&gt;0,"Yes","No"))</f>
        <v>Yes</v>
      </c>
      <c r="X6" s="32" t="s">
        <v>91</v>
      </c>
    </row>
    <row r="7" customFormat="false" ht="15.75" hidden="false" customHeight="true" outlineLevel="0" collapsed="false">
      <c r="A7" s="27" t="s">
        <v>92</v>
      </c>
      <c r="B7" s="28" t="s">
        <v>93</v>
      </c>
      <c r="C7" s="28" t="s">
        <v>94</v>
      </c>
      <c r="D7" s="28" t="s">
        <v>94</v>
      </c>
      <c r="E7" s="28" t="s">
        <v>95</v>
      </c>
      <c r="F7" s="28" t="s">
        <v>96</v>
      </c>
      <c r="G7" s="27" t="s">
        <v>60</v>
      </c>
      <c r="H7" s="29" t="n">
        <v>34960</v>
      </c>
      <c r="I7" s="30" t="n">
        <f aca="true">IF($H7="","",DATEDIF($H7,TODAY(),"Y"))</f>
        <v>30</v>
      </c>
      <c r="J7" s="28" t="s">
        <v>97</v>
      </c>
      <c r="K7" s="27" t="s">
        <v>98</v>
      </c>
      <c r="L7" s="27" t="s">
        <v>64</v>
      </c>
      <c r="M7" s="27" t="s">
        <v>99</v>
      </c>
      <c r="N7" s="28" t="s">
        <v>65</v>
      </c>
      <c r="O7" s="27" t="s">
        <v>66</v>
      </c>
      <c r="P7" s="29" t="n">
        <v>46065</v>
      </c>
      <c r="Q7" s="28" t="s">
        <v>67</v>
      </c>
      <c r="R7" s="27" t="s">
        <v>68</v>
      </c>
      <c r="S7" s="29" t="n">
        <v>46067</v>
      </c>
      <c r="T7" s="29"/>
      <c r="U7" s="30" t="n">
        <f aca="true">IF($P7="","",TODAY()-$P7)</f>
        <v>168</v>
      </c>
      <c r="V7" s="31" t="str">
        <f aca="false">IF($A7="","",IF(COUNTIF(Consultation!$B$4:$B$1003,$A7)&gt;0,"Yes","No"))</f>
        <v>Yes</v>
      </c>
      <c r="W7" s="31" t="str">
        <f aca="false">IF($A7="","",IF(COUNTIF(Customers!$B$4:$B$1003,$A7)&gt;0,"Yes","No"))</f>
        <v>Yes</v>
      </c>
      <c r="X7" s="32"/>
    </row>
    <row r="8" customFormat="false" ht="15.75" hidden="false" customHeight="true" outlineLevel="0" collapsed="false">
      <c r="A8" s="27" t="s">
        <v>100</v>
      </c>
      <c r="B8" s="28" t="s">
        <v>101</v>
      </c>
      <c r="C8" s="28" t="s">
        <v>102</v>
      </c>
      <c r="D8" s="28" t="s">
        <v>102</v>
      </c>
      <c r="E8" s="28" t="s">
        <v>103</v>
      </c>
      <c r="F8" s="28" t="s">
        <v>104</v>
      </c>
      <c r="G8" s="27" t="s">
        <v>60</v>
      </c>
      <c r="H8" s="29" t="n">
        <v>37289</v>
      </c>
      <c r="I8" s="30" t="n">
        <f aca="true">IF($H8="","",DATEDIF($H8,TODAY(),"Y"))</f>
        <v>24</v>
      </c>
      <c r="J8" s="28" t="s">
        <v>105</v>
      </c>
      <c r="K8" s="27" t="s">
        <v>62</v>
      </c>
      <c r="L8" s="27" t="s">
        <v>63</v>
      </c>
      <c r="M8" s="27" t="s">
        <v>64</v>
      </c>
      <c r="N8" s="28" t="s">
        <v>106</v>
      </c>
      <c r="O8" s="27" t="s">
        <v>107</v>
      </c>
      <c r="P8" s="29" t="n">
        <v>46044</v>
      </c>
      <c r="Q8" s="28" t="s">
        <v>79</v>
      </c>
      <c r="R8" s="27" t="s">
        <v>68</v>
      </c>
      <c r="S8" s="29" t="n">
        <v>46046</v>
      </c>
      <c r="T8" s="29"/>
      <c r="U8" s="30" t="n">
        <f aca="true">IF($P8="","",TODAY()-$P8)</f>
        <v>189</v>
      </c>
      <c r="V8" s="31" t="str">
        <f aca="false">IF($A8="","",IF(COUNTIF(Consultation!$B$4:$B$1003,$A8)&gt;0,"Yes","No"))</f>
        <v>Yes</v>
      </c>
      <c r="W8" s="31" t="str">
        <f aca="false">IF($A8="","",IF(COUNTIF(Customers!$B$4:$B$1003,$A8)&gt;0,"Yes","No"))</f>
        <v>Yes</v>
      </c>
      <c r="X8" s="32" t="s">
        <v>108</v>
      </c>
    </row>
    <row r="9" customFormat="false" ht="15.75" hidden="false" customHeight="true" outlineLevel="0" collapsed="false">
      <c r="A9" s="27" t="s">
        <v>109</v>
      </c>
      <c r="B9" s="28" t="s">
        <v>110</v>
      </c>
      <c r="C9" s="28" t="s">
        <v>111</v>
      </c>
      <c r="D9" s="28" t="s">
        <v>111</v>
      </c>
      <c r="E9" s="28" t="s">
        <v>112</v>
      </c>
      <c r="F9" s="28" t="s">
        <v>113</v>
      </c>
      <c r="G9" s="27" t="s">
        <v>60</v>
      </c>
      <c r="H9" s="29" t="n">
        <v>33432</v>
      </c>
      <c r="I9" s="30" t="n">
        <f aca="true">IF($H9="","",DATEDIF($H9,TODAY(),"Y"))</f>
        <v>35</v>
      </c>
      <c r="J9" s="28" t="s">
        <v>61</v>
      </c>
      <c r="K9" s="27" t="s">
        <v>76</v>
      </c>
      <c r="L9" s="27" t="s">
        <v>77</v>
      </c>
      <c r="M9" s="27" t="s">
        <v>63</v>
      </c>
      <c r="N9" s="28" t="s">
        <v>78</v>
      </c>
      <c r="O9" s="27" t="s">
        <v>114</v>
      </c>
      <c r="P9" s="29" t="n">
        <v>46071</v>
      </c>
      <c r="Q9" s="28" t="s">
        <v>90</v>
      </c>
      <c r="R9" s="27" t="s">
        <v>68</v>
      </c>
      <c r="S9" s="29" t="n">
        <v>46073</v>
      </c>
      <c r="T9" s="29"/>
      <c r="U9" s="30" t="n">
        <f aca="true">IF($P9="","",TODAY()-$P9)</f>
        <v>162</v>
      </c>
      <c r="V9" s="31" t="str">
        <f aca="false">IF($A9="","",IF(COUNTIF(Consultation!$B$4:$B$1003,$A9)&gt;0,"Yes","No"))</f>
        <v>Yes</v>
      </c>
      <c r="W9" s="31" t="str">
        <f aca="false">IF($A9="","",IF(COUNTIF(Customers!$B$4:$B$1003,$A9)&gt;0,"Yes","No"))</f>
        <v>Yes</v>
      </c>
      <c r="X9" s="32"/>
    </row>
    <row r="10" customFormat="false" ht="15.75" hidden="false" customHeight="true" outlineLevel="0" collapsed="false">
      <c r="A10" s="27" t="s">
        <v>115</v>
      </c>
      <c r="B10" s="28" t="s">
        <v>116</v>
      </c>
      <c r="C10" s="28" t="s">
        <v>117</v>
      </c>
      <c r="D10" s="28" t="s">
        <v>117</v>
      </c>
      <c r="E10" s="28" t="s">
        <v>118</v>
      </c>
      <c r="F10" s="28" t="s">
        <v>119</v>
      </c>
      <c r="G10" s="27" t="s">
        <v>60</v>
      </c>
      <c r="H10" s="29" t="n">
        <v>36153</v>
      </c>
      <c r="I10" s="30" t="n">
        <f aca="true">IF($H10="","",DATEDIF($H10,TODAY(),"Y"))</f>
        <v>27</v>
      </c>
      <c r="J10" s="28" t="s">
        <v>75</v>
      </c>
      <c r="K10" s="27" t="s">
        <v>86</v>
      </c>
      <c r="L10" s="27" t="s">
        <v>87</v>
      </c>
      <c r="M10" s="27" t="s">
        <v>77</v>
      </c>
      <c r="N10" s="28" t="s">
        <v>65</v>
      </c>
      <c r="O10" s="27" t="s">
        <v>66</v>
      </c>
      <c r="P10" s="29" t="n">
        <v>46085</v>
      </c>
      <c r="Q10" s="28" t="s">
        <v>67</v>
      </c>
      <c r="R10" s="27" t="s">
        <v>68</v>
      </c>
      <c r="S10" s="29" t="n">
        <v>46087</v>
      </c>
      <c r="T10" s="29"/>
      <c r="U10" s="30" t="n">
        <f aca="true">IF($P10="","",TODAY()-$P10)</f>
        <v>148</v>
      </c>
      <c r="V10" s="31" t="str">
        <f aca="false">IF($A10="","",IF(COUNTIF(Consultation!$B$4:$B$1003,$A10)&gt;0,"Yes","No"))</f>
        <v>Yes</v>
      </c>
      <c r="W10" s="31" t="str">
        <f aca="false">IF($A10="","",IF(COUNTIF(Customers!$B$4:$B$1003,$A10)&gt;0,"Yes","No"))</f>
        <v>Yes</v>
      </c>
      <c r="X10" s="32"/>
    </row>
    <row r="11" customFormat="false" ht="15.75" hidden="false" customHeight="true" outlineLevel="0" collapsed="false">
      <c r="A11" s="27" t="s">
        <v>120</v>
      </c>
      <c r="B11" s="28" t="s">
        <v>90</v>
      </c>
      <c r="C11" s="28" t="s">
        <v>121</v>
      </c>
      <c r="D11" s="28" t="s">
        <v>121</v>
      </c>
      <c r="E11" s="28" t="s">
        <v>122</v>
      </c>
      <c r="F11" s="28" t="s">
        <v>123</v>
      </c>
      <c r="G11" s="27" t="s">
        <v>60</v>
      </c>
      <c r="H11" s="29" t="n">
        <v>31905</v>
      </c>
      <c r="I11" s="30" t="n">
        <f aca="true">IF($H11="","",DATEDIF($H11,TODAY(),"Y"))</f>
        <v>39</v>
      </c>
      <c r="J11" s="28" t="s">
        <v>85</v>
      </c>
      <c r="K11" s="27" t="s">
        <v>98</v>
      </c>
      <c r="L11" s="27" t="s">
        <v>64</v>
      </c>
      <c r="M11" s="27" t="s">
        <v>99</v>
      </c>
      <c r="N11" s="28" t="s">
        <v>124</v>
      </c>
      <c r="O11" s="27" t="s">
        <v>66</v>
      </c>
      <c r="P11" s="29" t="n">
        <v>46092</v>
      </c>
      <c r="Q11" s="28" t="s">
        <v>79</v>
      </c>
      <c r="R11" s="27" t="s">
        <v>68</v>
      </c>
      <c r="S11" s="29" t="n">
        <v>46094</v>
      </c>
      <c r="T11" s="29"/>
      <c r="U11" s="30" t="n">
        <f aca="true">IF($P11="","",TODAY()-$P11)</f>
        <v>141</v>
      </c>
      <c r="V11" s="31" t="str">
        <f aca="false">IF($A11="","",IF(COUNTIF(Consultation!$B$4:$B$1003,$A11)&gt;0,"Yes","No"))</f>
        <v>Yes</v>
      </c>
      <c r="W11" s="31" t="str">
        <f aca="false">IF($A11="","",IF(COUNTIF(Customers!$B$4:$B$1003,$A11)&gt;0,"Yes","No"))</f>
        <v>Yes</v>
      </c>
      <c r="X11" s="32" t="s">
        <v>125</v>
      </c>
    </row>
    <row r="12" customFormat="false" ht="15.75" hidden="false" customHeight="true" outlineLevel="0" collapsed="false">
      <c r="A12" s="27" t="s">
        <v>126</v>
      </c>
      <c r="B12" s="28" t="s">
        <v>127</v>
      </c>
      <c r="C12" s="28" t="s">
        <v>128</v>
      </c>
      <c r="D12" s="28" t="s">
        <v>128</v>
      </c>
      <c r="E12" s="28" t="s">
        <v>129</v>
      </c>
      <c r="F12" s="28" t="s">
        <v>130</v>
      </c>
      <c r="G12" s="27" t="s">
        <v>131</v>
      </c>
      <c r="H12" s="29" t="n">
        <v>34626</v>
      </c>
      <c r="I12" s="30" t="n">
        <f aca="true">IF($H12="","",DATEDIF($H12,TODAY(),"Y"))</f>
        <v>31</v>
      </c>
      <c r="J12" s="28" t="s">
        <v>97</v>
      </c>
      <c r="K12" s="27" t="s">
        <v>62</v>
      </c>
      <c r="L12" s="27" t="s">
        <v>63</v>
      </c>
      <c r="M12" s="27" t="s">
        <v>64</v>
      </c>
      <c r="N12" s="28" t="s">
        <v>88</v>
      </c>
      <c r="O12" s="27" t="s">
        <v>89</v>
      </c>
      <c r="P12" s="29" t="n">
        <v>46099</v>
      </c>
      <c r="Q12" s="28" t="s">
        <v>90</v>
      </c>
      <c r="R12" s="27" t="s">
        <v>68</v>
      </c>
      <c r="S12" s="29" t="n">
        <v>46101</v>
      </c>
      <c r="T12" s="29"/>
      <c r="U12" s="30" t="n">
        <f aca="true">IF($P12="","",TODAY()-$P12)</f>
        <v>134</v>
      </c>
      <c r="V12" s="31" t="str">
        <f aca="false">IF($A12="","",IF(COUNTIF(Consultation!$B$4:$B$1003,$A12)&gt;0,"Yes","No"))</f>
        <v>Yes</v>
      </c>
      <c r="W12" s="31" t="str">
        <f aca="false">IF($A12="","",IF(COUNTIF(Customers!$B$4:$B$1003,$A12)&gt;0,"Yes","No"))</f>
        <v>Yes</v>
      </c>
      <c r="X12" s="32"/>
    </row>
    <row r="13" customFormat="false" ht="15.75" hidden="false" customHeight="true" outlineLevel="0" collapsed="false">
      <c r="A13" s="27" t="s">
        <v>132</v>
      </c>
      <c r="B13" s="28" t="s">
        <v>133</v>
      </c>
      <c r="C13" s="28" t="s">
        <v>134</v>
      </c>
      <c r="D13" s="28" t="s">
        <v>134</v>
      </c>
      <c r="E13" s="28" t="s">
        <v>135</v>
      </c>
      <c r="F13" s="28" t="s">
        <v>136</v>
      </c>
      <c r="G13" s="27" t="s">
        <v>60</v>
      </c>
      <c r="H13" s="29" t="n">
        <v>36953</v>
      </c>
      <c r="I13" s="30" t="n">
        <f aca="true">IF($H13="","",DATEDIF($H13,TODAY(),"Y"))</f>
        <v>25</v>
      </c>
      <c r="J13" s="28" t="s">
        <v>105</v>
      </c>
      <c r="K13" s="27" t="s">
        <v>76</v>
      </c>
      <c r="L13" s="27" t="s">
        <v>77</v>
      </c>
      <c r="M13" s="27" t="s">
        <v>63</v>
      </c>
      <c r="N13" s="28" t="s">
        <v>65</v>
      </c>
      <c r="O13" s="27" t="s">
        <v>66</v>
      </c>
      <c r="P13" s="29" t="n">
        <v>46114</v>
      </c>
      <c r="Q13" s="28" t="s">
        <v>67</v>
      </c>
      <c r="R13" s="27" t="s">
        <v>68</v>
      </c>
      <c r="S13" s="29" t="n">
        <v>46116</v>
      </c>
      <c r="T13" s="29"/>
      <c r="U13" s="30" t="n">
        <f aca="true">IF($P13="","",TODAY()-$P13)</f>
        <v>119</v>
      </c>
      <c r="V13" s="31" t="str">
        <f aca="false">IF($A13="","",IF(COUNTIF(Consultation!$B$4:$B$1003,$A13)&gt;0,"Yes","No"))</f>
        <v>Yes</v>
      </c>
      <c r="W13" s="31" t="str">
        <f aca="false">IF($A13="","",IF(COUNTIF(Customers!$B$4:$B$1003,$A13)&gt;0,"Yes","No"))</f>
        <v>Yes</v>
      </c>
      <c r="X13" s="32"/>
    </row>
    <row r="14" customFormat="false" ht="15.75" hidden="false" customHeight="true" outlineLevel="0" collapsed="false">
      <c r="A14" s="27" t="s">
        <v>137</v>
      </c>
      <c r="B14" s="28" t="s">
        <v>138</v>
      </c>
      <c r="C14" s="28" t="s">
        <v>139</v>
      </c>
      <c r="D14" s="28" t="s">
        <v>139</v>
      </c>
      <c r="E14" s="28" t="s">
        <v>140</v>
      </c>
      <c r="F14" s="28" t="s">
        <v>141</v>
      </c>
      <c r="G14" s="27" t="s">
        <v>60</v>
      </c>
      <c r="H14" s="29" t="n">
        <v>33099</v>
      </c>
      <c r="I14" s="30" t="n">
        <f aca="true">IF($H14="","",DATEDIF($H14,TODAY(),"Y"))</f>
        <v>35</v>
      </c>
      <c r="J14" s="28" t="s">
        <v>61</v>
      </c>
      <c r="K14" s="27" t="s">
        <v>86</v>
      </c>
      <c r="L14" s="27" t="s">
        <v>87</v>
      </c>
      <c r="M14" s="27" t="s">
        <v>77</v>
      </c>
      <c r="N14" s="28" t="s">
        <v>142</v>
      </c>
      <c r="O14" s="27" t="s">
        <v>107</v>
      </c>
      <c r="P14" s="29" t="n">
        <v>46106</v>
      </c>
      <c r="Q14" s="28" t="s">
        <v>79</v>
      </c>
      <c r="R14" s="27" t="s">
        <v>68</v>
      </c>
      <c r="S14" s="29" t="n">
        <v>46108</v>
      </c>
      <c r="T14" s="29"/>
      <c r="U14" s="30" t="n">
        <f aca="true">IF($P14="","",TODAY()-$P14)</f>
        <v>127</v>
      </c>
      <c r="V14" s="31" t="str">
        <f aca="false">IF($A14="","",IF(COUNTIF(Consultation!$B$4:$B$1003,$A14)&gt;0,"Yes","No"))</f>
        <v>Yes</v>
      </c>
      <c r="W14" s="31" t="str">
        <f aca="false">IF($A14="","",IF(COUNTIF(Customers!$B$4:$B$1003,$A14)&gt;0,"Yes","No"))</f>
        <v>Yes</v>
      </c>
      <c r="X14" s="32"/>
    </row>
    <row r="15" customFormat="false" ht="15.75" hidden="false" customHeight="true" outlineLevel="0" collapsed="false">
      <c r="A15" s="27" t="s">
        <v>143</v>
      </c>
      <c r="B15" s="28" t="s">
        <v>144</v>
      </c>
      <c r="C15" s="28" t="s">
        <v>145</v>
      </c>
      <c r="D15" s="28" t="s">
        <v>145</v>
      </c>
      <c r="E15" s="28" t="s">
        <v>146</v>
      </c>
      <c r="F15" s="28" t="s">
        <v>147</v>
      </c>
      <c r="G15" s="27" t="s">
        <v>60</v>
      </c>
      <c r="H15" s="29" t="n">
        <v>35455</v>
      </c>
      <c r="I15" s="30" t="n">
        <f aca="true">IF($H15="","",DATEDIF($H15,TODAY(),"Y"))</f>
        <v>29</v>
      </c>
      <c r="J15" s="28" t="s">
        <v>75</v>
      </c>
      <c r="K15" s="27" t="s">
        <v>98</v>
      </c>
      <c r="L15" s="27" t="s">
        <v>64</v>
      </c>
      <c r="M15" s="27" t="s">
        <v>99</v>
      </c>
      <c r="N15" s="28" t="s">
        <v>148</v>
      </c>
      <c r="O15" s="27" t="s">
        <v>114</v>
      </c>
      <c r="P15" s="29" t="n">
        <v>46121</v>
      </c>
      <c r="Q15" s="28" t="s">
        <v>90</v>
      </c>
      <c r="R15" s="27" t="s">
        <v>68</v>
      </c>
      <c r="S15" s="29" t="n">
        <v>46123</v>
      </c>
      <c r="T15" s="29"/>
      <c r="U15" s="30" t="n">
        <f aca="true">IF($P15="","",TODAY()-$P15)</f>
        <v>112</v>
      </c>
      <c r="V15" s="31" t="str">
        <f aca="false">IF($A15="","",IF(COUNTIF(Consultation!$B$4:$B$1003,$A15)&gt;0,"Yes","No"))</f>
        <v>Yes</v>
      </c>
      <c r="W15" s="31" t="str">
        <f aca="false">IF($A15="","",IF(COUNTIF(Customers!$B$4:$B$1003,$A15)&gt;0,"Yes","No"))</f>
        <v>Yes</v>
      </c>
      <c r="X15" s="32" t="s">
        <v>149</v>
      </c>
    </row>
    <row r="16" customFormat="false" ht="15.75" hidden="false" customHeight="true" outlineLevel="0" collapsed="false">
      <c r="A16" s="27" t="s">
        <v>150</v>
      </c>
      <c r="B16" s="28" t="s">
        <v>151</v>
      </c>
      <c r="C16" s="28" t="s">
        <v>152</v>
      </c>
      <c r="D16" s="28" t="s">
        <v>152</v>
      </c>
      <c r="E16" s="28" t="s">
        <v>153</v>
      </c>
      <c r="F16" s="28" t="s">
        <v>154</v>
      </c>
      <c r="G16" s="27" t="s">
        <v>60</v>
      </c>
      <c r="H16" s="29" t="n">
        <v>31572</v>
      </c>
      <c r="I16" s="30" t="n">
        <f aca="true">IF($H16="","",DATEDIF($H16,TODAY(),"Y"))</f>
        <v>40</v>
      </c>
      <c r="J16" s="28" t="s">
        <v>85</v>
      </c>
      <c r="K16" s="27" t="s">
        <v>62</v>
      </c>
      <c r="L16" s="27" t="s">
        <v>63</v>
      </c>
      <c r="M16" s="27" t="s">
        <v>64</v>
      </c>
      <c r="N16" s="28" t="s">
        <v>78</v>
      </c>
      <c r="O16" s="27" t="s">
        <v>66</v>
      </c>
      <c r="P16" s="29" t="n">
        <v>46128</v>
      </c>
      <c r="Q16" s="28" t="s">
        <v>67</v>
      </c>
      <c r="R16" s="27" t="s">
        <v>68</v>
      </c>
      <c r="S16" s="29" t="n">
        <v>46130</v>
      </c>
      <c r="T16" s="29"/>
      <c r="U16" s="30" t="n">
        <f aca="true">IF($P16="","",TODAY()-$P16)</f>
        <v>105</v>
      </c>
      <c r="V16" s="31" t="str">
        <f aca="false">IF($A16="","",IF(COUNTIF(Consultation!$B$4:$B$1003,$A16)&gt;0,"Yes","No"))</f>
        <v>Yes</v>
      </c>
      <c r="W16" s="31" t="str">
        <f aca="false">IF($A16="","",IF(COUNTIF(Customers!$B$4:$B$1003,$A16)&gt;0,"Yes","No"))</f>
        <v>No</v>
      </c>
      <c r="X16" s="32"/>
    </row>
    <row r="17" customFormat="false" ht="15.75" hidden="false" customHeight="true" outlineLevel="0" collapsed="false">
      <c r="A17" s="27" t="s">
        <v>155</v>
      </c>
      <c r="B17" s="28" t="s">
        <v>156</v>
      </c>
      <c r="C17" s="28" t="s">
        <v>157</v>
      </c>
      <c r="D17" s="28" t="s">
        <v>157</v>
      </c>
      <c r="E17" s="28" t="s">
        <v>158</v>
      </c>
      <c r="F17" s="28" t="s">
        <v>159</v>
      </c>
      <c r="G17" s="27" t="s">
        <v>60</v>
      </c>
      <c r="H17" s="29" t="n">
        <v>34293</v>
      </c>
      <c r="I17" s="30" t="n">
        <f aca="true">IF($H17="","",DATEDIF($H17,TODAY(),"Y"))</f>
        <v>32</v>
      </c>
      <c r="J17" s="28" t="s">
        <v>97</v>
      </c>
      <c r="K17" s="27" t="s">
        <v>76</v>
      </c>
      <c r="L17" s="27" t="s">
        <v>77</v>
      </c>
      <c r="M17" s="27" t="s">
        <v>63</v>
      </c>
      <c r="N17" s="28" t="s">
        <v>65</v>
      </c>
      <c r="O17" s="27" t="s">
        <v>89</v>
      </c>
      <c r="P17" s="29" t="n">
        <v>46115</v>
      </c>
      <c r="Q17" s="28" t="s">
        <v>79</v>
      </c>
      <c r="R17" s="27" t="s">
        <v>68</v>
      </c>
      <c r="S17" s="29" t="n">
        <v>46117</v>
      </c>
      <c r="T17" s="29"/>
      <c r="U17" s="30" t="n">
        <f aca="true">IF($P17="","",TODAY()-$P17)</f>
        <v>118</v>
      </c>
      <c r="V17" s="31" t="str">
        <f aca="false">IF($A17="","",IF(COUNTIF(Consultation!$B$4:$B$1003,$A17)&gt;0,"Yes","No"))</f>
        <v>Yes</v>
      </c>
      <c r="W17" s="31" t="str">
        <f aca="false">IF($A17="","",IF(COUNTIF(Customers!$B$4:$B$1003,$A17)&gt;0,"Yes","No"))</f>
        <v>No</v>
      </c>
      <c r="X17" s="32"/>
    </row>
    <row r="18" customFormat="false" ht="15.75" hidden="false" customHeight="true" outlineLevel="0" collapsed="false">
      <c r="A18" s="27" t="s">
        <v>160</v>
      </c>
      <c r="B18" s="28" t="s">
        <v>161</v>
      </c>
      <c r="C18" s="28" t="s">
        <v>162</v>
      </c>
      <c r="D18" s="28" t="s">
        <v>162</v>
      </c>
      <c r="E18" s="28" t="s">
        <v>163</v>
      </c>
      <c r="F18" s="28" t="s">
        <v>164</v>
      </c>
      <c r="G18" s="27" t="s">
        <v>60</v>
      </c>
      <c r="H18" s="29" t="n">
        <v>36620</v>
      </c>
      <c r="I18" s="30" t="n">
        <f aca="true">IF($H18="","",DATEDIF($H18,TODAY(),"Y"))</f>
        <v>26</v>
      </c>
      <c r="J18" s="28" t="s">
        <v>105</v>
      </c>
      <c r="K18" s="27" t="s">
        <v>86</v>
      </c>
      <c r="L18" s="27" t="s">
        <v>87</v>
      </c>
      <c r="M18" s="27" t="s">
        <v>77</v>
      </c>
      <c r="N18" s="28" t="s">
        <v>65</v>
      </c>
      <c r="O18" s="27" t="s">
        <v>66</v>
      </c>
      <c r="P18" s="29" t="n">
        <v>46149</v>
      </c>
      <c r="Q18" s="28" t="s">
        <v>90</v>
      </c>
      <c r="R18" s="27" t="s">
        <v>165</v>
      </c>
      <c r="S18" s="29" t="n">
        <v>46151</v>
      </c>
      <c r="T18" s="29"/>
      <c r="U18" s="30" t="n">
        <f aca="true">IF($P18="","",TODAY()-$P18)</f>
        <v>84</v>
      </c>
      <c r="V18" s="31" t="str">
        <f aca="false">IF($A18="","",IF(COUNTIF(Consultation!$B$4:$B$1003,$A18)&gt;0,"Yes","No"))</f>
        <v>Yes</v>
      </c>
      <c r="W18" s="31" t="str">
        <f aca="false">IF($A18="","",IF(COUNTIF(Customers!$B$4:$B$1003,$A18)&gt;0,"Yes","No"))</f>
        <v>No</v>
      </c>
      <c r="X18" s="32"/>
    </row>
    <row r="19" customFormat="false" ht="15.75" hidden="false" customHeight="true" outlineLevel="0" collapsed="false">
      <c r="A19" s="27" t="s">
        <v>166</v>
      </c>
      <c r="B19" s="28" t="s">
        <v>167</v>
      </c>
      <c r="C19" s="28" t="s">
        <v>168</v>
      </c>
      <c r="D19" s="28" t="s">
        <v>168</v>
      </c>
      <c r="E19" s="28" t="s">
        <v>169</v>
      </c>
      <c r="F19" s="28" t="s">
        <v>170</v>
      </c>
      <c r="G19" s="27" t="s">
        <v>60</v>
      </c>
      <c r="H19" s="29" t="n">
        <v>32766</v>
      </c>
      <c r="I19" s="30" t="n">
        <f aca="true">IF($H19="","",DATEDIF($H19,TODAY(),"Y"))</f>
        <v>36</v>
      </c>
      <c r="J19" s="28" t="s">
        <v>61</v>
      </c>
      <c r="K19" s="27" t="s">
        <v>98</v>
      </c>
      <c r="L19" s="27" t="s">
        <v>64</v>
      </c>
      <c r="M19" s="27" t="s">
        <v>99</v>
      </c>
      <c r="N19" s="28" t="s">
        <v>88</v>
      </c>
      <c r="O19" s="27" t="s">
        <v>66</v>
      </c>
      <c r="P19" s="29" t="n">
        <v>46156</v>
      </c>
      <c r="Q19" s="28" t="s">
        <v>67</v>
      </c>
      <c r="R19" s="27" t="s">
        <v>165</v>
      </c>
      <c r="S19" s="29" t="n">
        <v>46158</v>
      </c>
      <c r="T19" s="29"/>
      <c r="U19" s="30" t="n">
        <f aca="true">IF($P19="","",TODAY()-$P19)</f>
        <v>77</v>
      </c>
      <c r="V19" s="31" t="str">
        <f aca="false">IF($A19="","",IF(COUNTIF(Consultation!$B$4:$B$1003,$A19)&gt;0,"Yes","No"))</f>
        <v>Yes</v>
      </c>
      <c r="W19" s="31" t="str">
        <f aca="false">IF($A19="","",IF(COUNTIF(Customers!$B$4:$B$1003,$A19)&gt;0,"Yes","No"))</f>
        <v>No</v>
      </c>
      <c r="X19" s="32"/>
    </row>
    <row r="20" customFormat="false" ht="15.75" hidden="false" customHeight="true" outlineLevel="0" collapsed="false">
      <c r="A20" s="27" t="s">
        <v>171</v>
      </c>
      <c r="B20" s="28" t="s">
        <v>172</v>
      </c>
      <c r="C20" s="28" t="s">
        <v>173</v>
      </c>
      <c r="D20" s="28" t="s">
        <v>173</v>
      </c>
      <c r="E20" s="28" t="s">
        <v>174</v>
      </c>
      <c r="F20" s="28" t="s">
        <v>175</v>
      </c>
      <c r="G20" s="27" t="s">
        <v>60</v>
      </c>
      <c r="H20" s="29" t="n">
        <v>35121</v>
      </c>
      <c r="I20" s="30" t="n">
        <f aca="true">IF($H20="","",DATEDIF($H20,TODAY(),"Y"))</f>
        <v>30</v>
      </c>
      <c r="J20" s="28" t="s">
        <v>75</v>
      </c>
      <c r="K20" s="27" t="s">
        <v>62</v>
      </c>
      <c r="L20" s="27" t="s">
        <v>63</v>
      </c>
      <c r="M20" s="27" t="s">
        <v>64</v>
      </c>
      <c r="N20" s="28" t="s">
        <v>106</v>
      </c>
      <c r="O20" s="27" t="s">
        <v>176</v>
      </c>
      <c r="P20" s="29" t="n">
        <v>46162</v>
      </c>
      <c r="Q20" s="28" t="s">
        <v>79</v>
      </c>
      <c r="R20" s="27" t="s">
        <v>177</v>
      </c>
      <c r="S20" s="29" t="n">
        <v>46164</v>
      </c>
      <c r="T20" s="29" t="n">
        <v>46243</v>
      </c>
      <c r="U20" s="30" t="n">
        <f aca="true">IF($P20="","",TODAY()-$P20)</f>
        <v>71</v>
      </c>
      <c r="V20" s="31" t="str">
        <f aca="false">IF($A20="","",IF(COUNTIF(Consultation!$B$4:$B$1003,$A20)&gt;0,"Yes","No"))</f>
        <v>Yes</v>
      </c>
      <c r="W20" s="31" t="str">
        <f aca="false">IF($A20="","",IF(COUNTIF(Customers!$B$4:$B$1003,$A20)&gt;0,"Yes","No"))</f>
        <v>No</v>
      </c>
      <c r="X20" s="32" t="s">
        <v>178</v>
      </c>
    </row>
    <row r="21" customFormat="false" ht="15.75" hidden="false" customHeight="true" outlineLevel="0" collapsed="false">
      <c r="A21" s="27" t="s">
        <v>179</v>
      </c>
      <c r="B21" s="28" t="s">
        <v>180</v>
      </c>
      <c r="C21" s="28" t="s">
        <v>181</v>
      </c>
      <c r="D21" s="28" t="s">
        <v>181</v>
      </c>
      <c r="E21" s="28" t="s">
        <v>182</v>
      </c>
      <c r="F21" s="28" t="s">
        <v>183</v>
      </c>
      <c r="G21" s="27" t="s">
        <v>131</v>
      </c>
      <c r="H21" s="29" t="n">
        <v>31238</v>
      </c>
      <c r="I21" s="30" t="n">
        <f aca="true">IF($H21="","",DATEDIF($H21,TODAY(),"Y"))</f>
        <v>41</v>
      </c>
      <c r="J21" s="28" t="s">
        <v>85</v>
      </c>
      <c r="K21" s="27" t="s">
        <v>76</v>
      </c>
      <c r="L21" s="27" t="s">
        <v>77</v>
      </c>
      <c r="M21" s="27" t="s">
        <v>63</v>
      </c>
      <c r="N21" s="28" t="s">
        <v>78</v>
      </c>
      <c r="O21" s="27" t="s">
        <v>107</v>
      </c>
      <c r="P21" s="29" t="n">
        <v>46170</v>
      </c>
      <c r="Q21" s="28" t="s">
        <v>90</v>
      </c>
      <c r="R21" s="27" t="s">
        <v>184</v>
      </c>
      <c r="S21" s="29" t="n">
        <v>46172</v>
      </c>
      <c r="T21" s="29"/>
      <c r="U21" s="30" t="n">
        <f aca="true">IF($P21="","",TODAY()-$P21)</f>
        <v>63</v>
      </c>
      <c r="V21" s="31" t="str">
        <f aca="false">IF($A21="","",IF(COUNTIF(Consultation!$B$4:$B$1003,$A21)&gt;0,"Yes","No"))</f>
        <v>Yes</v>
      </c>
      <c r="W21" s="31" t="str">
        <f aca="false">IF($A21="","",IF(COUNTIF(Customers!$B$4:$B$1003,$A21)&gt;0,"Yes","No"))</f>
        <v>No</v>
      </c>
      <c r="X21" s="32" t="s">
        <v>185</v>
      </c>
    </row>
    <row r="22" customFormat="false" ht="15.75" hidden="false" customHeight="true" outlineLevel="0" collapsed="false">
      <c r="A22" s="27" t="s">
        <v>186</v>
      </c>
      <c r="B22" s="28" t="s">
        <v>187</v>
      </c>
      <c r="C22" s="28" t="s">
        <v>188</v>
      </c>
      <c r="D22" s="28" t="s">
        <v>188</v>
      </c>
      <c r="E22" s="28" t="s">
        <v>189</v>
      </c>
      <c r="F22" s="28" t="s">
        <v>190</v>
      </c>
      <c r="G22" s="27" t="s">
        <v>60</v>
      </c>
      <c r="H22" s="29" t="n">
        <v>33959</v>
      </c>
      <c r="I22" s="30" t="n">
        <f aca="true">IF($H22="","",DATEDIF($H22,TODAY(),"Y"))</f>
        <v>33</v>
      </c>
      <c r="J22" s="28" t="s">
        <v>97</v>
      </c>
      <c r="K22" s="27" t="s">
        <v>86</v>
      </c>
      <c r="L22" s="27" t="s">
        <v>87</v>
      </c>
      <c r="M22" s="27" t="s">
        <v>77</v>
      </c>
      <c r="N22" s="28" t="s">
        <v>65</v>
      </c>
      <c r="O22" s="27" t="s">
        <v>66</v>
      </c>
      <c r="P22" s="29" t="n">
        <v>46176</v>
      </c>
      <c r="Q22" s="28" t="s">
        <v>67</v>
      </c>
      <c r="R22" s="27" t="s">
        <v>191</v>
      </c>
      <c r="S22" s="29"/>
      <c r="T22" s="29"/>
      <c r="U22" s="30" t="n">
        <f aca="true">IF($P22="","",TODAY()-$P22)</f>
        <v>57</v>
      </c>
      <c r="V22" s="31" t="str">
        <f aca="false">IF($A22="","",IF(COUNTIF(Consultation!$B$4:$B$1003,$A22)&gt;0,"Yes","No"))</f>
        <v>No</v>
      </c>
      <c r="W22" s="31" t="str">
        <f aca="false">IF($A22="","",IF(COUNTIF(Customers!$B$4:$B$1003,$A22)&gt;0,"Yes","No"))</f>
        <v>No</v>
      </c>
      <c r="X22" s="32"/>
    </row>
    <row r="23" customFormat="false" ht="15.75" hidden="false" customHeight="true" outlineLevel="0" collapsed="false">
      <c r="A23" s="27" t="s">
        <v>192</v>
      </c>
      <c r="B23" s="28" t="s">
        <v>193</v>
      </c>
      <c r="C23" s="28" t="s">
        <v>194</v>
      </c>
      <c r="D23" s="28" t="s">
        <v>194</v>
      </c>
      <c r="E23" s="28" t="s">
        <v>195</v>
      </c>
      <c r="F23" s="28" t="s">
        <v>196</v>
      </c>
      <c r="G23" s="27" t="s">
        <v>60</v>
      </c>
      <c r="H23" s="29" t="n">
        <v>36285</v>
      </c>
      <c r="I23" s="30" t="n">
        <f aca="true">IF($H23="","",DATEDIF($H23,TODAY(),"Y"))</f>
        <v>27</v>
      </c>
      <c r="J23" s="28" t="s">
        <v>105</v>
      </c>
      <c r="K23" s="27" t="s">
        <v>98</v>
      </c>
      <c r="L23" s="27" t="s">
        <v>64</v>
      </c>
      <c r="M23" s="27" t="s">
        <v>99</v>
      </c>
      <c r="N23" s="28" t="s">
        <v>124</v>
      </c>
      <c r="O23" s="27" t="s">
        <v>66</v>
      </c>
      <c r="P23" s="29" t="n">
        <v>46183</v>
      </c>
      <c r="Q23" s="28" t="s">
        <v>79</v>
      </c>
      <c r="R23" s="27" t="s">
        <v>197</v>
      </c>
      <c r="S23" s="29" t="n">
        <v>46185</v>
      </c>
      <c r="T23" s="29" t="n">
        <v>46236</v>
      </c>
      <c r="U23" s="30" t="n">
        <f aca="true">IF($P23="","",TODAY()-$P23)</f>
        <v>50</v>
      </c>
      <c r="V23" s="31" t="str">
        <f aca="false">IF($A23="","",IF(COUNTIF(Consultation!$B$4:$B$1003,$A23)&gt;0,"Yes","No"))</f>
        <v>No</v>
      </c>
      <c r="W23" s="31" t="str">
        <f aca="false">IF($A23="","",IF(COUNTIF(Customers!$B$4:$B$1003,$A23)&gt;0,"Yes","No"))</f>
        <v>No</v>
      </c>
      <c r="X23" s="32"/>
    </row>
    <row r="24" customFormat="false" ht="15.75" hidden="false" customHeight="true" outlineLevel="0" collapsed="false">
      <c r="A24" s="27" t="s">
        <v>198</v>
      </c>
      <c r="B24" s="28" t="s">
        <v>199</v>
      </c>
      <c r="C24" s="28" t="s">
        <v>200</v>
      </c>
      <c r="D24" s="28" t="s">
        <v>200</v>
      </c>
      <c r="E24" s="28" t="s">
        <v>201</v>
      </c>
      <c r="F24" s="28" t="s">
        <v>202</v>
      </c>
      <c r="G24" s="27" t="s">
        <v>60</v>
      </c>
      <c r="H24" s="29" t="n">
        <v>32432</v>
      </c>
      <c r="I24" s="30" t="n">
        <f aca="true">IF($H24="","",DATEDIF($H24,TODAY(),"Y"))</f>
        <v>37</v>
      </c>
      <c r="J24" s="28" t="s">
        <v>61</v>
      </c>
      <c r="K24" s="27" t="s">
        <v>62</v>
      </c>
      <c r="L24" s="27" t="s">
        <v>63</v>
      </c>
      <c r="M24" s="27" t="s">
        <v>64</v>
      </c>
      <c r="N24" s="28" t="s">
        <v>78</v>
      </c>
      <c r="O24" s="27" t="s">
        <v>89</v>
      </c>
      <c r="P24" s="29" t="n">
        <v>46188</v>
      </c>
      <c r="Q24" s="28" t="s">
        <v>90</v>
      </c>
      <c r="R24" s="27" t="s">
        <v>197</v>
      </c>
      <c r="S24" s="29" t="n">
        <v>46190</v>
      </c>
      <c r="T24" s="29" t="n">
        <v>46237</v>
      </c>
      <c r="U24" s="30" t="n">
        <f aca="true">IF($P24="","",TODAY()-$P24)</f>
        <v>45</v>
      </c>
      <c r="V24" s="31" t="str">
        <f aca="false">IF($A24="","",IF(COUNTIF(Consultation!$B$4:$B$1003,$A24)&gt;0,"Yes","No"))</f>
        <v>No</v>
      </c>
      <c r="W24" s="31" t="str">
        <f aca="false">IF($A24="","",IF(COUNTIF(Customers!$B$4:$B$1003,$A24)&gt;0,"Yes","No"))</f>
        <v>No</v>
      </c>
      <c r="X24" s="32"/>
    </row>
    <row r="25" customFormat="false" ht="15.75" hidden="false" customHeight="true" outlineLevel="0" collapsed="false">
      <c r="A25" s="27" t="s">
        <v>203</v>
      </c>
      <c r="B25" s="28" t="s">
        <v>204</v>
      </c>
      <c r="C25" s="28" t="s">
        <v>205</v>
      </c>
      <c r="D25" s="28" t="s">
        <v>205</v>
      </c>
      <c r="E25" s="28" t="s">
        <v>206</v>
      </c>
      <c r="F25" s="28" t="s">
        <v>207</v>
      </c>
      <c r="G25" s="27" t="s">
        <v>60</v>
      </c>
      <c r="H25" s="29" t="n">
        <v>34785</v>
      </c>
      <c r="I25" s="30" t="n">
        <f aca="true">IF($H25="","",DATEDIF($H25,TODAY(),"Y"))</f>
        <v>31</v>
      </c>
      <c r="J25" s="28" t="s">
        <v>75</v>
      </c>
      <c r="K25" s="27" t="s">
        <v>76</v>
      </c>
      <c r="L25" s="27" t="s">
        <v>77</v>
      </c>
      <c r="M25" s="27" t="s">
        <v>63</v>
      </c>
      <c r="N25" s="28" t="s">
        <v>65</v>
      </c>
      <c r="O25" s="27" t="s">
        <v>114</v>
      </c>
      <c r="P25" s="29" t="n">
        <v>46193</v>
      </c>
      <c r="Q25" s="28" t="s">
        <v>67</v>
      </c>
      <c r="R25" s="27" t="s">
        <v>208</v>
      </c>
      <c r="S25" s="29" t="n">
        <v>46195</v>
      </c>
      <c r="T25" s="29" t="n">
        <v>46238</v>
      </c>
      <c r="U25" s="30" t="n">
        <f aca="true">IF($P25="","",TODAY()-$P25)</f>
        <v>40</v>
      </c>
      <c r="V25" s="31" t="str">
        <f aca="false">IF($A25="","",IF(COUNTIF(Consultation!$B$4:$B$1003,$A25)&gt;0,"Yes","No"))</f>
        <v>No</v>
      </c>
      <c r="W25" s="31" t="str">
        <f aca="false">IF($A25="","",IF(COUNTIF(Customers!$B$4:$B$1003,$A25)&gt;0,"Yes","No"))</f>
        <v>No</v>
      </c>
      <c r="X25" s="32" t="s">
        <v>209</v>
      </c>
    </row>
    <row r="26" customFormat="false" ht="15.75" hidden="false" customHeight="true" outlineLevel="0" collapsed="false">
      <c r="A26" s="27" t="s">
        <v>210</v>
      </c>
      <c r="B26" s="28" t="s">
        <v>211</v>
      </c>
      <c r="C26" s="28" t="s">
        <v>212</v>
      </c>
      <c r="D26" s="28" t="s">
        <v>212</v>
      </c>
      <c r="E26" s="28" t="s">
        <v>213</v>
      </c>
      <c r="F26" s="28" t="s">
        <v>214</v>
      </c>
      <c r="G26" s="27" t="s">
        <v>60</v>
      </c>
      <c r="H26" s="29" t="n">
        <v>37479</v>
      </c>
      <c r="I26" s="30" t="n">
        <f aca="true">IF($H26="","",DATEDIF($H26,TODAY(),"Y"))</f>
        <v>23</v>
      </c>
      <c r="J26" s="28" t="s">
        <v>85</v>
      </c>
      <c r="K26" s="27" t="s">
        <v>86</v>
      </c>
      <c r="L26" s="27" t="s">
        <v>87</v>
      </c>
      <c r="M26" s="27" t="s">
        <v>77</v>
      </c>
      <c r="N26" s="28" t="s">
        <v>88</v>
      </c>
      <c r="O26" s="27" t="s">
        <v>66</v>
      </c>
      <c r="P26" s="29" t="n">
        <v>46198</v>
      </c>
      <c r="Q26" s="28" t="s">
        <v>79</v>
      </c>
      <c r="R26" s="27" t="s">
        <v>177</v>
      </c>
      <c r="S26" s="29" t="n">
        <v>46200</v>
      </c>
      <c r="T26" s="29" t="n">
        <v>46239</v>
      </c>
      <c r="U26" s="30" t="n">
        <f aca="true">IF($P26="","",TODAY()-$P26)</f>
        <v>35</v>
      </c>
      <c r="V26" s="31" t="str">
        <f aca="false">IF($A26="","",IF(COUNTIF(Consultation!$B$4:$B$1003,$A26)&gt;0,"Yes","No"))</f>
        <v>No</v>
      </c>
      <c r="W26" s="31" t="str">
        <f aca="false">IF($A26="","",IF(COUNTIF(Customers!$B$4:$B$1003,$A26)&gt;0,"Yes","No"))</f>
        <v>No</v>
      </c>
      <c r="X26" s="32"/>
    </row>
    <row r="27" customFormat="false" ht="15.75" hidden="false" customHeight="true" outlineLevel="0" collapsed="false">
      <c r="A27" s="27" t="s">
        <v>215</v>
      </c>
      <c r="B27" s="28" t="s">
        <v>216</v>
      </c>
      <c r="C27" s="28" t="s">
        <v>217</v>
      </c>
      <c r="D27" s="28" t="s">
        <v>217</v>
      </c>
      <c r="E27" s="28" t="s">
        <v>218</v>
      </c>
      <c r="F27" s="28" t="s">
        <v>219</v>
      </c>
      <c r="G27" s="27" t="s">
        <v>60</v>
      </c>
      <c r="H27" s="29" t="n">
        <v>33260</v>
      </c>
      <c r="I27" s="30" t="n">
        <f aca="true">IF($H27="","",DATEDIF($H27,TODAY(),"Y"))</f>
        <v>35</v>
      </c>
      <c r="J27" s="28" t="s">
        <v>97</v>
      </c>
      <c r="K27" s="27" t="s">
        <v>98</v>
      </c>
      <c r="L27" s="27" t="s">
        <v>64</v>
      </c>
      <c r="M27" s="27" t="s">
        <v>99</v>
      </c>
      <c r="N27" s="28" t="s">
        <v>220</v>
      </c>
      <c r="O27" s="27" t="s">
        <v>107</v>
      </c>
      <c r="P27" s="29" t="n">
        <v>46204</v>
      </c>
      <c r="Q27" s="28" t="s">
        <v>90</v>
      </c>
      <c r="R27" s="27" t="s">
        <v>191</v>
      </c>
      <c r="S27" s="29"/>
      <c r="T27" s="29"/>
      <c r="U27" s="30" t="n">
        <f aca="true">IF($P27="","",TODAY()-$P27)</f>
        <v>29</v>
      </c>
      <c r="V27" s="31" t="str">
        <f aca="false">IF($A27="","",IF(COUNTIF(Consultation!$B$4:$B$1003,$A27)&gt;0,"Yes","No"))</f>
        <v>No</v>
      </c>
      <c r="W27" s="31" t="str">
        <f aca="false">IF($A27="","",IF(COUNTIF(Customers!$B$4:$B$1003,$A27)&gt;0,"Yes","No"))</f>
        <v>No</v>
      </c>
      <c r="X27" s="32"/>
    </row>
    <row r="28" customFormat="false" ht="15.75" hidden="false" customHeight="true" outlineLevel="0" collapsed="false">
      <c r="A28" s="27" t="s">
        <v>221</v>
      </c>
      <c r="B28" s="28" t="s">
        <v>222</v>
      </c>
      <c r="C28" s="28" t="s">
        <v>223</v>
      </c>
      <c r="D28" s="28" t="s">
        <v>223</v>
      </c>
      <c r="E28" s="28" t="s">
        <v>224</v>
      </c>
      <c r="F28" s="28" t="s">
        <v>225</v>
      </c>
      <c r="G28" s="27" t="s">
        <v>60</v>
      </c>
      <c r="H28" s="29" t="n">
        <v>35952</v>
      </c>
      <c r="I28" s="30" t="n">
        <f aca="true">IF($H28="","",DATEDIF($H28,TODAY(),"Y"))</f>
        <v>28</v>
      </c>
      <c r="J28" s="28" t="s">
        <v>105</v>
      </c>
      <c r="K28" s="27" t="s">
        <v>62</v>
      </c>
      <c r="L28" s="27" t="s">
        <v>63</v>
      </c>
      <c r="M28" s="27" t="s">
        <v>64</v>
      </c>
      <c r="N28" s="28" t="s">
        <v>65</v>
      </c>
      <c r="O28" s="27" t="s">
        <v>66</v>
      </c>
      <c r="P28" s="29" t="n">
        <v>46209</v>
      </c>
      <c r="Q28" s="28" t="s">
        <v>67</v>
      </c>
      <c r="R28" s="27" t="s">
        <v>197</v>
      </c>
      <c r="S28" s="29" t="n">
        <v>46211</v>
      </c>
      <c r="T28" s="29" t="n">
        <v>46241</v>
      </c>
      <c r="U28" s="30" t="n">
        <f aca="true">IF($P28="","",TODAY()-$P28)</f>
        <v>24</v>
      </c>
      <c r="V28" s="31" t="str">
        <f aca="false">IF($A28="","",IF(COUNTIF(Consultation!$B$4:$B$1003,$A28)&gt;0,"Yes","No"))</f>
        <v>No</v>
      </c>
      <c r="W28" s="31" t="str">
        <f aca="false">IF($A28="","",IF(COUNTIF(Customers!$B$4:$B$1003,$A28)&gt;0,"Yes","No"))</f>
        <v>No</v>
      </c>
      <c r="X28" s="32"/>
    </row>
    <row r="29" customFormat="false" ht="15.75" hidden="false" customHeight="true" outlineLevel="0" collapsed="false">
      <c r="A29" s="27" t="s">
        <v>226</v>
      </c>
      <c r="B29" s="28" t="s">
        <v>227</v>
      </c>
      <c r="C29" s="28" t="s">
        <v>228</v>
      </c>
      <c r="D29" s="28" t="s">
        <v>228</v>
      </c>
      <c r="E29" s="28" t="s">
        <v>229</v>
      </c>
      <c r="F29" s="28" t="s">
        <v>230</v>
      </c>
      <c r="G29" s="27" t="s">
        <v>60</v>
      </c>
      <c r="H29" s="29" t="n">
        <v>32098</v>
      </c>
      <c r="I29" s="30" t="n">
        <f aca="true">IF($H29="","",DATEDIF($H29,TODAY(),"Y"))</f>
        <v>38</v>
      </c>
      <c r="J29" s="28" t="s">
        <v>61</v>
      </c>
      <c r="K29" s="27" t="s">
        <v>76</v>
      </c>
      <c r="L29" s="27" t="s">
        <v>77</v>
      </c>
      <c r="M29" s="27" t="s">
        <v>63</v>
      </c>
      <c r="N29" s="28" t="s">
        <v>231</v>
      </c>
      <c r="O29" s="27" t="s">
        <v>176</v>
      </c>
      <c r="P29" s="29" t="n">
        <v>46213</v>
      </c>
      <c r="Q29" s="28" t="s">
        <v>79</v>
      </c>
      <c r="R29" s="27" t="s">
        <v>232</v>
      </c>
      <c r="S29" s="29" t="n">
        <v>46215</v>
      </c>
      <c r="T29" s="29" t="n">
        <v>46242</v>
      </c>
      <c r="U29" s="30" t="n">
        <f aca="true">IF($P29="","",TODAY()-$P29)</f>
        <v>20</v>
      </c>
      <c r="V29" s="31" t="str">
        <f aca="false">IF($A29="","",IF(COUNTIF(Consultation!$B$4:$B$1003,$A29)&gt;0,"Yes","No"))</f>
        <v>No</v>
      </c>
      <c r="W29" s="31" t="str">
        <f aca="false">IF($A29="","",IF(COUNTIF(Customers!$B$4:$B$1003,$A29)&gt;0,"Yes","No"))</f>
        <v>No</v>
      </c>
      <c r="X29" s="32" t="s">
        <v>233</v>
      </c>
    </row>
    <row r="30" customFormat="false" ht="15.75" hidden="false" customHeight="true" outlineLevel="0" collapsed="false">
      <c r="A30" s="27" t="s">
        <v>234</v>
      </c>
      <c r="B30" s="28" t="s">
        <v>235</v>
      </c>
      <c r="C30" s="28" t="s">
        <v>236</v>
      </c>
      <c r="D30" s="28" t="s">
        <v>236</v>
      </c>
      <c r="E30" s="28" t="s">
        <v>237</v>
      </c>
      <c r="F30" s="28" t="s">
        <v>238</v>
      </c>
      <c r="G30" s="27" t="s">
        <v>131</v>
      </c>
      <c r="H30" s="29" t="n">
        <v>34425</v>
      </c>
      <c r="I30" s="30" t="n">
        <f aca="true">IF($H30="","",DATEDIF($H30,TODAY(),"Y"))</f>
        <v>32</v>
      </c>
      <c r="J30" s="28" t="s">
        <v>75</v>
      </c>
      <c r="K30" s="27" t="s">
        <v>86</v>
      </c>
      <c r="L30" s="27" t="s">
        <v>87</v>
      </c>
      <c r="M30" s="27" t="s">
        <v>77</v>
      </c>
      <c r="N30" s="28" t="s">
        <v>78</v>
      </c>
      <c r="O30" s="27" t="s">
        <v>66</v>
      </c>
      <c r="P30" s="29" t="n">
        <v>46218</v>
      </c>
      <c r="Q30" s="28" t="s">
        <v>90</v>
      </c>
      <c r="R30" s="27" t="s">
        <v>191</v>
      </c>
      <c r="S30" s="29"/>
      <c r="T30" s="29"/>
      <c r="U30" s="30" t="n">
        <f aca="true">IF($P30="","",TODAY()-$P30)</f>
        <v>15</v>
      </c>
      <c r="V30" s="31" t="str">
        <f aca="false">IF($A30="","",IF(COUNTIF(Consultation!$B$4:$B$1003,$A30)&gt;0,"Yes","No"))</f>
        <v>No</v>
      </c>
      <c r="W30" s="31" t="str">
        <f aca="false">IF($A30="","",IF(COUNTIF(Customers!$B$4:$B$1003,$A30)&gt;0,"Yes","No"))</f>
        <v>No</v>
      </c>
      <c r="X30" s="32"/>
    </row>
    <row r="31" customFormat="false" ht="15.75" hidden="false" customHeight="true" outlineLevel="0" collapsed="false">
      <c r="A31" s="27" t="s">
        <v>239</v>
      </c>
      <c r="B31" s="28" t="s">
        <v>240</v>
      </c>
      <c r="C31" s="28" t="s">
        <v>241</v>
      </c>
      <c r="D31" s="28" t="s">
        <v>241</v>
      </c>
      <c r="E31" s="28" t="s">
        <v>242</v>
      </c>
      <c r="F31" s="28" t="s">
        <v>243</v>
      </c>
      <c r="G31" s="27" t="s">
        <v>60</v>
      </c>
      <c r="H31" s="29" t="n">
        <v>37146</v>
      </c>
      <c r="I31" s="30" t="n">
        <f aca="true">IF($H31="","",DATEDIF($H31,TODAY(),"Y"))</f>
        <v>24</v>
      </c>
      <c r="J31" s="28" t="s">
        <v>85</v>
      </c>
      <c r="K31" s="27" t="s">
        <v>98</v>
      </c>
      <c r="L31" s="27" t="s">
        <v>64</v>
      </c>
      <c r="M31" s="27" t="s">
        <v>99</v>
      </c>
      <c r="N31" s="28" t="s">
        <v>65</v>
      </c>
      <c r="O31" s="27" t="s">
        <v>114</v>
      </c>
      <c r="P31" s="29" t="n">
        <v>46221</v>
      </c>
      <c r="Q31" s="28" t="s">
        <v>67</v>
      </c>
      <c r="R31" s="27" t="s">
        <v>208</v>
      </c>
      <c r="S31" s="29" t="n">
        <v>46223</v>
      </c>
      <c r="T31" s="29" t="n">
        <v>46244</v>
      </c>
      <c r="U31" s="30" t="n">
        <f aca="true">IF($P31="","",TODAY()-$P31)</f>
        <v>12</v>
      </c>
      <c r="V31" s="31" t="str">
        <f aca="false">IF($A31="","",IF(COUNTIF(Consultation!$B$4:$B$1003,$A31)&gt;0,"Yes","No"))</f>
        <v>No</v>
      </c>
      <c r="W31" s="31" t="str">
        <f aca="false">IF($A31="","",IF(COUNTIF(Customers!$B$4:$B$1003,$A31)&gt;0,"Yes","No"))</f>
        <v>No</v>
      </c>
      <c r="X31" s="32"/>
    </row>
    <row r="32" customFormat="false" ht="15.75" hidden="false" customHeight="true" outlineLevel="0" collapsed="false">
      <c r="A32" s="27" t="s">
        <v>244</v>
      </c>
      <c r="B32" s="28" t="s">
        <v>245</v>
      </c>
      <c r="C32" s="28" t="s">
        <v>246</v>
      </c>
      <c r="D32" s="28" t="s">
        <v>246</v>
      </c>
      <c r="E32" s="28" t="s">
        <v>247</v>
      </c>
      <c r="F32" s="28" t="s">
        <v>248</v>
      </c>
      <c r="G32" s="27" t="s">
        <v>60</v>
      </c>
      <c r="H32" s="29" t="n">
        <v>32927</v>
      </c>
      <c r="I32" s="30" t="n">
        <f aca="true">IF($H32="","",DATEDIF($H32,TODAY(),"Y"))</f>
        <v>36</v>
      </c>
      <c r="J32" s="28" t="s">
        <v>97</v>
      </c>
      <c r="K32" s="27" t="s">
        <v>62</v>
      </c>
      <c r="L32" s="27" t="s">
        <v>63</v>
      </c>
      <c r="M32" s="27" t="s">
        <v>64</v>
      </c>
      <c r="N32" s="28" t="s">
        <v>249</v>
      </c>
      <c r="O32" s="27" t="s">
        <v>66</v>
      </c>
      <c r="P32" s="29" t="n">
        <v>46225</v>
      </c>
      <c r="Q32" s="28" t="s">
        <v>79</v>
      </c>
      <c r="R32" s="27" t="s">
        <v>177</v>
      </c>
      <c r="S32" s="29" t="n">
        <v>46227</v>
      </c>
      <c r="T32" s="29" t="n">
        <v>46245</v>
      </c>
      <c r="U32" s="30" t="n">
        <f aca="true">IF($P32="","",TODAY()-$P32)</f>
        <v>8</v>
      </c>
      <c r="V32" s="31" t="str">
        <f aca="false">IF($A32="","",IF(COUNTIF(Consultation!$B$4:$B$1003,$A32)&gt;0,"Yes","No"))</f>
        <v>No</v>
      </c>
      <c r="W32" s="31" t="str">
        <f aca="false">IF($A32="","",IF(COUNTIF(Customers!$B$4:$B$1003,$A32)&gt;0,"Yes","No"))</f>
        <v>No</v>
      </c>
      <c r="X32" s="32"/>
    </row>
    <row r="33" customFormat="false" ht="15.75" hidden="false" customHeight="true" outlineLevel="0" collapsed="false">
      <c r="A33" s="27" t="s">
        <v>250</v>
      </c>
      <c r="B33" s="28" t="s">
        <v>251</v>
      </c>
      <c r="C33" s="28" t="s">
        <v>252</v>
      </c>
      <c r="D33" s="28" t="s">
        <v>252</v>
      </c>
      <c r="E33" s="28" t="s">
        <v>253</v>
      </c>
      <c r="F33" s="28" t="s">
        <v>254</v>
      </c>
      <c r="G33" s="27" t="s">
        <v>60</v>
      </c>
      <c r="H33" s="29" t="n">
        <v>35618</v>
      </c>
      <c r="I33" s="30" t="n">
        <f aca="true">IF($H33="","",DATEDIF($H33,TODAY(),"Y"))</f>
        <v>29</v>
      </c>
      <c r="J33" s="28" t="s">
        <v>105</v>
      </c>
      <c r="K33" s="27" t="s">
        <v>76</v>
      </c>
      <c r="L33" s="27" t="s">
        <v>77</v>
      </c>
      <c r="M33" s="27" t="s">
        <v>63</v>
      </c>
      <c r="N33" s="28" t="s">
        <v>65</v>
      </c>
      <c r="O33" s="27" t="s">
        <v>107</v>
      </c>
      <c r="P33" s="29" t="n">
        <v>46230</v>
      </c>
      <c r="Q33" s="28" t="s">
        <v>90</v>
      </c>
      <c r="R33" s="27" t="s">
        <v>191</v>
      </c>
      <c r="S33" s="29"/>
      <c r="T33" s="29"/>
      <c r="U33" s="30" t="n">
        <f aca="true">IF($P33="","",TODAY()-$P33)</f>
        <v>3</v>
      </c>
      <c r="V33" s="31" t="str">
        <f aca="false">IF($A33="","",IF(COUNTIF(Consultation!$B$4:$B$1003,$A33)&gt;0,"Yes","No"))</f>
        <v>No</v>
      </c>
      <c r="W33" s="31" t="str">
        <f aca="false">IF($A33="","",IF(COUNTIF(Customers!$B$4:$B$1003,$A33)&gt;0,"Yes","No"))</f>
        <v>No</v>
      </c>
      <c r="X33" s="32"/>
    </row>
    <row r="34" customFormat="false" ht="15.75" hidden="false" customHeight="true" outlineLevel="0" collapsed="false">
      <c r="A34" s="27"/>
      <c r="B34" s="28"/>
      <c r="C34" s="28"/>
      <c r="D34" s="28"/>
      <c r="E34" s="28"/>
      <c r="F34" s="28"/>
      <c r="G34" s="27"/>
      <c r="H34" s="29"/>
      <c r="I34" s="30" t="str">
        <f aca="true">IF($H34="","",DATEDIF($H34,TODAY(),"Y"))</f>
        <v/>
      </c>
      <c r="J34" s="28"/>
      <c r="K34" s="27"/>
      <c r="L34" s="27"/>
      <c r="M34" s="27"/>
      <c r="N34" s="28"/>
      <c r="O34" s="27"/>
      <c r="P34" s="29"/>
      <c r="Q34" s="28"/>
      <c r="R34" s="27"/>
      <c r="S34" s="29"/>
      <c r="T34" s="29"/>
      <c r="U34" s="30" t="str">
        <f aca="true">IF($P34="","",TODAY()-$P34)</f>
        <v/>
      </c>
      <c r="V34" s="31" t="str">
        <f aca="false">IF($A34="","",IF(COUNTIF(Consultation!$B$4:$B$1003,$A34)&gt;0,"Yes","No"))</f>
        <v/>
      </c>
      <c r="W34" s="31" t="str">
        <f aca="false">IF($A34="","",IF(COUNTIF(Customers!$B$4:$B$1003,$A34)&gt;0,"Yes","No"))</f>
        <v/>
      </c>
      <c r="X34" s="32"/>
    </row>
    <row r="35" customFormat="false" ht="15.75" hidden="false" customHeight="true" outlineLevel="0" collapsed="false">
      <c r="A35" s="27"/>
      <c r="B35" s="28"/>
      <c r="C35" s="28"/>
      <c r="D35" s="28"/>
      <c r="E35" s="28"/>
      <c r="F35" s="28"/>
      <c r="G35" s="27"/>
      <c r="H35" s="29"/>
      <c r="I35" s="30" t="str">
        <f aca="true">IF($H35="","",DATEDIF($H35,TODAY(),"Y"))</f>
        <v/>
      </c>
      <c r="J35" s="28"/>
      <c r="K35" s="27"/>
      <c r="L35" s="27"/>
      <c r="M35" s="27"/>
      <c r="N35" s="28"/>
      <c r="O35" s="27"/>
      <c r="P35" s="29"/>
      <c r="Q35" s="28"/>
      <c r="R35" s="27"/>
      <c r="S35" s="29"/>
      <c r="T35" s="29"/>
      <c r="U35" s="30" t="str">
        <f aca="true">IF($P35="","",TODAY()-$P35)</f>
        <v/>
      </c>
      <c r="V35" s="31" t="str">
        <f aca="false">IF($A35="","",IF(COUNTIF(Consultation!$B$4:$B$1003,$A35)&gt;0,"Yes","No"))</f>
        <v/>
      </c>
      <c r="W35" s="31" t="str">
        <f aca="false">IF($A35="","",IF(COUNTIF(Customers!$B$4:$B$1003,$A35)&gt;0,"Yes","No"))</f>
        <v/>
      </c>
      <c r="X35" s="32"/>
    </row>
    <row r="36" customFormat="false" ht="15.75" hidden="false" customHeight="true" outlineLevel="0" collapsed="false">
      <c r="A36" s="27"/>
      <c r="B36" s="28"/>
      <c r="C36" s="28"/>
      <c r="D36" s="28"/>
      <c r="E36" s="28"/>
      <c r="F36" s="28"/>
      <c r="G36" s="27"/>
      <c r="H36" s="29"/>
      <c r="I36" s="30" t="str">
        <f aca="true">IF($H36="","",DATEDIF($H36,TODAY(),"Y"))</f>
        <v/>
      </c>
      <c r="J36" s="28"/>
      <c r="K36" s="27"/>
      <c r="L36" s="27"/>
      <c r="M36" s="27"/>
      <c r="N36" s="28"/>
      <c r="O36" s="27"/>
      <c r="P36" s="29"/>
      <c r="Q36" s="28"/>
      <c r="R36" s="27"/>
      <c r="S36" s="29"/>
      <c r="T36" s="29"/>
      <c r="U36" s="30" t="str">
        <f aca="true">IF($P36="","",TODAY()-$P36)</f>
        <v/>
      </c>
      <c r="V36" s="31" t="str">
        <f aca="false">IF($A36="","",IF(COUNTIF(Consultation!$B$4:$B$1003,$A36)&gt;0,"Yes","No"))</f>
        <v/>
      </c>
      <c r="W36" s="31" t="str">
        <f aca="false">IF($A36="","",IF(COUNTIF(Customers!$B$4:$B$1003,$A36)&gt;0,"Yes","No"))</f>
        <v/>
      </c>
      <c r="X36" s="32"/>
    </row>
    <row r="37" customFormat="false" ht="15.75" hidden="false" customHeight="true" outlineLevel="0" collapsed="false">
      <c r="A37" s="27"/>
      <c r="B37" s="28"/>
      <c r="C37" s="28"/>
      <c r="D37" s="28"/>
      <c r="E37" s="28"/>
      <c r="F37" s="28"/>
      <c r="G37" s="27"/>
      <c r="H37" s="29"/>
      <c r="I37" s="30" t="str">
        <f aca="true">IF($H37="","",DATEDIF($H37,TODAY(),"Y"))</f>
        <v/>
      </c>
      <c r="J37" s="28"/>
      <c r="K37" s="27"/>
      <c r="L37" s="27"/>
      <c r="M37" s="27"/>
      <c r="N37" s="28"/>
      <c r="O37" s="27"/>
      <c r="P37" s="29"/>
      <c r="Q37" s="28"/>
      <c r="R37" s="27"/>
      <c r="S37" s="29"/>
      <c r="T37" s="29"/>
      <c r="U37" s="30" t="str">
        <f aca="true">IF($P37="","",TODAY()-$P37)</f>
        <v/>
      </c>
      <c r="V37" s="31" t="str">
        <f aca="false">IF($A37="","",IF(COUNTIF(Consultation!$B$4:$B$1003,$A37)&gt;0,"Yes","No"))</f>
        <v/>
      </c>
      <c r="W37" s="31" t="str">
        <f aca="false">IF($A37="","",IF(COUNTIF(Customers!$B$4:$B$1003,$A37)&gt;0,"Yes","No"))</f>
        <v/>
      </c>
      <c r="X37" s="32"/>
    </row>
    <row r="38" customFormat="false" ht="15.75" hidden="false" customHeight="true" outlineLevel="0" collapsed="false">
      <c r="A38" s="27"/>
      <c r="B38" s="28"/>
      <c r="C38" s="28"/>
      <c r="D38" s="28"/>
      <c r="E38" s="28"/>
      <c r="F38" s="28"/>
      <c r="G38" s="27"/>
      <c r="H38" s="29"/>
      <c r="I38" s="30" t="str">
        <f aca="true">IF($H38="","",DATEDIF($H38,TODAY(),"Y"))</f>
        <v/>
      </c>
      <c r="J38" s="28"/>
      <c r="K38" s="27"/>
      <c r="L38" s="27"/>
      <c r="M38" s="27"/>
      <c r="N38" s="28"/>
      <c r="O38" s="27"/>
      <c r="P38" s="29"/>
      <c r="Q38" s="28"/>
      <c r="R38" s="27"/>
      <c r="S38" s="29"/>
      <c r="T38" s="29"/>
      <c r="U38" s="30" t="str">
        <f aca="true">IF($P38="","",TODAY()-$P38)</f>
        <v/>
      </c>
      <c r="V38" s="31" t="str">
        <f aca="false">IF($A38="","",IF(COUNTIF(Consultation!$B$4:$B$1003,$A38)&gt;0,"Yes","No"))</f>
        <v/>
      </c>
      <c r="W38" s="31" t="str">
        <f aca="false">IF($A38="","",IF(COUNTIF(Customers!$B$4:$B$1003,$A38)&gt;0,"Yes","No"))</f>
        <v/>
      </c>
      <c r="X38" s="32"/>
    </row>
    <row r="39" customFormat="false" ht="15.75" hidden="false" customHeight="true" outlineLevel="0" collapsed="false">
      <c r="A39" s="27"/>
      <c r="B39" s="28"/>
      <c r="C39" s="28"/>
      <c r="D39" s="28"/>
      <c r="E39" s="28"/>
      <c r="F39" s="28"/>
      <c r="G39" s="27"/>
      <c r="H39" s="29"/>
      <c r="I39" s="30" t="str">
        <f aca="true">IF($H39="","",DATEDIF($H39,TODAY(),"Y"))</f>
        <v/>
      </c>
      <c r="J39" s="28"/>
      <c r="K39" s="27"/>
      <c r="L39" s="27"/>
      <c r="M39" s="27"/>
      <c r="N39" s="28"/>
      <c r="O39" s="27"/>
      <c r="P39" s="29"/>
      <c r="Q39" s="28"/>
      <c r="R39" s="27"/>
      <c r="S39" s="29"/>
      <c r="T39" s="29"/>
      <c r="U39" s="30" t="str">
        <f aca="true">IF($P39="","",TODAY()-$P39)</f>
        <v/>
      </c>
      <c r="V39" s="31" t="str">
        <f aca="false">IF($A39="","",IF(COUNTIF(Consultation!$B$4:$B$1003,$A39)&gt;0,"Yes","No"))</f>
        <v/>
      </c>
      <c r="W39" s="31" t="str">
        <f aca="false">IF($A39="","",IF(COUNTIF(Customers!$B$4:$B$1003,$A39)&gt;0,"Yes","No"))</f>
        <v/>
      </c>
      <c r="X39" s="32"/>
    </row>
    <row r="40" customFormat="false" ht="15.75" hidden="false" customHeight="true" outlineLevel="0" collapsed="false">
      <c r="A40" s="27"/>
      <c r="B40" s="28"/>
      <c r="C40" s="28"/>
      <c r="D40" s="28"/>
      <c r="E40" s="28"/>
      <c r="F40" s="28"/>
      <c r="G40" s="27"/>
      <c r="H40" s="29"/>
      <c r="I40" s="30" t="str">
        <f aca="true">IF($H40="","",DATEDIF($H40,TODAY(),"Y"))</f>
        <v/>
      </c>
      <c r="J40" s="28"/>
      <c r="K40" s="27"/>
      <c r="L40" s="27"/>
      <c r="M40" s="27"/>
      <c r="N40" s="28"/>
      <c r="O40" s="27"/>
      <c r="P40" s="29"/>
      <c r="Q40" s="28"/>
      <c r="R40" s="27"/>
      <c r="S40" s="29"/>
      <c r="T40" s="29"/>
      <c r="U40" s="30" t="str">
        <f aca="true">IF($P40="","",TODAY()-$P40)</f>
        <v/>
      </c>
      <c r="V40" s="31" t="str">
        <f aca="false">IF($A40="","",IF(COUNTIF(Consultation!$B$4:$B$1003,$A40)&gt;0,"Yes","No"))</f>
        <v/>
      </c>
      <c r="W40" s="31" t="str">
        <f aca="false">IF($A40="","",IF(COUNTIF(Customers!$B$4:$B$1003,$A40)&gt;0,"Yes","No"))</f>
        <v/>
      </c>
      <c r="X40" s="32"/>
    </row>
    <row r="41" customFormat="false" ht="15.75" hidden="false" customHeight="true" outlineLevel="0" collapsed="false">
      <c r="A41" s="27"/>
      <c r="B41" s="28"/>
      <c r="C41" s="28"/>
      <c r="D41" s="28"/>
      <c r="E41" s="28"/>
      <c r="F41" s="28"/>
      <c r="G41" s="27"/>
      <c r="H41" s="29"/>
      <c r="I41" s="30" t="str">
        <f aca="true">IF($H41="","",DATEDIF($H41,TODAY(),"Y"))</f>
        <v/>
      </c>
      <c r="J41" s="28"/>
      <c r="K41" s="27"/>
      <c r="L41" s="27"/>
      <c r="M41" s="27"/>
      <c r="N41" s="28"/>
      <c r="O41" s="27"/>
      <c r="P41" s="29"/>
      <c r="Q41" s="28"/>
      <c r="R41" s="27"/>
      <c r="S41" s="29"/>
      <c r="T41" s="29"/>
      <c r="U41" s="30" t="str">
        <f aca="true">IF($P41="","",TODAY()-$P41)</f>
        <v/>
      </c>
      <c r="V41" s="31" t="str">
        <f aca="false">IF($A41="","",IF(COUNTIF(Consultation!$B$4:$B$1003,$A41)&gt;0,"Yes","No"))</f>
        <v/>
      </c>
      <c r="W41" s="31" t="str">
        <f aca="false">IF($A41="","",IF(COUNTIF(Customers!$B$4:$B$1003,$A41)&gt;0,"Yes","No"))</f>
        <v/>
      </c>
      <c r="X41" s="32"/>
    </row>
    <row r="42" customFormat="false" ht="15.75" hidden="false" customHeight="true" outlineLevel="0" collapsed="false">
      <c r="A42" s="27"/>
      <c r="B42" s="28"/>
      <c r="C42" s="28"/>
      <c r="D42" s="28"/>
      <c r="E42" s="28"/>
      <c r="F42" s="28"/>
      <c r="G42" s="27"/>
      <c r="H42" s="29"/>
      <c r="I42" s="30" t="str">
        <f aca="true">IF($H42="","",DATEDIF($H42,TODAY(),"Y"))</f>
        <v/>
      </c>
      <c r="J42" s="28"/>
      <c r="K42" s="27"/>
      <c r="L42" s="27"/>
      <c r="M42" s="27"/>
      <c r="N42" s="28"/>
      <c r="O42" s="27"/>
      <c r="P42" s="29"/>
      <c r="Q42" s="28"/>
      <c r="R42" s="27"/>
      <c r="S42" s="29"/>
      <c r="T42" s="29"/>
      <c r="U42" s="30" t="str">
        <f aca="true">IF($P42="","",TODAY()-$P42)</f>
        <v/>
      </c>
      <c r="V42" s="31" t="str">
        <f aca="false">IF($A42="","",IF(COUNTIF(Consultation!$B$4:$B$1003,$A42)&gt;0,"Yes","No"))</f>
        <v/>
      </c>
      <c r="W42" s="31" t="str">
        <f aca="false">IF($A42="","",IF(COUNTIF(Customers!$B$4:$B$1003,$A42)&gt;0,"Yes","No"))</f>
        <v/>
      </c>
      <c r="X42" s="32"/>
    </row>
    <row r="43" customFormat="false" ht="15.75" hidden="false" customHeight="true" outlineLevel="0" collapsed="false">
      <c r="A43" s="27"/>
      <c r="B43" s="28"/>
      <c r="C43" s="28"/>
      <c r="D43" s="28"/>
      <c r="E43" s="28"/>
      <c r="F43" s="28"/>
      <c r="G43" s="27"/>
      <c r="H43" s="29"/>
      <c r="I43" s="30" t="str">
        <f aca="true">IF($H43="","",DATEDIF($H43,TODAY(),"Y"))</f>
        <v/>
      </c>
      <c r="J43" s="28"/>
      <c r="K43" s="27"/>
      <c r="L43" s="27"/>
      <c r="M43" s="27"/>
      <c r="N43" s="28"/>
      <c r="O43" s="27"/>
      <c r="P43" s="29"/>
      <c r="Q43" s="28"/>
      <c r="R43" s="27"/>
      <c r="S43" s="29"/>
      <c r="T43" s="29"/>
      <c r="U43" s="30" t="str">
        <f aca="true">IF($P43="","",TODAY()-$P43)</f>
        <v/>
      </c>
      <c r="V43" s="31" t="str">
        <f aca="false">IF($A43="","",IF(COUNTIF(Consultation!$B$4:$B$1003,$A43)&gt;0,"Yes","No"))</f>
        <v/>
      </c>
      <c r="W43" s="31" t="str">
        <f aca="false">IF($A43="","",IF(COUNTIF(Customers!$B$4:$B$1003,$A43)&gt;0,"Yes","No"))</f>
        <v/>
      </c>
      <c r="X43" s="32"/>
    </row>
    <row r="44" customFormat="false" ht="15.75" hidden="false" customHeight="true" outlineLevel="0" collapsed="false">
      <c r="A44" s="27"/>
      <c r="B44" s="28"/>
      <c r="C44" s="28"/>
      <c r="D44" s="28"/>
      <c r="E44" s="28"/>
      <c r="F44" s="28"/>
      <c r="G44" s="27"/>
      <c r="H44" s="29"/>
      <c r="I44" s="30" t="str">
        <f aca="true">IF($H44="","",DATEDIF($H44,TODAY(),"Y"))</f>
        <v/>
      </c>
      <c r="J44" s="28"/>
      <c r="K44" s="27"/>
      <c r="L44" s="27"/>
      <c r="M44" s="27"/>
      <c r="N44" s="28"/>
      <c r="O44" s="27"/>
      <c r="P44" s="29"/>
      <c r="Q44" s="28"/>
      <c r="R44" s="27"/>
      <c r="S44" s="29"/>
      <c r="T44" s="29"/>
      <c r="U44" s="30" t="str">
        <f aca="true">IF($P44="","",TODAY()-$P44)</f>
        <v/>
      </c>
      <c r="V44" s="31" t="str">
        <f aca="false">IF($A44="","",IF(COUNTIF(Consultation!$B$4:$B$1003,$A44)&gt;0,"Yes","No"))</f>
        <v/>
      </c>
      <c r="W44" s="31" t="str">
        <f aca="false">IF($A44="","",IF(COUNTIF(Customers!$B$4:$B$1003,$A44)&gt;0,"Yes","No"))</f>
        <v/>
      </c>
      <c r="X44" s="32"/>
    </row>
    <row r="45" customFormat="false" ht="15.75" hidden="false" customHeight="true" outlineLevel="0" collapsed="false">
      <c r="A45" s="27"/>
      <c r="B45" s="28"/>
      <c r="C45" s="28"/>
      <c r="D45" s="28"/>
      <c r="E45" s="28"/>
      <c r="F45" s="28"/>
      <c r="G45" s="27"/>
      <c r="H45" s="29"/>
      <c r="I45" s="30" t="str">
        <f aca="true">IF($H45="","",DATEDIF($H45,TODAY(),"Y"))</f>
        <v/>
      </c>
      <c r="J45" s="28"/>
      <c r="K45" s="27"/>
      <c r="L45" s="27"/>
      <c r="M45" s="27"/>
      <c r="N45" s="28"/>
      <c r="O45" s="27"/>
      <c r="P45" s="29"/>
      <c r="Q45" s="28"/>
      <c r="R45" s="27"/>
      <c r="S45" s="29"/>
      <c r="T45" s="29"/>
      <c r="U45" s="30" t="str">
        <f aca="true">IF($P45="","",TODAY()-$P45)</f>
        <v/>
      </c>
      <c r="V45" s="31" t="str">
        <f aca="false">IF($A45="","",IF(COUNTIF(Consultation!$B$4:$B$1003,$A45)&gt;0,"Yes","No"))</f>
        <v/>
      </c>
      <c r="W45" s="31" t="str">
        <f aca="false">IF($A45="","",IF(COUNTIF(Customers!$B$4:$B$1003,$A45)&gt;0,"Yes","No"))</f>
        <v/>
      </c>
      <c r="X45" s="32"/>
    </row>
    <row r="46" customFormat="false" ht="15.75" hidden="false" customHeight="true" outlineLevel="0" collapsed="false">
      <c r="A46" s="27"/>
      <c r="B46" s="28"/>
      <c r="C46" s="28"/>
      <c r="D46" s="28"/>
      <c r="E46" s="28"/>
      <c r="F46" s="28"/>
      <c r="G46" s="27"/>
      <c r="H46" s="29"/>
      <c r="I46" s="30" t="str">
        <f aca="true">IF($H46="","",DATEDIF($H46,TODAY(),"Y"))</f>
        <v/>
      </c>
      <c r="J46" s="28"/>
      <c r="K46" s="27"/>
      <c r="L46" s="27"/>
      <c r="M46" s="27"/>
      <c r="N46" s="28"/>
      <c r="O46" s="27"/>
      <c r="P46" s="29"/>
      <c r="Q46" s="28"/>
      <c r="R46" s="27"/>
      <c r="S46" s="29"/>
      <c r="T46" s="29"/>
      <c r="U46" s="30" t="str">
        <f aca="true">IF($P46="","",TODAY()-$P46)</f>
        <v/>
      </c>
      <c r="V46" s="31" t="str">
        <f aca="false">IF($A46="","",IF(COUNTIF(Consultation!$B$4:$B$1003,$A46)&gt;0,"Yes","No"))</f>
        <v/>
      </c>
      <c r="W46" s="31" t="str">
        <f aca="false">IF($A46="","",IF(COUNTIF(Customers!$B$4:$B$1003,$A46)&gt;0,"Yes","No"))</f>
        <v/>
      </c>
      <c r="X46" s="32"/>
    </row>
    <row r="47" customFormat="false" ht="15.75" hidden="false" customHeight="true" outlineLevel="0" collapsed="false">
      <c r="A47" s="27"/>
      <c r="B47" s="28"/>
      <c r="C47" s="28"/>
      <c r="D47" s="28"/>
      <c r="E47" s="28"/>
      <c r="F47" s="28"/>
      <c r="G47" s="27"/>
      <c r="H47" s="29"/>
      <c r="I47" s="30" t="str">
        <f aca="true">IF($H47="","",DATEDIF($H47,TODAY(),"Y"))</f>
        <v/>
      </c>
      <c r="J47" s="28"/>
      <c r="K47" s="27"/>
      <c r="L47" s="27"/>
      <c r="M47" s="27"/>
      <c r="N47" s="28"/>
      <c r="O47" s="27"/>
      <c r="P47" s="29"/>
      <c r="Q47" s="28"/>
      <c r="R47" s="27"/>
      <c r="S47" s="29"/>
      <c r="T47" s="29"/>
      <c r="U47" s="30" t="str">
        <f aca="true">IF($P47="","",TODAY()-$P47)</f>
        <v/>
      </c>
      <c r="V47" s="31" t="str">
        <f aca="false">IF($A47="","",IF(COUNTIF(Consultation!$B$4:$B$1003,$A47)&gt;0,"Yes","No"))</f>
        <v/>
      </c>
      <c r="W47" s="31" t="str">
        <f aca="false">IF($A47="","",IF(COUNTIF(Customers!$B$4:$B$1003,$A47)&gt;0,"Yes","No"))</f>
        <v/>
      </c>
      <c r="X47" s="32"/>
    </row>
    <row r="48" customFormat="false" ht="15.75" hidden="false" customHeight="true" outlineLevel="0" collapsed="false">
      <c r="A48" s="27"/>
      <c r="B48" s="28"/>
      <c r="C48" s="28"/>
      <c r="D48" s="28"/>
      <c r="E48" s="28"/>
      <c r="F48" s="28"/>
      <c r="G48" s="27"/>
      <c r="H48" s="29"/>
      <c r="I48" s="30" t="str">
        <f aca="true">IF($H48="","",DATEDIF($H48,TODAY(),"Y"))</f>
        <v/>
      </c>
      <c r="J48" s="28"/>
      <c r="K48" s="27"/>
      <c r="L48" s="27"/>
      <c r="M48" s="27"/>
      <c r="N48" s="28"/>
      <c r="O48" s="27"/>
      <c r="P48" s="29"/>
      <c r="Q48" s="28"/>
      <c r="R48" s="27"/>
      <c r="S48" s="29"/>
      <c r="T48" s="29"/>
      <c r="U48" s="30" t="str">
        <f aca="true">IF($P48="","",TODAY()-$P48)</f>
        <v/>
      </c>
      <c r="V48" s="31" t="str">
        <f aca="false">IF($A48="","",IF(COUNTIF(Consultation!$B$4:$B$1003,$A48)&gt;0,"Yes","No"))</f>
        <v/>
      </c>
      <c r="W48" s="31" t="str">
        <f aca="false">IF($A48="","",IF(COUNTIF(Customers!$B$4:$B$1003,$A48)&gt;0,"Yes","No"))</f>
        <v/>
      </c>
      <c r="X48" s="32"/>
    </row>
    <row r="49" customFormat="false" ht="15.75" hidden="false" customHeight="true" outlineLevel="0" collapsed="false">
      <c r="A49" s="27"/>
      <c r="B49" s="28"/>
      <c r="C49" s="28"/>
      <c r="D49" s="28"/>
      <c r="E49" s="28"/>
      <c r="F49" s="28"/>
      <c r="G49" s="27"/>
      <c r="H49" s="29"/>
      <c r="I49" s="30" t="str">
        <f aca="true">IF($H49="","",DATEDIF($H49,TODAY(),"Y"))</f>
        <v/>
      </c>
      <c r="J49" s="28"/>
      <c r="K49" s="27"/>
      <c r="L49" s="27"/>
      <c r="M49" s="27"/>
      <c r="N49" s="28"/>
      <c r="O49" s="27"/>
      <c r="P49" s="29"/>
      <c r="Q49" s="28"/>
      <c r="R49" s="27"/>
      <c r="S49" s="29"/>
      <c r="T49" s="29"/>
      <c r="U49" s="30" t="str">
        <f aca="true">IF($P49="","",TODAY()-$P49)</f>
        <v/>
      </c>
      <c r="V49" s="31" t="str">
        <f aca="false">IF($A49="","",IF(COUNTIF(Consultation!$B$4:$B$1003,$A49)&gt;0,"Yes","No"))</f>
        <v/>
      </c>
      <c r="W49" s="31" t="str">
        <f aca="false">IF($A49="","",IF(COUNTIF(Customers!$B$4:$B$1003,$A49)&gt;0,"Yes","No"))</f>
        <v/>
      </c>
      <c r="X49" s="32"/>
    </row>
    <row r="50" customFormat="false" ht="15.75" hidden="false" customHeight="true" outlineLevel="0" collapsed="false">
      <c r="A50" s="27"/>
      <c r="B50" s="28"/>
      <c r="C50" s="28"/>
      <c r="D50" s="28"/>
      <c r="E50" s="28"/>
      <c r="F50" s="28"/>
      <c r="G50" s="27"/>
      <c r="H50" s="29"/>
      <c r="I50" s="30" t="str">
        <f aca="true">IF($H50="","",DATEDIF($H50,TODAY(),"Y"))</f>
        <v/>
      </c>
      <c r="J50" s="28"/>
      <c r="K50" s="27"/>
      <c r="L50" s="27"/>
      <c r="M50" s="27"/>
      <c r="N50" s="28"/>
      <c r="O50" s="27"/>
      <c r="P50" s="29"/>
      <c r="Q50" s="28"/>
      <c r="R50" s="27"/>
      <c r="S50" s="29"/>
      <c r="T50" s="29"/>
      <c r="U50" s="30" t="str">
        <f aca="true">IF($P50="","",TODAY()-$P50)</f>
        <v/>
      </c>
      <c r="V50" s="31" t="str">
        <f aca="false">IF($A50="","",IF(COUNTIF(Consultation!$B$4:$B$1003,$A50)&gt;0,"Yes","No"))</f>
        <v/>
      </c>
      <c r="W50" s="31" t="str">
        <f aca="false">IF($A50="","",IF(COUNTIF(Customers!$B$4:$B$1003,$A50)&gt;0,"Yes","No"))</f>
        <v/>
      </c>
      <c r="X50" s="32"/>
    </row>
    <row r="51" customFormat="false" ht="15.75" hidden="false" customHeight="true" outlineLevel="0" collapsed="false">
      <c r="A51" s="27"/>
      <c r="B51" s="28"/>
      <c r="C51" s="28"/>
      <c r="D51" s="28"/>
      <c r="E51" s="28"/>
      <c r="F51" s="28"/>
      <c r="G51" s="27"/>
      <c r="H51" s="29"/>
      <c r="I51" s="30" t="str">
        <f aca="true">IF($H51="","",DATEDIF($H51,TODAY(),"Y"))</f>
        <v/>
      </c>
      <c r="J51" s="28"/>
      <c r="K51" s="27"/>
      <c r="L51" s="27"/>
      <c r="M51" s="27"/>
      <c r="N51" s="28"/>
      <c r="O51" s="27"/>
      <c r="P51" s="29"/>
      <c r="Q51" s="28"/>
      <c r="R51" s="27"/>
      <c r="S51" s="29"/>
      <c r="T51" s="29"/>
      <c r="U51" s="30" t="str">
        <f aca="true">IF($P51="","",TODAY()-$P51)</f>
        <v/>
      </c>
      <c r="V51" s="31" t="str">
        <f aca="false">IF($A51="","",IF(COUNTIF(Consultation!$B$4:$B$1003,$A51)&gt;0,"Yes","No"))</f>
        <v/>
      </c>
      <c r="W51" s="31" t="str">
        <f aca="false">IF($A51="","",IF(COUNTIF(Customers!$B$4:$B$1003,$A51)&gt;0,"Yes","No"))</f>
        <v/>
      </c>
      <c r="X51" s="32"/>
    </row>
    <row r="52" customFormat="false" ht="15.75" hidden="false" customHeight="true" outlineLevel="0" collapsed="false">
      <c r="A52" s="27"/>
      <c r="B52" s="28"/>
      <c r="C52" s="28"/>
      <c r="D52" s="28"/>
      <c r="E52" s="28"/>
      <c r="F52" s="28"/>
      <c r="G52" s="27"/>
      <c r="H52" s="29"/>
      <c r="I52" s="30" t="str">
        <f aca="true">IF($H52="","",DATEDIF($H52,TODAY(),"Y"))</f>
        <v/>
      </c>
      <c r="J52" s="28"/>
      <c r="K52" s="27"/>
      <c r="L52" s="27"/>
      <c r="M52" s="27"/>
      <c r="N52" s="28"/>
      <c r="O52" s="27"/>
      <c r="P52" s="29"/>
      <c r="Q52" s="28"/>
      <c r="R52" s="27"/>
      <c r="S52" s="29"/>
      <c r="T52" s="29"/>
      <c r="U52" s="30" t="str">
        <f aca="true">IF($P52="","",TODAY()-$P52)</f>
        <v/>
      </c>
      <c r="V52" s="31" t="str">
        <f aca="false">IF($A52="","",IF(COUNTIF(Consultation!$B$4:$B$1003,$A52)&gt;0,"Yes","No"))</f>
        <v/>
      </c>
      <c r="W52" s="31" t="str">
        <f aca="false">IF($A52="","",IF(COUNTIF(Customers!$B$4:$B$1003,$A52)&gt;0,"Yes","No"))</f>
        <v/>
      </c>
      <c r="X52" s="32"/>
    </row>
    <row r="53" customFormat="false" ht="15.75" hidden="false" customHeight="true" outlineLevel="0" collapsed="false">
      <c r="A53" s="27"/>
      <c r="B53" s="28"/>
      <c r="C53" s="28"/>
      <c r="D53" s="28"/>
      <c r="E53" s="28"/>
      <c r="F53" s="28"/>
      <c r="G53" s="27"/>
      <c r="H53" s="29"/>
      <c r="I53" s="30" t="str">
        <f aca="true">IF($H53="","",DATEDIF($H53,TODAY(),"Y"))</f>
        <v/>
      </c>
      <c r="J53" s="28"/>
      <c r="K53" s="27"/>
      <c r="L53" s="27"/>
      <c r="M53" s="27"/>
      <c r="N53" s="28"/>
      <c r="O53" s="27"/>
      <c r="P53" s="29"/>
      <c r="Q53" s="28"/>
      <c r="R53" s="27"/>
      <c r="S53" s="29"/>
      <c r="T53" s="29"/>
      <c r="U53" s="30" t="str">
        <f aca="true">IF($P53="","",TODAY()-$P53)</f>
        <v/>
      </c>
      <c r="V53" s="31" t="str">
        <f aca="false">IF($A53="","",IF(COUNTIF(Consultation!$B$4:$B$1003,$A53)&gt;0,"Yes","No"))</f>
        <v/>
      </c>
      <c r="W53" s="31" t="str">
        <f aca="false">IF($A53="","",IF(COUNTIF(Customers!$B$4:$B$1003,$A53)&gt;0,"Yes","No"))</f>
        <v/>
      </c>
      <c r="X53" s="32"/>
    </row>
    <row r="54" customFormat="false" ht="15.75" hidden="false" customHeight="true" outlineLevel="0" collapsed="false">
      <c r="A54" s="27"/>
      <c r="B54" s="28"/>
      <c r="C54" s="28"/>
      <c r="D54" s="28"/>
      <c r="E54" s="28"/>
      <c r="F54" s="28"/>
      <c r="G54" s="27"/>
      <c r="H54" s="29"/>
      <c r="I54" s="30" t="str">
        <f aca="true">IF($H54="","",DATEDIF($H54,TODAY(),"Y"))</f>
        <v/>
      </c>
      <c r="J54" s="28"/>
      <c r="K54" s="27"/>
      <c r="L54" s="27"/>
      <c r="M54" s="27"/>
      <c r="N54" s="28"/>
      <c r="O54" s="27"/>
      <c r="P54" s="29"/>
      <c r="Q54" s="28"/>
      <c r="R54" s="27"/>
      <c r="S54" s="29"/>
      <c r="T54" s="29"/>
      <c r="U54" s="30" t="str">
        <f aca="true">IF($P54="","",TODAY()-$P54)</f>
        <v/>
      </c>
      <c r="V54" s="31" t="str">
        <f aca="false">IF($A54="","",IF(COUNTIF(Consultation!$B$4:$B$1003,$A54)&gt;0,"Yes","No"))</f>
        <v/>
      </c>
      <c r="W54" s="31" t="str">
        <f aca="false">IF($A54="","",IF(COUNTIF(Customers!$B$4:$B$1003,$A54)&gt;0,"Yes","No"))</f>
        <v/>
      </c>
      <c r="X54" s="32"/>
    </row>
    <row r="55" customFormat="false" ht="15.75" hidden="false" customHeight="true" outlineLevel="0" collapsed="false">
      <c r="A55" s="27"/>
      <c r="B55" s="28"/>
      <c r="C55" s="28"/>
      <c r="D55" s="28"/>
      <c r="E55" s="28"/>
      <c r="F55" s="28"/>
      <c r="G55" s="27"/>
      <c r="H55" s="29"/>
      <c r="I55" s="30" t="str">
        <f aca="true">IF($H55="","",DATEDIF($H55,TODAY(),"Y"))</f>
        <v/>
      </c>
      <c r="J55" s="28"/>
      <c r="K55" s="27"/>
      <c r="L55" s="27"/>
      <c r="M55" s="27"/>
      <c r="N55" s="28"/>
      <c r="O55" s="27"/>
      <c r="P55" s="29"/>
      <c r="Q55" s="28"/>
      <c r="R55" s="27"/>
      <c r="S55" s="29"/>
      <c r="T55" s="29"/>
      <c r="U55" s="30" t="str">
        <f aca="true">IF($P55="","",TODAY()-$P55)</f>
        <v/>
      </c>
      <c r="V55" s="31" t="str">
        <f aca="false">IF($A55="","",IF(COUNTIF(Consultation!$B$4:$B$1003,$A55)&gt;0,"Yes","No"))</f>
        <v/>
      </c>
      <c r="W55" s="31" t="str">
        <f aca="false">IF($A55="","",IF(COUNTIF(Customers!$B$4:$B$1003,$A55)&gt;0,"Yes","No"))</f>
        <v/>
      </c>
      <c r="X55" s="32"/>
    </row>
    <row r="56" customFormat="false" ht="15.75" hidden="false" customHeight="true" outlineLevel="0" collapsed="false">
      <c r="A56" s="27"/>
      <c r="B56" s="28"/>
      <c r="C56" s="28"/>
      <c r="D56" s="28"/>
      <c r="E56" s="28"/>
      <c r="F56" s="28"/>
      <c r="G56" s="27"/>
      <c r="H56" s="29"/>
      <c r="I56" s="30" t="str">
        <f aca="true">IF($H56="","",DATEDIF($H56,TODAY(),"Y"))</f>
        <v/>
      </c>
      <c r="J56" s="28"/>
      <c r="K56" s="27"/>
      <c r="L56" s="27"/>
      <c r="M56" s="27"/>
      <c r="N56" s="28"/>
      <c r="O56" s="27"/>
      <c r="P56" s="29"/>
      <c r="Q56" s="28"/>
      <c r="R56" s="27"/>
      <c r="S56" s="29"/>
      <c r="T56" s="29"/>
      <c r="U56" s="30" t="str">
        <f aca="true">IF($P56="","",TODAY()-$P56)</f>
        <v/>
      </c>
      <c r="V56" s="31" t="str">
        <f aca="false">IF($A56="","",IF(COUNTIF(Consultation!$B$4:$B$1003,$A56)&gt;0,"Yes","No"))</f>
        <v/>
      </c>
      <c r="W56" s="31" t="str">
        <f aca="false">IF($A56="","",IF(COUNTIF(Customers!$B$4:$B$1003,$A56)&gt;0,"Yes","No"))</f>
        <v/>
      </c>
      <c r="X56" s="32"/>
    </row>
    <row r="57" customFormat="false" ht="15.75" hidden="false" customHeight="true" outlineLevel="0" collapsed="false">
      <c r="A57" s="27"/>
      <c r="B57" s="28"/>
      <c r="C57" s="28"/>
      <c r="D57" s="28"/>
      <c r="E57" s="28"/>
      <c r="F57" s="28"/>
      <c r="G57" s="27"/>
      <c r="H57" s="29"/>
      <c r="I57" s="30" t="str">
        <f aca="true">IF($H57="","",DATEDIF($H57,TODAY(),"Y"))</f>
        <v/>
      </c>
      <c r="J57" s="28"/>
      <c r="K57" s="27"/>
      <c r="L57" s="27"/>
      <c r="M57" s="27"/>
      <c r="N57" s="28"/>
      <c r="O57" s="27"/>
      <c r="P57" s="29"/>
      <c r="Q57" s="28"/>
      <c r="R57" s="27"/>
      <c r="S57" s="29"/>
      <c r="T57" s="29"/>
      <c r="U57" s="30" t="str">
        <f aca="true">IF($P57="","",TODAY()-$P57)</f>
        <v/>
      </c>
      <c r="V57" s="31" t="str">
        <f aca="false">IF($A57="","",IF(COUNTIF(Consultation!$B$4:$B$1003,$A57)&gt;0,"Yes","No"))</f>
        <v/>
      </c>
      <c r="W57" s="31" t="str">
        <f aca="false">IF($A57="","",IF(COUNTIF(Customers!$B$4:$B$1003,$A57)&gt;0,"Yes","No"))</f>
        <v/>
      </c>
      <c r="X57" s="32"/>
    </row>
    <row r="58" customFormat="false" ht="15.75" hidden="false" customHeight="true" outlineLevel="0" collapsed="false">
      <c r="A58" s="27"/>
      <c r="B58" s="28"/>
      <c r="C58" s="28"/>
      <c r="D58" s="28"/>
      <c r="E58" s="28"/>
      <c r="F58" s="28"/>
      <c r="G58" s="27"/>
      <c r="H58" s="29"/>
      <c r="I58" s="30" t="str">
        <f aca="true">IF($H58="","",DATEDIF($H58,TODAY(),"Y"))</f>
        <v/>
      </c>
      <c r="J58" s="28"/>
      <c r="K58" s="27"/>
      <c r="L58" s="27"/>
      <c r="M58" s="27"/>
      <c r="N58" s="28"/>
      <c r="O58" s="27"/>
      <c r="P58" s="29"/>
      <c r="Q58" s="28"/>
      <c r="R58" s="27"/>
      <c r="S58" s="29"/>
      <c r="T58" s="29"/>
      <c r="U58" s="30" t="str">
        <f aca="true">IF($P58="","",TODAY()-$P58)</f>
        <v/>
      </c>
      <c r="V58" s="31" t="str">
        <f aca="false">IF($A58="","",IF(COUNTIF(Consultation!$B$4:$B$1003,$A58)&gt;0,"Yes","No"))</f>
        <v/>
      </c>
      <c r="W58" s="31" t="str">
        <f aca="false">IF($A58="","",IF(COUNTIF(Customers!$B$4:$B$1003,$A58)&gt;0,"Yes","No"))</f>
        <v/>
      </c>
      <c r="X58" s="32"/>
    </row>
    <row r="59" customFormat="false" ht="15.75" hidden="false" customHeight="true" outlineLevel="0" collapsed="false">
      <c r="A59" s="27"/>
      <c r="B59" s="28"/>
      <c r="C59" s="28"/>
      <c r="D59" s="28"/>
      <c r="E59" s="28"/>
      <c r="F59" s="28"/>
      <c r="G59" s="27"/>
      <c r="H59" s="29"/>
      <c r="I59" s="30" t="str">
        <f aca="true">IF($H59="","",DATEDIF($H59,TODAY(),"Y"))</f>
        <v/>
      </c>
      <c r="J59" s="28"/>
      <c r="K59" s="27"/>
      <c r="L59" s="27"/>
      <c r="M59" s="27"/>
      <c r="N59" s="28"/>
      <c r="O59" s="27"/>
      <c r="P59" s="29"/>
      <c r="Q59" s="28"/>
      <c r="R59" s="27"/>
      <c r="S59" s="29"/>
      <c r="T59" s="29"/>
      <c r="U59" s="30" t="str">
        <f aca="true">IF($P59="","",TODAY()-$P59)</f>
        <v/>
      </c>
      <c r="V59" s="31" t="str">
        <f aca="false">IF($A59="","",IF(COUNTIF(Consultation!$B$4:$B$1003,$A59)&gt;0,"Yes","No"))</f>
        <v/>
      </c>
      <c r="W59" s="31" t="str">
        <f aca="false">IF($A59="","",IF(COUNTIF(Customers!$B$4:$B$1003,$A59)&gt;0,"Yes","No"))</f>
        <v/>
      </c>
      <c r="X59" s="32"/>
    </row>
    <row r="60" customFormat="false" ht="15.75" hidden="false" customHeight="true" outlineLevel="0" collapsed="false">
      <c r="A60" s="27"/>
      <c r="B60" s="28"/>
      <c r="C60" s="28"/>
      <c r="D60" s="28"/>
      <c r="E60" s="28"/>
      <c r="F60" s="28"/>
      <c r="G60" s="27"/>
      <c r="H60" s="29"/>
      <c r="I60" s="30" t="str">
        <f aca="true">IF($H60="","",DATEDIF($H60,TODAY(),"Y"))</f>
        <v/>
      </c>
      <c r="J60" s="28"/>
      <c r="K60" s="27"/>
      <c r="L60" s="27"/>
      <c r="M60" s="27"/>
      <c r="N60" s="28"/>
      <c r="O60" s="27"/>
      <c r="P60" s="29"/>
      <c r="Q60" s="28"/>
      <c r="R60" s="27"/>
      <c r="S60" s="29"/>
      <c r="T60" s="29"/>
      <c r="U60" s="30" t="str">
        <f aca="true">IF($P60="","",TODAY()-$P60)</f>
        <v/>
      </c>
      <c r="V60" s="31" t="str">
        <f aca="false">IF($A60="","",IF(COUNTIF(Consultation!$B$4:$B$1003,$A60)&gt;0,"Yes","No"))</f>
        <v/>
      </c>
      <c r="W60" s="31" t="str">
        <f aca="false">IF($A60="","",IF(COUNTIF(Customers!$B$4:$B$1003,$A60)&gt;0,"Yes","No"))</f>
        <v/>
      </c>
      <c r="X60" s="32"/>
    </row>
    <row r="61" customFormat="false" ht="15.75" hidden="false" customHeight="true" outlineLevel="0" collapsed="false">
      <c r="A61" s="27"/>
      <c r="B61" s="28"/>
      <c r="C61" s="28"/>
      <c r="D61" s="28"/>
      <c r="E61" s="28"/>
      <c r="F61" s="28"/>
      <c r="G61" s="27"/>
      <c r="H61" s="29"/>
      <c r="I61" s="30" t="str">
        <f aca="true">IF($H61="","",DATEDIF($H61,TODAY(),"Y"))</f>
        <v/>
      </c>
      <c r="J61" s="28"/>
      <c r="K61" s="27"/>
      <c r="L61" s="27"/>
      <c r="M61" s="27"/>
      <c r="N61" s="28"/>
      <c r="O61" s="27"/>
      <c r="P61" s="29"/>
      <c r="Q61" s="28"/>
      <c r="R61" s="27"/>
      <c r="S61" s="29"/>
      <c r="T61" s="29"/>
      <c r="U61" s="30" t="str">
        <f aca="true">IF($P61="","",TODAY()-$P61)</f>
        <v/>
      </c>
      <c r="V61" s="31" t="str">
        <f aca="false">IF($A61="","",IF(COUNTIF(Consultation!$B$4:$B$1003,$A61)&gt;0,"Yes","No"))</f>
        <v/>
      </c>
      <c r="W61" s="31" t="str">
        <f aca="false">IF($A61="","",IF(COUNTIF(Customers!$B$4:$B$1003,$A61)&gt;0,"Yes","No"))</f>
        <v/>
      </c>
      <c r="X61" s="32"/>
    </row>
    <row r="62" customFormat="false" ht="15.75" hidden="false" customHeight="true" outlineLevel="0" collapsed="false">
      <c r="A62" s="27"/>
      <c r="B62" s="28"/>
      <c r="C62" s="28"/>
      <c r="D62" s="28"/>
      <c r="E62" s="28"/>
      <c r="F62" s="28"/>
      <c r="G62" s="27"/>
      <c r="H62" s="29"/>
      <c r="I62" s="30" t="str">
        <f aca="true">IF($H62="","",DATEDIF($H62,TODAY(),"Y"))</f>
        <v/>
      </c>
      <c r="J62" s="28"/>
      <c r="K62" s="27"/>
      <c r="L62" s="27"/>
      <c r="M62" s="27"/>
      <c r="N62" s="28"/>
      <c r="O62" s="27"/>
      <c r="P62" s="29"/>
      <c r="Q62" s="28"/>
      <c r="R62" s="27"/>
      <c r="S62" s="29"/>
      <c r="T62" s="29"/>
      <c r="U62" s="30" t="str">
        <f aca="true">IF($P62="","",TODAY()-$P62)</f>
        <v/>
      </c>
      <c r="V62" s="31" t="str">
        <f aca="false">IF($A62="","",IF(COUNTIF(Consultation!$B$4:$B$1003,$A62)&gt;0,"Yes","No"))</f>
        <v/>
      </c>
      <c r="W62" s="31" t="str">
        <f aca="false">IF($A62="","",IF(COUNTIF(Customers!$B$4:$B$1003,$A62)&gt;0,"Yes","No"))</f>
        <v/>
      </c>
      <c r="X62" s="32"/>
    </row>
    <row r="63" customFormat="false" ht="15.75" hidden="false" customHeight="true" outlineLevel="0" collapsed="false">
      <c r="A63" s="27"/>
      <c r="B63" s="28"/>
      <c r="C63" s="28"/>
      <c r="D63" s="28"/>
      <c r="E63" s="28"/>
      <c r="F63" s="28"/>
      <c r="G63" s="27"/>
      <c r="H63" s="29"/>
      <c r="I63" s="30" t="str">
        <f aca="true">IF($H63="","",DATEDIF($H63,TODAY(),"Y"))</f>
        <v/>
      </c>
      <c r="J63" s="28"/>
      <c r="K63" s="27"/>
      <c r="L63" s="27"/>
      <c r="M63" s="27"/>
      <c r="N63" s="28"/>
      <c r="O63" s="27"/>
      <c r="P63" s="29"/>
      <c r="Q63" s="28"/>
      <c r="R63" s="27"/>
      <c r="S63" s="29"/>
      <c r="T63" s="29"/>
      <c r="U63" s="30" t="str">
        <f aca="true">IF($P63="","",TODAY()-$P63)</f>
        <v/>
      </c>
      <c r="V63" s="31" t="str">
        <f aca="false">IF($A63="","",IF(COUNTIF(Consultation!$B$4:$B$1003,$A63)&gt;0,"Yes","No"))</f>
        <v/>
      </c>
      <c r="W63" s="31" t="str">
        <f aca="false">IF($A63="","",IF(COUNTIF(Customers!$B$4:$B$1003,$A63)&gt;0,"Yes","No"))</f>
        <v/>
      </c>
      <c r="X63" s="32"/>
    </row>
    <row r="64" customFormat="false" ht="15.75" hidden="false" customHeight="true" outlineLevel="0" collapsed="false">
      <c r="A64" s="27"/>
      <c r="B64" s="28"/>
      <c r="C64" s="28"/>
      <c r="D64" s="28"/>
      <c r="E64" s="28"/>
      <c r="F64" s="28"/>
      <c r="G64" s="27"/>
      <c r="H64" s="29"/>
      <c r="I64" s="30" t="str">
        <f aca="true">IF($H64="","",DATEDIF($H64,TODAY(),"Y"))</f>
        <v/>
      </c>
      <c r="J64" s="28"/>
      <c r="K64" s="27"/>
      <c r="L64" s="27"/>
      <c r="M64" s="27"/>
      <c r="N64" s="28"/>
      <c r="O64" s="27"/>
      <c r="P64" s="29"/>
      <c r="Q64" s="28"/>
      <c r="R64" s="27"/>
      <c r="S64" s="29"/>
      <c r="T64" s="29"/>
      <c r="U64" s="30" t="str">
        <f aca="true">IF($P64="","",TODAY()-$P64)</f>
        <v/>
      </c>
      <c r="V64" s="31" t="str">
        <f aca="false">IF($A64="","",IF(COUNTIF(Consultation!$B$4:$B$1003,$A64)&gt;0,"Yes","No"))</f>
        <v/>
      </c>
      <c r="W64" s="31" t="str">
        <f aca="false">IF($A64="","",IF(COUNTIF(Customers!$B$4:$B$1003,$A64)&gt;0,"Yes","No"))</f>
        <v/>
      </c>
      <c r="X64" s="32"/>
    </row>
    <row r="65" customFormat="false" ht="15.75" hidden="false" customHeight="true" outlineLevel="0" collapsed="false">
      <c r="A65" s="27"/>
      <c r="B65" s="28"/>
      <c r="C65" s="28"/>
      <c r="D65" s="28"/>
      <c r="E65" s="28"/>
      <c r="F65" s="28"/>
      <c r="G65" s="27"/>
      <c r="H65" s="29"/>
      <c r="I65" s="30" t="str">
        <f aca="true">IF($H65="","",DATEDIF($H65,TODAY(),"Y"))</f>
        <v/>
      </c>
      <c r="J65" s="28"/>
      <c r="K65" s="27"/>
      <c r="L65" s="27"/>
      <c r="M65" s="27"/>
      <c r="N65" s="28"/>
      <c r="O65" s="27"/>
      <c r="P65" s="29"/>
      <c r="Q65" s="28"/>
      <c r="R65" s="27"/>
      <c r="S65" s="29"/>
      <c r="T65" s="29"/>
      <c r="U65" s="30" t="str">
        <f aca="true">IF($P65="","",TODAY()-$P65)</f>
        <v/>
      </c>
      <c r="V65" s="31" t="str">
        <f aca="false">IF($A65="","",IF(COUNTIF(Consultation!$B$4:$B$1003,$A65)&gt;0,"Yes","No"))</f>
        <v/>
      </c>
      <c r="W65" s="31" t="str">
        <f aca="false">IF($A65="","",IF(COUNTIF(Customers!$B$4:$B$1003,$A65)&gt;0,"Yes","No"))</f>
        <v/>
      </c>
      <c r="X65" s="32"/>
    </row>
    <row r="66" customFormat="false" ht="15.75" hidden="false" customHeight="true" outlineLevel="0" collapsed="false">
      <c r="A66" s="27"/>
      <c r="B66" s="28"/>
      <c r="C66" s="28"/>
      <c r="D66" s="28"/>
      <c r="E66" s="28"/>
      <c r="F66" s="28"/>
      <c r="G66" s="27"/>
      <c r="H66" s="29"/>
      <c r="I66" s="30" t="str">
        <f aca="true">IF($H66="","",DATEDIF($H66,TODAY(),"Y"))</f>
        <v/>
      </c>
      <c r="J66" s="28"/>
      <c r="K66" s="27"/>
      <c r="L66" s="27"/>
      <c r="M66" s="27"/>
      <c r="N66" s="28"/>
      <c r="O66" s="27"/>
      <c r="P66" s="29"/>
      <c r="Q66" s="28"/>
      <c r="R66" s="27"/>
      <c r="S66" s="29"/>
      <c r="T66" s="29"/>
      <c r="U66" s="30" t="str">
        <f aca="true">IF($P66="","",TODAY()-$P66)</f>
        <v/>
      </c>
      <c r="V66" s="31" t="str">
        <f aca="false">IF($A66="","",IF(COUNTIF(Consultation!$B$4:$B$1003,$A66)&gt;0,"Yes","No"))</f>
        <v/>
      </c>
      <c r="W66" s="31" t="str">
        <f aca="false">IF($A66="","",IF(COUNTIF(Customers!$B$4:$B$1003,$A66)&gt;0,"Yes","No"))</f>
        <v/>
      </c>
      <c r="X66" s="32"/>
    </row>
    <row r="67" customFormat="false" ht="15.75" hidden="false" customHeight="true" outlineLevel="0" collapsed="false">
      <c r="A67" s="27"/>
      <c r="B67" s="28"/>
      <c r="C67" s="28"/>
      <c r="D67" s="28"/>
      <c r="E67" s="28"/>
      <c r="F67" s="28"/>
      <c r="G67" s="27"/>
      <c r="H67" s="29"/>
      <c r="I67" s="30" t="str">
        <f aca="true">IF($H67="","",DATEDIF($H67,TODAY(),"Y"))</f>
        <v/>
      </c>
      <c r="J67" s="28"/>
      <c r="K67" s="27"/>
      <c r="L67" s="27"/>
      <c r="M67" s="27"/>
      <c r="N67" s="28"/>
      <c r="O67" s="27"/>
      <c r="P67" s="29"/>
      <c r="Q67" s="28"/>
      <c r="R67" s="27"/>
      <c r="S67" s="29"/>
      <c r="T67" s="29"/>
      <c r="U67" s="30" t="str">
        <f aca="true">IF($P67="","",TODAY()-$P67)</f>
        <v/>
      </c>
      <c r="V67" s="31" t="str">
        <f aca="false">IF($A67="","",IF(COUNTIF(Consultation!$B$4:$B$1003,$A67)&gt;0,"Yes","No"))</f>
        <v/>
      </c>
      <c r="W67" s="31" t="str">
        <f aca="false">IF($A67="","",IF(COUNTIF(Customers!$B$4:$B$1003,$A67)&gt;0,"Yes","No"))</f>
        <v/>
      </c>
      <c r="X67" s="32"/>
    </row>
    <row r="68" customFormat="false" ht="15.75" hidden="false" customHeight="true" outlineLevel="0" collapsed="false">
      <c r="A68" s="27"/>
      <c r="B68" s="28"/>
      <c r="C68" s="28"/>
      <c r="D68" s="28"/>
      <c r="E68" s="28"/>
      <c r="F68" s="28"/>
      <c r="G68" s="27"/>
      <c r="H68" s="29"/>
      <c r="I68" s="30" t="str">
        <f aca="true">IF($H68="","",DATEDIF($H68,TODAY(),"Y"))</f>
        <v/>
      </c>
      <c r="J68" s="28"/>
      <c r="K68" s="27"/>
      <c r="L68" s="27"/>
      <c r="M68" s="27"/>
      <c r="N68" s="28"/>
      <c r="O68" s="27"/>
      <c r="P68" s="29"/>
      <c r="Q68" s="28"/>
      <c r="R68" s="27"/>
      <c r="S68" s="29"/>
      <c r="T68" s="29"/>
      <c r="U68" s="30" t="str">
        <f aca="true">IF($P68="","",TODAY()-$P68)</f>
        <v/>
      </c>
      <c r="V68" s="31" t="str">
        <f aca="false">IF($A68="","",IF(COUNTIF(Consultation!$B$4:$B$1003,$A68)&gt;0,"Yes","No"))</f>
        <v/>
      </c>
      <c r="W68" s="31" t="str">
        <f aca="false">IF($A68="","",IF(COUNTIF(Customers!$B$4:$B$1003,$A68)&gt;0,"Yes","No"))</f>
        <v/>
      </c>
      <c r="X68" s="32"/>
    </row>
    <row r="69" customFormat="false" ht="15.75" hidden="false" customHeight="true" outlineLevel="0" collapsed="false">
      <c r="A69" s="27"/>
      <c r="B69" s="28"/>
      <c r="C69" s="28"/>
      <c r="D69" s="28"/>
      <c r="E69" s="28"/>
      <c r="F69" s="28"/>
      <c r="G69" s="27"/>
      <c r="H69" s="29"/>
      <c r="I69" s="30" t="str">
        <f aca="true">IF($H69="","",DATEDIF($H69,TODAY(),"Y"))</f>
        <v/>
      </c>
      <c r="J69" s="28"/>
      <c r="K69" s="27"/>
      <c r="L69" s="27"/>
      <c r="M69" s="27"/>
      <c r="N69" s="28"/>
      <c r="O69" s="27"/>
      <c r="P69" s="29"/>
      <c r="Q69" s="28"/>
      <c r="R69" s="27"/>
      <c r="S69" s="29"/>
      <c r="T69" s="29"/>
      <c r="U69" s="30" t="str">
        <f aca="true">IF($P69="","",TODAY()-$P69)</f>
        <v/>
      </c>
      <c r="V69" s="31" t="str">
        <f aca="false">IF($A69="","",IF(COUNTIF(Consultation!$B$4:$B$1003,$A69)&gt;0,"Yes","No"))</f>
        <v/>
      </c>
      <c r="W69" s="31" t="str">
        <f aca="false">IF($A69="","",IF(COUNTIF(Customers!$B$4:$B$1003,$A69)&gt;0,"Yes","No"))</f>
        <v/>
      </c>
      <c r="X69" s="32"/>
    </row>
    <row r="70" customFormat="false" ht="15.75" hidden="false" customHeight="true" outlineLevel="0" collapsed="false">
      <c r="A70" s="27"/>
      <c r="B70" s="28"/>
      <c r="C70" s="28"/>
      <c r="D70" s="28"/>
      <c r="E70" s="28"/>
      <c r="F70" s="28"/>
      <c r="G70" s="27"/>
      <c r="H70" s="29"/>
      <c r="I70" s="30" t="str">
        <f aca="true">IF($H70="","",DATEDIF($H70,TODAY(),"Y"))</f>
        <v/>
      </c>
      <c r="J70" s="28"/>
      <c r="K70" s="27"/>
      <c r="L70" s="27"/>
      <c r="M70" s="27"/>
      <c r="N70" s="28"/>
      <c r="O70" s="27"/>
      <c r="P70" s="29"/>
      <c r="Q70" s="28"/>
      <c r="R70" s="27"/>
      <c r="S70" s="29"/>
      <c r="T70" s="29"/>
      <c r="U70" s="30" t="str">
        <f aca="true">IF($P70="","",TODAY()-$P70)</f>
        <v/>
      </c>
      <c r="V70" s="31" t="str">
        <f aca="false">IF($A70="","",IF(COUNTIF(Consultation!$B$4:$B$1003,$A70)&gt;0,"Yes","No"))</f>
        <v/>
      </c>
      <c r="W70" s="31" t="str">
        <f aca="false">IF($A70="","",IF(COUNTIF(Customers!$B$4:$B$1003,$A70)&gt;0,"Yes","No"))</f>
        <v/>
      </c>
      <c r="X70" s="32"/>
    </row>
    <row r="71" customFormat="false" ht="15.75" hidden="false" customHeight="true" outlineLevel="0" collapsed="false">
      <c r="A71" s="27"/>
      <c r="B71" s="28"/>
      <c r="C71" s="28"/>
      <c r="D71" s="28"/>
      <c r="E71" s="28"/>
      <c r="F71" s="28"/>
      <c r="G71" s="27"/>
      <c r="H71" s="29"/>
      <c r="I71" s="30" t="str">
        <f aca="true">IF($H71="","",DATEDIF($H71,TODAY(),"Y"))</f>
        <v/>
      </c>
      <c r="J71" s="28"/>
      <c r="K71" s="27"/>
      <c r="L71" s="27"/>
      <c r="M71" s="27"/>
      <c r="N71" s="28"/>
      <c r="O71" s="27"/>
      <c r="P71" s="29"/>
      <c r="Q71" s="28"/>
      <c r="R71" s="27"/>
      <c r="S71" s="29"/>
      <c r="T71" s="29"/>
      <c r="U71" s="30" t="str">
        <f aca="true">IF($P71="","",TODAY()-$P71)</f>
        <v/>
      </c>
      <c r="V71" s="31" t="str">
        <f aca="false">IF($A71="","",IF(COUNTIF(Consultation!$B$4:$B$1003,$A71)&gt;0,"Yes","No"))</f>
        <v/>
      </c>
      <c r="W71" s="31" t="str">
        <f aca="false">IF($A71="","",IF(COUNTIF(Customers!$B$4:$B$1003,$A71)&gt;0,"Yes","No"))</f>
        <v/>
      </c>
      <c r="X71" s="32"/>
    </row>
    <row r="72" customFormat="false" ht="15.75" hidden="false" customHeight="true" outlineLevel="0" collapsed="false">
      <c r="A72" s="27"/>
      <c r="B72" s="28"/>
      <c r="C72" s="28"/>
      <c r="D72" s="28"/>
      <c r="E72" s="28"/>
      <c r="F72" s="28"/>
      <c r="G72" s="27"/>
      <c r="H72" s="29"/>
      <c r="I72" s="30" t="str">
        <f aca="true">IF($H72="","",DATEDIF($H72,TODAY(),"Y"))</f>
        <v/>
      </c>
      <c r="J72" s="28"/>
      <c r="K72" s="27"/>
      <c r="L72" s="27"/>
      <c r="M72" s="27"/>
      <c r="N72" s="28"/>
      <c r="O72" s="27"/>
      <c r="P72" s="29"/>
      <c r="Q72" s="28"/>
      <c r="R72" s="27"/>
      <c r="S72" s="29"/>
      <c r="T72" s="29"/>
      <c r="U72" s="30" t="str">
        <f aca="true">IF($P72="","",TODAY()-$P72)</f>
        <v/>
      </c>
      <c r="V72" s="31" t="str">
        <f aca="false">IF($A72="","",IF(COUNTIF(Consultation!$B$4:$B$1003,$A72)&gt;0,"Yes","No"))</f>
        <v/>
      </c>
      <c r="W72" s="31" t="str">
        <f aca="false">IF($A72="","",IF(COUNTIF(Customers!$B$4:$B$1003,$A72)&gt;0,"Yes","No"))</f>
        <v/>
      </c>
      <c r="X72" s="32"/>
    </row>
    <row r="73" customFormat="false" ht="15.75" hidden="false" customHeight="true" outlineLevel="0" collapsed="false">
      <c r="A73" s="27"/>
      <c r="B73" s="28"/>
      <c r="C73" s="28"/>
      <c r="D73" s="28"/>
      <c r="E73" s="28"/>
      <c r="F73" s="28"/>
      <c r="G73" s="27"/>
      <c r="H73" s="29"/>
      <c r="I73" s="30" t="str">
        <f aca="true">IF($H73="","",DATEDIF($H73,TODAY(),"Y"))</f>
        <v/>
      </c>
      <c r="J73" s="28"/>
      <c r="K73" s="27"/>
      <c r="L73" s="27"/>
      <c r="M73" s="27"/>
      <c r="N73" s="28"/>
      <c r="O73" s="27"/>
      <c r="P73" s="29"/>
      <c r="Q73" s="28"/>
      <c r="R73" s="27"/>
      <c r="S73" s="29"/>
      <c r="T73" s="29"/>
      <c r="U73" s="30" t="str">
        <f aca="true">IF($P73="","",TODAY()-$P73)</f>
        <v/>
      </c>
      <c r="V73" s="31" t="str">
        <f aca="false">IF($A73="","",IF(COUNTIF(Consultation!$B$4:$B$1003,$A73)&gt;0,"Yes","No"))</f>
        <v/>
      </c>
      <c r="W73" s="31" t="str">
        <f aca="false">IF($A73="","",IF(COUNTIF(Customers!$B$4:$B$1003,$A73)&gt;0,"Yes","No"))</f>
        <v/>
      </c>
      <c r="X73" s="32"/>
    </row>
    <row r="74" customFormat="false" ht="15.75" hidden="false" customHeight="true" outlineLevel="0" collapsed="false">
      <c r="A74" s="27"/>
      <c r="B74" s="28"/>
      <c r="C74" s="28"/>
      <c r="D74" s="28"/>
      <c r="E74" s="28"/>
      <c r="F74" s="28"/>
      <c r="G74" s="27"/>
      <c r="H74" s="29"/>
      <c r="I74" s="30" t="str">
        <f aca="true">IF($H74="","",DATEDIF($H74,TODAY(),"Y"))</f>
        <v/>
      </c>
      <c r="J74" s="28"/>
      <c r="K74" s="27"/>
      <c r="L74" s="27"/>
      <c r="M74" s="27"/>
      <c r="N74" s="28"/>
      <c r="O74" s="27"/>
      <c r="P74" s="29"/>
      <c r="Q74" s="28"/>
      <c r="R74" s="27"/>
      <c r="S74" s="29"/>
      <c r="T74" s="29"/>
      <c r="U74" s="30" t="str">
        <f aca="true">IF($P74="","",TODAY()-$P74)</f>
        <v/>
      </c>
      <c r="V74" s="31" t="str">
        <f aca="false">IF($A74="","",IF(COUNTIF(Consultation!$B$4:$B$1003,$A74)&gt;0,"Yes","No"))</f>
        <v/>
      </c>
      <c r="W74" s="31" t="str">
        <f aca="false">IF($A74="","",IF(COUNTIF(Customers!$B$4:$B$1003,$A74)&gt;0,"Yes","No"))</f>
        <v/>
      </c>
      <c r="X74" s="32"/>
    </row>
    <row r="75" customFormat="false" ht="15.75" hidden="false" customHeight="true" outlineLevel="0" collapsed="false">
      <c r="A75" s="27"/>
      <c r="B75" s="28"/>
      <c r="C75" s="28"/>
      <c r="D75" s="28"/>
      <c r="E75" s="28"/>
      <c r="F75" s="28"/>
      <c r="G75" s="27"/>
      <c r="H75" s="29"/>
      <c r="I75" s="30" t="str">
        <f aca="true">IF($H75="","",DATEDIF($H75,TODAY(),"Y"))</f>
        <v/>
      </c>
      <c r="J75" s="28"/>
      <c r="K75" s="27"/>
      <c r="L75" s="27"/>
      <c r="M75" s="27"/>
      <c r="N75" s="28"/>
      <c r="O75" s="27"/>
      <c r="P75" s="29"/>
      <c r="Q75" s="28"/>
      <c r="R75" s="27"/>
      <c r="S75" s="29"/>
      <c r="T75" s="29"/>
      <c r="U75" s="30" t="str">
        <f aca="true">IF($P75="","",TODAY()-$P75)</f>
        <v/>
      </c>
      <c r="V75" s="31" t="str">
        <f aca="false">IF($A75="","",IF(COUNTIF(Consultation!$B$4:$B$1003,$A75)&gt;0,"Yes","No"))</f>
        <v/>
      </c>
      <c r="W75" s="31" t="str">
        <f aca="false">IF($A75="","",IF(COUNTIF(Customers!$B$4:$B$1003,$A75)&gt;0,"Yes","No"))</f>
        <v/>
      </c>
      <c r="X75" s="32"/>
    </row>
    <row r="76" customFormat="false" ht="15.75" hidden="false" customHeight="true" outlineLevel="0" collapsed="false">
      <c r="A76" s="27"/>
      <c r="B76" s="28"/>
      <c r="C76" s="28"/>
      <c r="D76" s="28"/>
      <c r="E76" s="28"/>
      <c r="F76" s="28"/>
      <c r="G76" s="27"/>
      <c r="H76" s="29"/>
      <c r="I76" s="30" t="str">
        <f aca="true">IF($H76="","",DATEDIF($H76,TODAY(),"Y"))</f>
        <v/>
      </c>
      <c r="J76" s="28"/>
      <c r="K76" s="27"/>
      <c r="L76" s="27"/>
      <c r="M76" s="27"/>
      <c r="N76" s="28"/>
      <c r="O76" s="27"/>
      <c r="P76" s="29"/>
      <c r="Q76" s="28"/>
      <c r="R76" s="27"/>
      <c r="S76" s="29"/>
      <c r="T76" s="29"/>
      <c r="U76" s="30" t="str">
        <f aca="true">IF($P76="","",TODAY()-$P76)</f>
        <v/>
      </c>
      <c r="V76" s="31" t="str">
        <f aca="false">IF($A76="","",IF(COUNTIF(Consultation!$B$4:$B$1003,$A76)&gt;0,"Yes","No"))</f>
        <v/>
      </c>
      <c r="W76" s="31" t="str">
        <f aca="false">IF($A76="","",IF(COUNTIF(Customers!$B$4:$B$1003,$A76)&gt;0,"Yes","No"))</f>
        <v/>
      </c>
      <c r="X76" s="32"/>
    </row>
    <row r="77" customFormat="false" ht="15.75" hidden="false" customHeight="true" outlineLevel="0" collapsed="false">
      <c r="A77" s="27"/>
      <c r="B77" s="28"/>
      <c r="C77" s="28"/>
      <c r="D77" s="28"/>
      <c r="E77" s="28"/>
      <c r="F77" s="28"/>
      <c r="G77" s="27"/>
      <c r="H77" s="29"/>
      <c r="I77" s="30" t="str">
        <f aca="true">IF($H77="","",DATEDIF($H77,TODAY(),"Y"))</f>
        <v/>
      </c>
      <c r="J77" s="28"/>
      <c r="K77" s="27"/>
      <c r="L77" s="27"/>
      <c r="M77" s="27"/>
      <c r="N77" s="28"/>
      <c r="O77" s="27"/>
      <c r="P77" s="29"/>
      <c r="Q77" s="28"/>
      <c r="R77" s="27"/>
      <c r="S77" s="29"/>
      <c r="T77" s="29"/>
      <c r="U77" s="30" t="str">
        <f aca="true">IF($P77="","",TODAY()-$P77)</f>
        <v/>
      </c>
      <c r="V77" s="31" t="str">
        <f aca="false">IF($A77="","",IF(COUNTIF(Consultation!$B$4:$B$1003,$A77)&gt;0,"Yes","No"))</f>
        <v/>
      </c>
      <c r="W77" s="31" t="str">
        <f aca="false">IF($A77="","",IF(COUNTIF(Customers!$B$4:$B$1003,$A77)&gt;0,"Yes","No"))</f>
        <v/>
      </c>
      <c r="X77" s="32"/>
    </row>
    <row r="78" customFormat="false" ht="15.75" hidden="false" customHeight="true" outlineLevel="0" collapsed="false">
      <c r="A78" s="27"/>
      <c r="B78" s="28"/>
      <c r="C78" s="28"/>
      <c r="D78" s="28"/>
      <c r="E78" s="28"/>
      <c r="F78" s="28"/>
      <c r="G78" s="27"/>
      <c r="H78" s="29"/>
      <c r="I78" s="30" t="str">
        <f aca="true">IF($H78="","",DATEDIF($H78,TODAY(),"Y"))</f>
        <v/>
      </c>
      <c r="J78" s="28"/>
      <c r="K78" s="27"/>
      <c r="L78" s="27"/>
      <c r="M78" s="27"/>
      <c r="N78" s="28"/>
      <c r="O78" s="27"/>
      <c r="P78" s="29"/>
      <c r="Q78" s="28"/>
      <c r="R78" s="27"/>
      <c r="S78" s="29"/>
      <c r="T78" s="29"/>
      <c r="U78" s="30" t="str">
        <f aca="true">IF($P78="","",TODAY()-$P78)</f>
        <v/>
      </c>
      <c r="V78" s="31" t="str">
        <f aca="false">IF($A78="","",IF(COUNTIF(Consultation!$B$4:$B$1003,$A78)&gt;0,"Yes","No"))</f>
        <v/>
      </c>
      <c r="W78" s="31" t="str">
        <f aca="false">IF($A78="","",IF(COUNTIF(Customers!$B$4:$B$1003,$A78)&gt;0,"Yes","No"))</f>
        <v/>
      </c>
      <c r="X78" s="32"/>
    </row>
    <row r="79" customFormat="false" ht="15.75" hidden="false" customHeight="true" outlineLevel="0" collapsed="false">
      <c r="A79" s="27"/>
      <c r="B79" s="28"/>
      <c r="C79" s="28"/>
      <c r="D79" s="28"/>
      <c r="E79" s="28"/>
      <c r="F79" s="28"/>
      <c r="G79" s="27"/>
      <c r="H79" s="29"/>
      <c r="I79" s="30" t="str">
        <f aca="true">IF($H79="","",DATEDIF($H79,TODAY(),"Y"))</f>
        <v/>
      </c>
      <c r="J79" s="28"/>
      <c r="K79" s="27"/>
      <c r="L79" s="27"/>
      <c r="M79" s="27"/>
      <c r="N79" s="28"/>
      <c r="O79" s="27"/>
      <c r="P79" s="29"/>
      <c r="Q79" s="28"/>
      <c r="R79" s="27"/>
      <c r="S79" s="29"/>
      <c r="T79" s="29"/>
      <c r="U79" s="30" t="str">
        <f aca="true">IF($P79="","",TODAY()-$P79)</f>
        <v/>
      </c>
      <c r="V79" s="31" t="str">
        <f aca="false">IF($A79="","",IF(COUNTIF(Consultation!$B$4:$B$1003,$A79)&gt;0,"Yes","No"))</f>
        <v/>
      </c>
      <c r="W79" s="31" t="str">
        <f aca="false">IF($A79="","",IF(COUNTIF(Customers!$B$4:$B$1003,$A79)&gt;0,"Yes","No"))</f>
        <v/>
      </c>
      <c r="X79" s="32"/>
    </row>
    <row r="80" customFormat="false" ht="15.75" hidden="false" customHeight="true" outlineLevel="0" collapsed="false">
      <c r="A80" s="27"/>
      <c r="B80" s="28"/>
      <c r="C80" s="28"/>
      <c r="D80" s="28"/>
      <c r="E80" s="28"/>
      <c r="F80" s="28"/>
      <c r="G80" s="27"/>
      <c r="H80" s="29"/>
      <c r="I80" s="30" t="str">
        <f aca="true">IF($H80="","",DATEDIF($H80,TODAY(),"Y"))</f>
        <v/>
      </c>
      <c r="J80" s="28"/>
      <c r="K80" s="27"/>
      <c r="L80" s="27"/>
      <c r="M80" s="27"/>
      <c r="N80" s="28"/>
      <c r="O80" s="27"/>
      <c r="P80" s="29"/>
      <c r="Q80" s="28"/>
      <c r="R80" s="27"/>
      <c r="S80" s="29"/>
      <c r="T80" s="29"/>
      <c r="U80" s="30" t="str">
        <f aca="true">IF($P80="","",TODAY()-$P80)</f>
        <v/>
      </c>
      <c r="V80" s="31" t="str">
        <f aca="false">IF($A80="","",IF(COUNTIF(Consultation!$B$4:$B$1003,$A80)&gt;0,"Yes","No"))</f>
        <v/>
      </c>
      <c r="W80" s="31" t="str">
        <f aca="false">IF($A80="","",IF(COUNTIF(Customers!$B$4:$B$1003,$A80)&gt;0,"Yes","No"))</f>
        <v/>
      </c>
      <c r="X80" s="32"/>
    </row>
    <row r="81" customFormat="false" ht="15.75" hidden="false" customHeight="true" outlineLevel="0" collapsed="false">
      <c r="A81" s="27"/>
      <c r="B81" s="28"/>
      <c r="C81" s="28"/>
      <c r="D81" s="28"/>
      <c r="E81" s="28"/>
      <c r="F81" s="28"/>
      <c r="G81" s="27"/>
      <c r="H81" s="29"/>
      <c r="I81" s="30" t="str">
        <f aca="true">IF($H81="","",DATEDIF($H81,TODAY(),"Y"))</f>
        <v/>
      </c>
      <c r="J81" s="28"/>
      <c r="K81" s="27"/>
      <c r="L81" s="27"/>
      <c r="M81" s="27"/>
      <c r="N81" s="28"/>
      <c r="O81" s="27"/>
      <c r="P81" s="29"/>
      <c r="Q81" s="28"/>
      <c r="R81" s="27"/>
      <c r="S81" s="29"/>
      <c r="T81" s="29"/>
      <c r="U81" s="30" t="str">
        <f aca="true">IF($P81="","",TODAY()-$P81)</f>
        <v/>
      </c>
      <c r="V81" s="31" t="str">
        <f aca="false">IF($A81="","",IF(COUNTIF(Consultation!$B$4:$B$1003,$A81)&gt;0,"Yes","No"))</f>
        <v/>
      </c>
      <c r="W81" s="31" t="str">
        <f aca="false">IF($A81="","",IF(COUNTIF(Customers!$B$4:$B$1003,$A81)&gt;0,"Yes","No"))</f>
        <v/>
      </c>
      <c r="X81" s="32"/>
    </row>
    <row r="82" customFormat="false" ht="15.75" hidden="false" customHeight="true" outlineLevel="0" collapsed="false">
      <c r="A82" s="27"/>
      <c r="B82" s="28"/>
      <c r="C82" s="28"/>
      <c r="D82" s="28"/>
      <c r="E82" s="28"/>
      <c r="F82" s="28"/>
      <c r="G82" s="27"/>
      <c r="H82" s="29"/>
      <c r="I82" s="30" t="str">
        <f aca="true">IF($H82="","",DATEDIF($H82,TODAY(),"Y"))</f>
        <v/>
      </c>
      <c r="J82" s="28"/>
      <c r="K82" s="27"/>
      <c r="L82" s="27"/>
      <c r="M82" s="27"/>
      <c r="N82" s="28"/>
      <c r="O82" s="27"/>
      <c r="P82" s="29"/>
      <c r="Q82" s="28"/>
      <c r="R82" s="27"/>
      <c r="S82" s="29"/>
      <c r="T82" s="29"/>
      <c r="U82" s="30" t="str">
        <f aca="true">IF($P82="","",TODAY()-$P82)</f>
        <v/>
      </c>
      <c r="V82" s="31" t="str">
        <f aca="false">IF($A82="","",IF(COUNTIF(Consultation!$B$4:$B$1003,$A82)&gt;0,"Yes","No"))</f>
        <v/>
      </c>
      <c r="W82" s="31" t="str">
        <f aca="false">IF($A82="","",IF(COUNTIF(Customers!$B$4:$B$1003,$A82)&gt;0,"Yes","No"))</f>
        <v/>
      </c>
      <c r="X82" s="32"/>
    </row>
    <row r="83" customFormat="false" ht="15.75" hidden="false" customHeight="true" outlineLevel="0" collapsed="false">
      <c r="A83" s="27"/>
      <c r="B83" s="28"/>
      <c r="C83" s="28"/>
      <c r="D83" s="28"/>
      <c r="E83" s="28"/>
      <c r="F83" s="28"/>
      <c r="G83" s="27"/>
      <c r="H83" s="29"/>
      <c r="I83" s="30" t="str">
        <f aca="true">IF($H83="","",DATEDIF($H83,TODAY(),"Y"))</f>
        <v/>
      </c>
      <c r="J83" s="28"/>
      <c r="K83" s="27"/>
      <c r="L83" s="27"/>
      <c r="M83" s="27"/>
      <c r="N83" s="28"/>
      <c r="O83" s="27"/>
      <c r="P83" s="29"/>
      <c r="Q83" s="28"/>
      <c r="R83" s="27"/>
      <c r="S83" s="29"/>
      <c r="T83" s="29"/>
      <c r="U83" s="30" t="str">
        <f aca="true">IF($P83="","",TODAY()-$P83)</f>
        <v/>
      </c>
      <c r="V83" s="31" t="str">
        <f aca="false">IF($A83="","",IF(COUNTIF(Consultation!$B$4:$B$1003,$A83)&gt;0,"Yes","No"))</f>
        <v/>
      </c>
      <c r="W83" s="31" t="str">
        <f aca="false">IF($A83="","",IF(COUNTIF(Customers!$B$4:$B$1003,$A83)&gt;0,"Yes","No"))</f>
        <v/>
      </c>
      <c r="X83" s="32"/>
    </row>
    <row r="84" customFormat="false" ht="15.75" hidden="false" customHeight="true" outlineLevel="0" collapsed="false">
      <c r="A84" s="27"/>
      <c r="B84" s="28"/>
      <c r="C84" s="28"/>
      <c r="D84" s="28"/>
      <c r="E84" s="28"/>
      <c r="F84" s="28"/>
      <c r="G84" s="27"/>
      <c r="H84" s="29"/>
      <c r="I84" s="30" t="str">
        <f aca="true">IF($H84="","",DATEDIF($H84,TODAY(),"Y"))</f>
        <v/>
      </c>
      <c r="J84" s="28"/>
      <c r="K84" s="27"/>
      <c r="L84" s="27"/>
      <c r="M84" s="27"/>
      <c r="N84" s="28"/>
      <c r="O84" s="27"/>
      <c r="P84" s="29"/>
      <c r="Q84" s="28"/>
      <c r="R84" s="27"/>
      <c r="S84" s="29"/>
      <c r="T84" s="29"/>
      <c r="U84" s="30" t="str">
        <f aca="true">IF($P84="","",TODAY()-$P84)</f>
        <v/>
      </c>
      <c r="V84" s="31" t="str">
        <f aca="false">IF($A84="","",IF(COUNTIF(Consultation!$B$4:$B$1003,$A84)&gt;0,"Yes","No"))</f>
        <v/>
      </c>
      <c r="W84" s="31" t="str">
        <f aca="false">IF($A84="","",IF(COUNTIF(Customers!$B$4:$B$1003,$A84)&gt;0,"Yes","No"))</f>
        <v/>
      </c>
      <c r="X84" s="32"/>
    </row>
    <row r="85" customFormat="false" ht="15.75" hidden="false" customHeight="true" outlineLevel="0" collapsed="false">
      <c r="A85" s="27"/>
      <c r="B85" s="28"/>
      <c r="C85" s="28"/>
      <c r="D85" s="28"/>
      <c r="E85" s="28"/>
      <c r="F85" s="28"/>
      <c r="G85" s="27"/>
      <c r="H85" s="29"/>
      <c r="I85" s="30" t="str">
        <f aca="true">IF($H85="","",DATEDIF($H85,TODAY(),"Y"))</f>
        <v/>
      </c>
      <c r="J85" s="28"/>
      <c r="K85" s="27"/>
      <c r="L85" s="27"/>
      <c r="M85" s="27"/>
      <c r="N85" s="28"/>
      <c r="O85" s="27"/>
      <c r="P85" s="29"/>
      <c r="Q85" s="28"/>
      <c r="R85" s="27"/>
      <c r="S85" s="29"/>
      <c r="T85" s="29"/>
      <c r="U85" s="30" t="str">
        <f aca="true">IF($P85="","",TODAY()-$P85)</f>
        <v/>
      </c>
      <c r="V85" s="31" t="str">
        <f aca="false">IF($A85="","",IF(COUNTIF(Consultation!$B$4:$B$1003,$A85)&gt;0,"Yes","No"))</f>
        <v/>
      </c>
      <c r="W85" s="31" t="str">
        <f aca="false">IF($A85="","",IF(COUNTIF(Customers!$B$4:$B$1003,$A85)&gt;0,"Yes","No"))</f>
        <v/>
      </c>
      <c r="X85" s="32"/>
    </row>
    <row r="86" customFormat="false" ht="15.75" hidden="false" customHeight="true" outlineLevel="0" collapsed="false">
      <c r="A86" s="27"/>
      <c r="B86" s="28"/>
      <c r="C86" s="28"/>
      <c r="D86" s="28"/>
      <c r="E86" s="28"/>
      <c r="F86" s="28"/>
      <c r="G86" s="27"/>
      <c r="H86" s="29"/>
      <c r="I86" s="30" t="str">
        <f aca="true">IF($H86="","",DATEDIF($H86,TODAY(),"Y"))</f>
        <v/>
      </c>
      <c r="J86" s="28"/>
      <c r="K86" s="27"/>
      <c r="L86" s="27"/>
      <c r="M86" s="27"/>
      <c r="N86" s="28"/>
      <c r="O86" s="27"/>
      <c r="P86" s="29"/>
      <c r="Q86" s="28"/>
      <c r="R86" s="27"/>
      <c r="S86" s="29"/>
      <c r="T86" s="29"/>
      <c r="U86" s="30" t="str">
        <f aca="true">IF($P86="","",TODAY()-$P86)</f>
        <v/>
      </c>
      <c r="V86" s="31" t="str">
        <f aca="false">IF($A86="","",IF(COUNTIF(Consultation!$B$4:$B$1003,$A86)&gt;0,"Yes","No"))</f>
        <v/>
      </c>
      <c r="W86" s="31" t="str">
        <f aca="false">IF($A86="","",IF(COUNTIF(Customers!$B$4:$B$1003,$A86)&gt;0,"Yes","No"))</f>
        <v/>
      </c>
      <c r="X86" s="32"/>
    </row>
    <row r="87" customFormat="false" ht="15.75" hidden="false" customHeight="true" outlineLevel="0" collapsed="false">
      <c r="A87" s="27"/>
      <c r="B87" s="28"/>
      <c r="C87" s="28"/>
      <c r="D87" s="28"/>
      <c r="E87" s="28"/>
      <c r="F87" s="28"/>
      <c r="G87" s="27"/>
      <c r="H87" s="29"/>
      <c r="I87" s="30" t="str">
        <f aca="true">IF($H87="","",DATEDIF($H87,TODAY(),"Y"))</f>
        <v/>
      </c>
      <c r="J87" s="28"/>
      <c r="K87" s="27"/>
      <c r="L87" s="27"/>
      <c r="M87" s="27"/>
      <c r="N87" s="28"/>
      <c r="O87" s="27"/>
      <c r="P87" s="29"/>
      <c r="Q87" s="28"/>
      <c r="R87" s="27"/>
      <c r="S87" s="29"/>
      <c r="T87" s="29"/>
      <c r="U87" s="30" t="str">
        <f aca="true">IF($P87="","",TODAY()-$P87)</f>
        <v/>
      </c>
      <c r="V87" s="31" t="str">
        <f aca="false">IF($A87="","",IF(COUNTIF(Consultation!$B$4:$B$1003,$A87)&gt;0,"Yes","No"))</f>
        <v/>
      </c>
      <c r="W87" s="31" t="str">
        <f aca="false">IF($A87="","",IF(COUNTIF(Customers!$B$4:$B$1003,$A87)&gt;0,"Yes","No"))</f>
        <v/>
      </c>
      <c r="X87" s="32"/>
    </row>
    <row r="88" customFormat="false" ht="15.75" hidden="false" customHeight="true" outlineLevel="0" collapsed="false">
      <c r="A88" s="27"/>
      <c r="B88" s="28"/>
      <c r="C88" s="28"/>
      <c r="D88" s="28"/>
      <c r="E88" s="28"/>
      <c r="F88" s="28"/>
      <c r="G88" s="27"/>
      <c r="H88" s="29"/>
      <c r="I88" s="30" t="str">
        <f aca="true">IF($H88="","",DATEDIF($H88,TODAY(),"Y"))</f>
        <v/>
      </c>
      <c r="J88" s="28"/>
      <c r="K88" s="27"/>
      <c r="L88" s="27"/>
      <c r="M88" s="27"/>
      <c r="N88" s="28"/>
      <c r="O88" s="27"/>
      <c r="P88" s="29"/>
      <c r="Q88" s="28"/>
      <c r="R88" s="27"/>
      <c r="S88" s="29"/>
      <c r="T88" s="29"/>
      <c r="U88" s="30" t="str">
        <f aca="true">IF($P88="","",TODAY()-$P88)</f>
        <v/>
      </c>
      <c r="V88" s="31" t="str">
        <f aca="false">IF($A88="","",IF(COUNTIF(Consultation!$B$4:$B$1003,$A88)&gt;0,"Yes","No"))</f>
        <v/>
      </c>
      <c r="W88" s="31" t="str">
        <f aca="false">IF($A88="","",IF(COUNTIF(Customers!$B$4:$B$1003,$A88)&gt;0,"Yes","No"))</f>
        <v/>
      </c>
      <c r="X88" s="32"/>
    </row>
    <row r="89" customFormat="false" ht="15.75" hidden="false" customHeight="true" outlineLevel="0" collapsed="false">
      <c r="A89" s="27"/>
      <c r="B89" s="28"/>
      <c r="C89" s="28"/>
      <c r="D89" s="28"/>
      <c r="E89" s="28"/>
      <c r="F89" s="28"/>
      <c r="G89" s="27"/>
      <c r="H89" s="29"/>
      <c r="I89" s="30" t="str">
        <f aca="true">IF($H89="","",DATEDIF($H89,TODAY(),"Y"))</f>
        <v/>
      </c>
      <c r="J89" s="28"/>
      <c r="K89" s="27"/>
      <c r="L89" s="27"/>
      <c r="M89" s="27"/>
      <c r="N89" s="28"/>
      <c r="O89" s="27"/>
      <c r="P89" s="29"/>
      <c r="Q89" s="28"/>
      <c r="R89" s="27"/>
      <c r="S89" s="29"/>
      <c r="T89" s="29"/>
      <c r="U89" s="30" t="str">
        <f aca="true">IF($P89="","",TODAY()-$P89)</f>
        <v/>
      </c>
      <c r="V89" s="31" t="str">
        <f aca="false">IF($A89="","",IF(COUNTIF(Consultation!$B$4:$B$1003,$A89)&gt;0,"Yes","No"))</f>
        <v/>
      </c>
      <c r="W89" s="31" t="str">
        <f aca="false">IF($A89="","",IF(COUNTIF(Customers!$B$4:$B$1003,$A89)&gt;0,"Yes","No"))</f>
        <v/>
      </c>
      <c r="X89" s="32"/>
    </row>
    <row r="90" customFormat="false" ht="15.75" hidden="false" customHeight="true" outlineLevel="0" collapsed="false">
      <c r="A90" s="27"/>
      <c r="B90" s="28"/>
      <c r="C90" s="28"/>
      <c r="D90" s="28"/>
      <c r="E90" s="28"/>
      <c r="F90" s="28"/>
      <c r="G90" s="27"/>
      <c r="H90" s="29"/>
      <c r="I90" s="30" t="str">
        <f aca="true">IF($H90="","",DATEDIF($H90,TODAY(),"Y"))</f>
        <v/>
      </c>
      <c r="J90" s="28"/>
      <c r="K90" s="27"/>
      <c r="L90" s="27"/>
      <c r="M90" s="27"/>
      <c r="N90" s="28"/>
      <c r="O90" s="27"/>
      <c r="P90" s="29"/>
      <c r="Q90" s="28"/>
      <c r="R90" s="27"/>
      <c r="S90" s="29"/>
      <c r="T90" s="29"/>
      <c r="U90" s="30" t="str">
        <f aca="true">IF($P90="","",TODAY()-$P90)</f>
        <v/>
      </c>
      <c r="V90" s="31" t="str">
        <f aca="false">IF($A90="","",IF(COUNTIF(Consultation!$B$4:$B$1003,$A90)&gt;0,"Yes","No"))</f>
        <v/>
      </c>
      <c r="W90" s="31" t="str">
        <f aca="false">IF($A90="","",IF(COUNTIF(Customers!$B$4:$B$1003,$A90)&gt;0,"Yes","No"))</f>
        <v/>
      </c>
      <c r="X90" s="32"/>
    </row>
    <row r="91" customFormat="false" ht="15.75" hidden="false" customHeight="true" outlineLevel="0" collapsed="false">
      <c r="A91" s="27"/>
      <c r="B91" s="28"/>
      <c r="C91" s="28"/>
      <c r="D91" s="28"/>
      <c r="E91" s="28"/>
      <c r="F91" s="28"/>
      <c r="G91" s="27"/>
      <c r="H91" s="29"/>
      <c r="I91" s="30" t="str">
        <f aca="true">IF($H91="","",DATEDIF($H91,TODAY(),"Y"))</f>
        <v/>
      </c>
      <c r="J91" s="28"/>
      <c r="K91" s="27"/>
      <c r="L91" s="27"/>
      <c r="M91" s="27"/>
      <c r="N91" s="28"/>
      <c r="O91" s="27"/>
      <c r="P91" s="29"/>
      <c r="Q91" s="28"/>
      <c r="R91" s="27"/>
      <c r="S91" s="29"/>
      <c r="T91" s="29"/>
      <c r="U91" s="30" t="str">
        <f aca="true">IF($P91="","",TODAY()-$P91)</f>
        <v/>
      </c>
      <c r="V91" s="31" t="str">
        <f aca="false">IF($A91="","",IF(COUNTIF(Consultation!$B$4:$B$1003,$A91)&gt;0,"Yes","No"))</f>
        <v/>
      </c>
      <c r="W91" s="31" t="str">
        <f aca="false">IF($A91="","",IF(COUNTIF(Customers!$B$4:$B$1003,$A91)&gt;0,"Yes","No"))</f>
        <v/>
      </c>
      <c r="X91" s="32"/>
    </row>
    <row r="92" customFormat="false" ht="15.75" hidden="false" customHeight="true" outlineLevel="0" collapsed="false">
      <c r="A92" s="27"/>
      <c r="B92" s="28"/>
      <c r="C92" s="28"/>
      <c r="D92" s="28"/>
      <c r="E92" s="28"/>
      <c r="F92" s="28"/>
      <c r="G92" s="27"/>
      <c r="H92" s="29"/>
      <c r="I92" s="30" t="str">
        <f aca="true">IF($H92="","",DATEDIF($H92,TODAY(),"Y"))</f>
        <v/>
      </c>
      <c r="J92" s="28"/>
      <c r="K92" s="27"/>
      <c r="L92" s="27"/>
      <c r="M92" s="27"/>
      <c r="N92" s="28"/>
      <c r="O92" s="27"/>
      <c r="P92" s="29"/>
      <c r="Q92" s="28"/>
      <c r="R92" s="27"/>
      <c r="S92" s="29"/>
      <c r="T92" s="29"/>
      <c r="U92" s="30" t="str">
        <f aca="true">IF($P92="","",TODAY()-$P92)</f>
        <v/>
      </c>
      <c r="V92" s="31" t="str">
        <f aca="false">IF($A92="","",IF(COUNTIF(Consultation!$B$4:$B$1003,$A92)&gt;0,"Yes","No"))</f>
        <v/>
      </c>
      <c r="W92" s="31" t="str">
        <f aca="false">IF($A92="","",IF(COUNTIF(Customers!$B$4:$B$1003,$A92)&gt;0,"Yes","No"))</f>
        <v/>
      </c>
      <c r="X92" s="32"/>
    </row>
    <row r="93" customFormat="false" ht="15.75" hidden="false" customHeight="true" outlineLevel="0" collapsed="false">
      <c r="A93" s="27"/>
      <c r="B93" s="28"/>
      <c r="C93" s="28"/>
      <c r="D93" s="28"/>
      <c r="E93" s="28"/>
      <c r="F93" s="28"/>
      <c r="G93" s="27"/>
      <c r="H93" s="29"/>
      <c r="I93" s="30" t="str">
        <f aca="true">IF($H93="","",DATEDIF($H93,TODAY(),"Y"))</f>
        <v/>
      </c>
      <c r="J93" s="28"/>
      <c r="K93" s="27"/>
      <c r="L93" s="27"/>
      <c r="M93" s="27"/>
      <c r="N93" s="28"/>
      <c r="O93" s="27"/>
      <c r="P93" s="29"/>
      <c r="Q93" s="28"/>
      <c r="R93" s="27"/>
      <c r="S93" s="29"/>
      <c r="T93" s="29"/>
      <c r="U93" s="30" t="str">
        <f aca="true">IF($P93="","",TODAY()-$P93)</f>
        <v/>
      </c>
      <c r="V93" s="31" t="str">
        <f aca="false">IF($A93="","",IF(COUNTIF(Consultation!$B$4:$B$1003,$A93)&gt;0,"Yes","No"))</f>
        <v/>
      </c>
      <c r="W93" s="31" t="str">
        <f aca="false">IF($A93="","",IF(COUNTIF(Customers!$B$4:$B$1003,$A93)&gt;0,"Yes","No"))</f>
        <v/>
      </c>
      <c r="X93" s="32"/>
    </row>
    <row r="94" customFormat="false" ht="15.75" hidden="false" customHeight="true" outlineLevel="0" collapsed="false">
      <c r="A94" s="27"/>
      <c r="B94" s="28"/>
      <c r="C94" s="28"/>
      <c r="D94" s="28"/>
      <c r="E94" s="28"/>
      <c r="F94" s="28"/>
      <c r="G94" s="27"/>
      <c r="H94" s="29"/>
      <c r="I94" s="30" t="str">
        <f aca="true">IF($H94="","",DATEDIF($H94,TODAY(),"Y"))</f>
        <v/>
      </c>
      <c r="J94" s="28"/>
      <c r="K94" s="27"/>
      <c r="L94" s="27"/>
      <c r="M94" s="27"/>
      <c r="N94" s="28"/>
      <c r="O94" s="27"/>
      <c r="P94" s="29"/>
      <c r="Q94" s="28"/>
      <c r="R94" s="27"/>
      <c r="S94" s="29"/>
      <c r="T94" s="29"/>
      <c r="U94" s="30" t="str">
        <f aca="true">IF($P94="","",TODAY()-$P94)</f>
        <v/>
      </c>
      <c r="V94" s="31" t="str">
        <f aca="false">IF($A94="","",IF(COUNTIF(Consultation!$B$4:$B$1003,$A94)&gt;0,"Yes","No"))</f>
        <v/>
      </c>
      <c r="W94" s="31" t="str">
        <f aca="false">IF($A94="","",IF(COUNTIF(Customers!$B$4:$B$1003,$A94)&gt;0,"Yes","No"))</f>
        <v/>
      </c>
      <c r="X94" s="32"/>
    </row>
    <row r="95" customFormat="false" ht="15.75" hidden="false" customHeight="true" outlineLevel="0" collapsed="false">
      <c r="A95" s="27"/>
      <c r="B95" s="28"/>
      <c r="C95" s="28"/>
      <c r="D95" s="28"/>
      <c r="E95" s="28"/>
      <c r="F95" s="28"/>
      <c r="G95" s="27"/>
      <c r="H95" s="29"/>
      <c r="I95" s="30" t="str">
        <f aca="true">IF($H95="","",DATEDIF($H95,TODAY(),"Y"))</f>
        <v/>
      </c>
      <c r="J95" s="28"/>
      <c r="K95" s="27"/>
      <c r="L95" s="27"/>
      <c r="M95" s="27"/>
      <c r="N95" s="28"/>
      <c r="O95" s="27"/>
      <c r="P95" s="29"/>
      <c r="Q95" s="28"/>
      <c r="R95" s="27"/>
      <c r="S95" s="29"/>
      <c r="T95" s="29"/>
      <c r="U95" s="30" t="str">
        <f aca="true">IF($P95="","",TODAY()-$P95)</f>
        <v/>
      </c>
      <c r="V95" s="31" t="str">
        <f aca="false">IF($A95="","",IF(COUNTIF(Consultation!$B$4:$B$1003,$A95)&gt;0,"Yes","No"))</f>
        <v/>
      </c>
      <c r="W95" s="31" t="str">
        <f aca="false">IF($A95="","",IF(COUNTIF(Customers!$B$4:$B$1003,$A95)&gt;0,"Yes","No"))</f>
        <v/>
      </c>
      <c r="X95" s="32"/>
    </row>
    <row r="96" customFormat="false" ht="15.75" hidden="false" customHeight="true" outlineLevel="0" collapsed="false">
      <c r="A96" s="27"/>
      <c r="B96" s="28"/>
      <c r="C96" s="28"/>
      <c r="D96" s="28"/>
      <c r="E96" s="28"/>
      <c r="F96" s="28"/>
      <c r="G96" s="27"/>
      <c r="H96" s="29"/>
      <c r="I96" s="30" t="str">
        <f aca="true">IF($H96="","",DATEDIF($H96,TODAY(),"Y"))</f>
        <v/>
      </c>
      <c r="J96" s="28"/>
      <c r="K96" s="27"/>
      <c r="L96" s="27"/>
      <c r="M96" s="27"/>
      <c r="N96" s="28"/>
      <c r="O96" s="27"/>
      <c r="P96" s="29"/>
      <c r="Q96" s="28"/>
      <c r="R96" s="27"/>
      <c r="S96" s="29"/>
      <c r="T96" s="29"/>
      <c r="U96" s="30" t="str">
        <f aca="true">IF($P96="","",TODAY()-$P96)</f>
        <v/>
      </c>
      <c r="V96" s="31" t="str">
        <f aca="false">IF($A96="","",IF(COUNTIF(Consultation!$B$4:$B$1003,$A96)&gt;0,"Yes","No"))</f>
        <v/>
      </c>
      <c r="W96" s="31" t="str">
        <f aca="false">IF($A96="","",IF(COUNTIF(Customers!$B$4:$B$1003,$A96)&gt;0,"Yes","No"))</f>
        <v/>
      </c>
      <c r="X96" s="32"/>
    </row>
    <row r="97" customFormat="false" ht="15.75" hidden="false" customHeight="true" outlineLevel="0" collapsed="false">
      <c r="A97" s="27"/>
      <c r="B97" s="28"/>
      <c r="C97" s="28"/>
      <c r="D97" s="28"/>
      <c r="E97" s="28"/>
      <c r="F97" s="28"/>
      <c r="G97" s="27"/>
      <c r="H97" s="29"/>
      <c r="I97" s="30" t="str">
        <f aca="true">IF($H97="","",DATEDIF($H97,TODAY(),"Y"))</f>
        <v/>
      </c>
      <c r="J97" s="28"/>
      <c r="K97" s="27"/>
      <c r="L97" s="27"/>
      <c r="M97" s="27"/>
      <c r="N97" s="28"/>
      <c r="O97" s="27"/>
      <c r="P97" s="29"/>
      <c r="Q97" s="28"/>
      <c r="R97" s="27"/>
      <c r="S97" s="29"/>
      <c r="T97" s="29"/>
      <c r="U97" s="30" t="str">
        <f aca="true">IF($P97="","",TODAY()-$P97)</f>
        <v/>
      </c>
      <c r="V97" s="31" t="str">
        <f aca="false">IF($A97="","",IF(COUNTIF(Consultation!$B$4:$B$1003,$A97)&gt;0,"Yes","No"))</f>
        <v/>
      </c>
      <c r="W97" s="31" t="str">
        <f aca="false">IF($A97="","",IF(COUNTIF(Customers!$B$4:$B$1003,$A97)&gt;0,"Yes","No"))</f>
        <v/>
      </c>
      <c r="X97" s="32"/>
    </row>
    <row r="98" customFormat="false" ht="15.75" hidden="false" customHeight="true" outlineLevel="0" collapsed="false">
      <c r="A98" s="27"/>
      <c r="B98" s="28"/>
      <c r="C98" s="28"/>
      <c r="D98" s="28"/>
      <c r="E98" s="28"/>
      <c r="F98" s="28"/>
      <c r="G98" s="27"/>
      <c r="H98" s="29"/>
      <c r="I98" s="30" t="str">
        <f aca="true">IF($H98="","",DATEDIF($H98,TODAY(),"Y"))</f>
        <v/>
      </c>
      <c r="J98" s="28"/>
      <c r="K98" s="27"/>
      <c r="L98" s="27"/>
      <c r="M98" s="27"/>
      <c r="N98" s="28"/>
      <c r="O98" s="27"/>
      <c r="P98" s="29"/>
      <c r="Q98" s="28"/>
      <c r="R98" s="27"/>
      <c r="S98" s="29"/>
      <c r="T98" s="29"/>
      <c r="U98" s="30" t="str">
        <f aca="true">IF($P98="","",TODAY()-$P98)</f>
        <v/>
      </c>
      <c r="V98" s="31" t="str">
        <f aca="false">IF($A98="","",IF(COUNTIF(Consultation!$B$4:$B$1003,$A98)&gt;0,"Yes","No"))</f>
        <v/>
      </c>
      <c r="W98" s="31" t="str">
        <f aca="false">IF($A98="","",IF(COUNTIF(Customers!$B$4:$B$1003,$A98)&gt;0,"Yes","No"))</f>
        <v/>
      </c>
      <c r="X98" s="32"/>
    </row>
    <row r="99" customFormat="false" ht="15.75" hidden="false" customHeight="true" outlineLevel="0" collapsed="false">
      <c r="A99" s="27"/>
      <c r="B99" s="28"/>
      <c r="C99" s="28"/>
      <c r="D99" s="28"/>
      <c r="E99" s="28"/>
      <c r="F99" s="28"/>
      <c r="G99" s="27"/>
      <c r="H99" s="29"/>
      <c r="I99" s="30" t="str">
        <f aca="true">IF($H99="","",DATEDIF($H99,TODAY(),"Y"))</f>
        <v/>
      </c>
      <c r="J99" s="28"/>
      <c r="K99" s="27"/>
      <c r="L99" s="27"/>
      <c r="M99" s="27"/>
      <c r="N99" s="28"/>
      <c r="O99" s="27"/>
      <c r="P99" s="29"/>
      <c r="Q99" s="28"/>
      <c r="R99" s="27"/>
      <c r="S99" s="29"/>
      <c r="T99" s="29"/>
      <c r="U99" s="30" t="str">
        <f aca="true">IF($P99="","",TODAY()-$P99)</f>
        <v/>
      </c>
      <c r="V99" s="31" t="str">
        <f aca="false">IF($A99="","",IF(COUNTIF(Consultation!$B$4:$B$1003,$A99)&gt;0,"Yes","No"))</f>
        <v/>
      </c>
      <c r="W99" s="31" t="str">
        <f aca="false">IF($A99="","",IF(COUNTIF(Customers!$B$4:$B$1003,$A99)&gt;0,"Yes","No"))</f>
        <v/>
      </c>
      <c r="X99" s="32"/>
    </row>
    <row r="100" customFormat="false" ht="15.75" hidden="false" customHeight="true" outlineLevel="0" collapsed="false">
      <c r="A100" s="27"/>
      <c r="B100" s="28"/>
      <c r="C100" s="28"/>
      <c r="D100" s="28"/>
      <c r="E100" s="28"/>
      <c r="F100" s="28"/>
      <c r="G100" s="27"/>
      <c r="H100" s="29"/>
      <c r="I100" s="30" t="str">
        <f aca="true">IF($H100="","",DATEDIF($H100,TODAY(),"Y"))</f>
        <v/>
      </c>
      <c r="J100" s="28"/>
      <c r="K100" s="27"/>
      <c r="L100" s="27"/>
      <c r="M100" s="27"/>
      <c r="N100" s="28"/>
      <c r="O100" s="27"/>
      <c r="P100" s="29"/>
      <c r="Q100" s="28"/>
      <c r="R100" s="27"/>
      <c r="S100" s="29"/>
      <c r="T100" s="29"/>
      <c r="U100" s="30" t="str">
        <f aca="true">IF($P100="","",TODAY()-$P100)</f>
        <v/>
      </c>
      <c r="V100" s="31" t="str">
        <f aca="false">IF($A100="","",IF(COUNTIF(Consultation!$B$4:$B$1003,$A100)&gt;0,"Yes","No"))</f>
        <v/>
      </c>
      <c r="W100" s="31" t="str">
        <f aca="false">IF($A100="","",IF(COUNTIF(Customers!$B$4:$B$1003,$A100)&gt;0,"Yes","No"))</f>
        <v/>
      </c>
      <c r="X100" s="32"/>
    </row>
    <row r="101" customFormat="false" ht="15.75" hidden="false" customHeight="true" outlineLevel="0" collapsed="false">
      <c r="A101" s="27"/>
      <c r="B101" s="28"/>
      <c r="C101" s="28"/>
      <c r="D101" s="28"/>
      <c r="E101" s="28"/>
      <c r="F101" s="28"/>
      <c r="G101" s="27"/>
      <c r="H101" s="29"/>
      <c r="I101" s="30" t="str">
        <f aca="true">IF($H101="","",DATEDIF($H101,TODAY(),"Y"))</f>
        <v/>
      </c>
      <c r="J101" s="28"/>
      <c r="K101" s="27"/>
      <c r="L101" s="27"/>
      <c r="M101" s="27"/>
      <c r="N101" s="28"/>
      <c r="O101" s="27"/>
      <c r="P101" s="29"/>
      <c r="Q101" s="28"/>
      <c r="R101" s="27"/>
      <c r="S101" s="29"/>
      <c r="T101" s="29"/>
      <c r="U101" s="30" t="str">
        <f aca="true">IF($P101="","",TODAY()-$P101)</f>
        <v/>
      </c>
      <c r="V101" s="31" t="str">
        <f aca="false">IF($A101="","",IF(COUNTIF(Consultation!$B$4:$B$1003,$A101)&gt;0,"Yes","No"))</f>
        <v/>
      </c>
      <c r="W101" s="31" t="str">
        <f aca="false">IF($A101="","",IF(COUNTIF(Customers!$B$4:$B$1003,$A101)&gt;0,"Yes","No"))</f>
        <v/>
      </c>
      <c r="X101" s="32"/>
    </row>
    <row r="102" customFormat="false" ht="15.75" hidden="false" customHeight="true" outlineLevel="0" collapsed="false">
      <c r="A102" s="27"/>
      <c r="B102" s="28"/>
      <c r="C102" s="28"/>
      <c r="D102" s="28"/>
      <c r="E102" s="28"/>
      <c r="F102" s="28"/>
      <c r="G102" s="27"/>
      <c r="H102" s="29"/>
      <c r="I102" s="30" t="str">
        <f aca="true">IF($H102="","",DATEDIF($H102,TODAY(),"Y"))</f>
        <v/>
      </c>
      <c r="J102" s="28"/>
      <c r="K102" s="27"/>
      <c r="L102" s="27"/>
      <c r="M102" s="27"/>
      <c r="N102" s="28"/>
      <c r="O102" s="27"/>
      <c r="P102" s="29"/>
      <c r="Q102" s="28"/>
      <c r="R102" s="27"/>
      <c r="S102" s="29"/>
      <c r="T102" s="29"/>
      <c r="U102" s="30" t="str">
        <f aca="true">IF($P102="","",TODAY()-$P102)</f>
        <v/>
      </c>
      <c r="V102" s="31" t="str">
        <f aca="false">IF($A102="","",IF(COUNTIF(Consultation!$B$4:$B$1003,$A102)&gt;0,"Yes","No"))</f>
        <v/>
      </c>
      <c r="W102" s="31" t="str">
        <f aca="false">IF($A102="","",IF(COUNTIF(Customers!$B$4:$B$1003,$A102)&gt;0,"Yes","No"))</f>
        <v/>
      </c>
      <c r="X102" s="32"/>
    </row>
    <row r="103" customFormat="false" ht="15.75" hidden="false" customHeight="true" outlineLevel="0" collapsed="false">
      <c r="A103" s="27"/>
      <c r="B103" s="28"/>
      <c r="C103" s="28"/>
      <c r="D103" s="28"/>
      <c r="E103" s="28"/>
      <c r="F103" s="28"/>
      <c r="G103" s="27"/>
      <c r="H103" s="29"/>
      <c r="I103" s="30" t="str">
        <f aca="true">IF($H103="","",DATEDIF($H103,TODAY(),"Y"))</f>
        <v/>
      </c>
      <c r="J103" s="28"/>
      <c r="K103" s="27"/>
      <c r="L103" s="27"/>
      <c r="M103" s="27"/>
      <c r="N103" s="28"/>
      <c r="O103" s="27"/>
      <c r="P103" s="29"/>
      <c r="Q103" s="28"/>
      <c r="R103" s="27"/>
      <c r="S103" s="29"/>
      <c r="T103" s="29"/>
      <c r="U103" s="30" t="str">
        <f aca="true">IF($P103="","",TODAY()-$P103)</f>
        <v/>
      </c>
      <c r="V103" s="31" t="str">
        <f aca="false">IF($A103="","",IF(COUNTIF(Consultation!$B$4:$B$1003,$A103)&gt;0,"Yes","No"))</f>
        <v/>
      </c>
      <c r="W103" s="31" t="str">
        <f aca="false">IF($A103="","",IF(COUNTIF(Customers!$B$4:$B$1003,$A103)&gt;0,"Yes","No"))</f>
        <v/>
      </c>
      <c r="X103" s="32"/>
    </row>
    <row r="104" customFormat="false" ht="15.75" hidden="false" customHeight="true" outlineLevel="0" collapsed="false">
      <c r="A104" s="27"/>
      <c r="B104" s="28"/>
      <c r="C104" s="28"/>
      <c r="D104" s="28"/>
      <c r="E104" s="28"/>
      <c r="F104" s="28"/>
      <c r="G104" s="27"/>
      <c r="H104" s="29"/>
      <c r="I104" s="30" t="str">
        <f aca="true">IF($H104="","",DATEDIF($H104,TODAY(),"Y"))</f>
        <v/>
      </c>
      <c r="J104" s="28"/>
      <c r="K104" s="27"/>
      <c r="L104" s="27"/>
      <c r="M104" s="27"/>
      <c r="N104" s="28"/>
      <c r="O104" s="27"/>
      <c r="P104" s="29"/>
      <c r="Q104" s="28"/>
      <c r="R104" s="27"/>
      <c r="S104" s="29"/>
      <c r="T104" s="29"/>
      <c r="U104" s="30" t="str">
        <f aca="true">IF($P104="","",TODAY()-$P104)</f>
        <v/>
      </c>
      <c r="V104" s="31" t="str">
        <f aca="false">IF($A104="","",IF(COUNTIF(Consultation!$B$4:$B$1003,$A104)&gt;0,"Yes","No"))</f>
        <v/>
      </c>
      <c r="W104" s="31" t="str">
        <f aca="false">IF($A104="","",IF(COUNTIF(Customers!$B$4:$B$1003,$A104)&gt;0,"Yes","No"))</f>
        <v/>
      </c>
      <c r="X104" s="32"/>
    </row>
    <row r="105" customFormat="false" ht="15.75" hidden="false" customHeight="true" outlineLevel="0" collapsed="false">
      <c r="A105" s="27"/>
      <c r="B105" s="28"/>
      <c r="C105" s="28"/>
      <c r="D105" s="28"/>
      <c r="E105" s="28"/>
      <c r="F105" s="28"/>
      <c r="G105" s="27"/>
      <c r="H105" s="29"/>
      <c r="I105" s="30" t="str">
        <f aca="true">IF($H105="","",DATEDIF($H105,TODAY(),"Y"))</f>
        <v/>
      </c>
      <c r="J105" s="28"/>
      <c r="K105" s="27"/>
      <c r="L105" s="27"/>
      <c r="M105" s="27"/>
      <c r="N105" s="28"/>
      <c r="O105" s="27"/>
      <c r="P105" s="29"/>
      <c r="Q105" s="28"/>
      <c r="R105" s="27"/>
      <c r="S105" s="29"/>
      <c r="T105" s="29"/>
      <c r="U105" s="30" t="str">
        <f aca="true">IF($P105="","",TODAY()-$P105)</f>
        <v/>
      </c>
      <c r="V105" s="31" t="str">
        <f aca="false">IF($A105="","",IF(COUNTIF(Consultation!$B$4:$B$1003,$A105)&gt;0,"Yes","No"))</f>
        <v/>
      </c>
      <c r="W105" s="31" t="str">
        <f aca="false">IF($A105="","",IF(COUNTIF(Customers!$B$4:$B$1003,$A105)&gt;0,"Yes","No"))</f>
        <v/>
      </c>
      <c r="X105" s="32"/>
    </row>
    <row r="106" customFormat="false" ht="15.75" hidden="false" customHeight="true" outlineLevel="0" collapsed="false">
      <c r="A106" s="27"/>
      <c r="B106" s="28"/>
      <c r="C106" s="28"/>
      <c r="D106" s="28"/>
      <c r="E106" s="28"/>
      <c r="F106" s="28"/>
      <c r="G106" s="27"/>
      <c r="H106" s="29"/>
      <c r="I106" s="30" t="str">
        <f aca="true">IF($H106="","",DATEDIF($H106,TODAY(),"Y"))</f>
        <v/>
      </c>
      <c r="J106" s="28"/>
      <c r="K106" s="27"/>
      <c r="L106" s="27"/>
      <c r="M106" s="27"/>
      <c r="N106" s="28"/>
      <c r="O106" s="27"/>
      <c r="P106" s="29"/>
      <c r="Q106" s="28"/>
      <c r="R106" s="27"/>
      <c r="S106" s="29"/>
      <c r="T106" s="29"/>
      <c r="U106" s="30" t="str">
        <f aca="true">IF($P106="","",TODAY()-$P106)</f>
        <v/>
      </c>
      <c r="V106" s="31" t="str">
        <f aca="false">IF($A106="","",IF(COUNTIF(Consultation!$B$4:$B$1003,$A106)&gt;0,"Yes","No"))</f>
        <v/>
      </c>
      <c r="W106" s="31" t="str">
        <f aca="false">IF($A106="","",IF(COUNTIF(Customers!$B$4:$B$1003,$A106)&gt;0,"Yes","No"))</f>
        <v/>
      </c>
      <c r="X106" s="32"/>
    </row>
    <row r="107" customFormat="false" ht="15.75" hidden="false" customHeight="true" outlineLevel="0" collapsed="false">
      <c r="A107" s="27"/>
      <c r="B107" s="28"/>
      <c r="C107" s="28"/>
      <c r="D107" s="28"/>
      <c r="E107" s="28"/>
      <c r="F107" s="28"/>
      <c r="G107" s="27"/>
      <c r="H107" s="29"/>
      <c r="I107" s="30" t="str">
        <f aca="true">IF($H107="","",DATEDIF($H107,TODAY(),"Y"))</f>
        <v/>
      </c>
      <c r="J107" s="28"/>
      <c r="K107" s="27"/>
      <c r="L107" s="27"/>
      <c r="M107" s="27"/>
      <c r="N107" s="28"/>
      <c r="O107" s="27"/>
      <c r="P107" s="29"/>
      <c r="Q107" s="28"/>
      <c r="R107" s="27"/>
      <c r="S107" s="29"/>
      <c r="T107" s="29"/>
      <c r="U107" s="30" t="str">
        <f aca="true">IF($P107="","",TODAY()-$P107)</f>
        <v/>
      </c>
      <c r="V107" s="31" t="str">
        <f aca="false">IF($A107="","",IF(COUNTIF(Consultation!$B$4:$B$1003,$A107)&gt;0,"Yes","No"))</f>
        <v/>
      </c>
      <c r="W107" s="31" t="str">
        <f aca="false">IF($A107="","",IF(COUNTIF(Customers!$B$4:$B$1003,$A107)&gt;0,"Yes","No"))</f>
        <v/>
      </c>
      <c r="X107" s="32"/>
    </row>
    <row r="108" customFormat="false" ht="15.75" hidden="false" customHeight="true" outlineLevel="0" collapsed="false">
      <c r="A108" s="27"/>
      <c r="B108" s="28"/>
      <c r="C108" s="28"/>
      <c r="D108" s="28"/>
      <c r="E108" s="28"/>
      <c r="F108" s="28"/>
      <c r="G108" s="27"/>
      <c r="H108" s="29"/>
      <c r="I108" s="30" t="str">
        <f aca="true">IF($H108="","",DATEDIF($H108,TODAY(),"Y"))</f>
        <v/>
      </c>
      <c r="J108" s="28"/>
      <c r="K108" s="27"/>
      <c r="L108" s="27"/>
      <c r="M108" s="27"/>
      <c r="N108" s="28"/>
      <c r="O108" s="27"/>
      <c r="P108" s="29"/>
      <c r="Q108" s="28"/>
      <c r="R108" s="27"/>
      <c r="S108" s="29"/>
      <c r="T108" s="29"/>
      <c r="U108" s="30" t="str">
        <f aca="true">IF($P108="","",TODAY()-$P108)</f>
        <v/>
      </c>
      <c r="V108" s="31" t="str">
        <f aca="false">IF($A108="","",IF(COUNTIF(Consultation!$B$4:$B$1003,$A108)&gt;0,"Yes","No"))</f>
        <v/>
      </c>
      <c r="W108" s="31" t="str">
        <f aca="false">IF($A108="","",IF(COUNTIF(Customers!$B$4:$B$1003,$A108)&gt;0,"Yes","No"))</f>
        <v/>
      </c>
      <c r="X108" s="32"/>
    </row>
    <row r="109" customFormat="false" ht="15.75" hidden="false" customHeight="true" outlineLevel="0" collapsed="false">
      <c r="A109" s="27"/>
      <c r="B109" s="28"/>
      <c r="C109" s="28"/>
      <c r="D109" s="28"/>
      <c r="E109" s="28"/>
      <c r="F109" s="28"/>
      <c r="G109" s="27"/>
      <c r="H109" s="29"/>
      <c r="I109" s="30" t="str">
        <f aca="true">IF($H109="","",DATEDIF($H109,TODAY(),"Y"))</f>
        <v/>
      </c>
      <c r="J109" s="28"/>
      <c r="K109" s="27"/>
      <c r="L109" s="27"/>
      <c r="M109" s="27"/>
      <c r="N109" s="28"/>
      <c r="O109" s="27"/>
      <c r="P109" s="29"/>
      <c r="Q109" s="28"/>
      <c r="R109" s="27"/>
      <c r="S109" s="29"/>
      <c r="T109" s="29"/>
      <c r="U109" s="30" t="str">
        <f aca="true">IF($P109="","",TODAY()-$P109)</f>
        <v/>
      </c>
      <c r="V109" s="31" t="str">
        <f aca="false">IF($A109="","",IF(COUNTIF(Consultation!$B$4:$B$1003,$A109)&gt;0,"Yes","No"))</f>
        <v/>
      </c>
      <c r="W109" s="31" t="str">
        <f aca="false">IF($A109="","",IF(COUNTIF(Customers!$B$4:$B$1003,$A109)&gt;0,"Yes","No"))</f>
        <v/>
      </c>
      <c r="X109" s="32"/>
    </row>
    <row r="110" customFormat="false" ht="15.75" hidden="false" customHeight="true" outlineLevel="0" collapsed="false">
      <c r="A110" s="27"/>
      <c r="B110" s="28"/>
      <c r="C110" s="28"/>
      <c r="D110" s="28"/>
      <c r="E110" s="28"/>
      <c r="F110" s="28"/>
      <c r="G110" s="27"/>
      <c r="H110" s="29"/>
      <c r="I110" s="30" t="str">
        <f aca="true">IF($H110="","",DATEDIF($H110,TODAY(),"Y"))</f>
        <v/>
      </c>
      <c r="J110" s="28"/>
      <c r="K110" s="27"/>
      <c r="L110" s="27"/>
      <c r="M110" s="27"/>
      <c r="N110" s="28"/>
      <c r="O110" s="27"/>
      <c r="P110" s="29"/>
      <c r="Q110" s="28"/>
      <c r="R110" s="27"/>
      <c r="S110" s="29"/>
      <c r="T110" s="29"/>
      <c r="U110" s="30" t="str">
        <f aca="true">IF($P110="","",TODAY()-$P110)</f>
        <v/>
      </c>
      <c r="V110" s="31" t="str">
        <f aca="false">IF($A110="","",IF(COUNTIF(Consultation!$B$4:$B$1003,$A110)&gt;0,"Yes","No"))</f>
        <v/>
      </c>
      <c r="W110" s="31" t="str">
        <f aca="false">IF($A110="","",IF(COUNTIF(Customers!$B$4:$B$1003,$A110)&gt;0,"Yes","No"))</f>
        <v/>
      </c>
      <c r="X110" s="32"/>
    </row>
    <row r="111" customFormat="false" ht="15.75" hidden="false" customHeight="true" outlineLevel="0" collapsed="false">
      <c r="A111" s="27"/>
      <c r="B111" s="28"/>
      <c r="C111" s="28"/>
      <c r="D111" s="28"/>
      <c r="E111" s="28"/>
      <c r="F111" s="28"/>
      <c r="G111" s="27"/>
      <c r="H111" s="29"/>
      <c r="I111" s="30" t="str">
        <f aca="true">IF($H111="","",DATEDIF($H111,TODAY(),"Y"))</f>
        <v/>
      </c>
      <c r="J111" s="28"/>
      <c r="K111" s="27"/>
      <c r="L111" s="27"/>
      <c r="M111" s="27"/>
      <c r="N111" s="28"/>
      <c r="O111" s="27"/>
      <c r="P111" s="29"/>
      <c r="Q111" s="28"/>
      <c r="R111" s="27"/>
      <c r="S111" s="29"/>
      <c r="T111" s="29"/>
      <c r="U111" s="30" t="str">
        <f aca="true">IF($P111="","",TODAY()-$P111)</f>
        <v/>
      </c>
      <c r="V111" s="31" t="str">
        <f aca="false">IF($A111="","",IF(COUNTIF(Consultation!$B$4:$B$1003,$A111)&gt;0,"Yes","No"))</f>
        <v/>
      </c>
      <c r="W111" s="31" t="str">
        <f aca="false">IF($A111="","",IF(COUNTIF(Customers!$B$4:$B$1003,$A111)&gt;0,"Yes","No"))</f>
        <v/>
      </c>
      <c r="X111" s="32"/>
    </row>
    <row r="112" customFormat="false" ht="15.75" hidden="false" customHeight="true" outlineLevel="0" collapsed="false">
      <c r="A112" s="27"/>
      <c r="B112" s="28"/>
      <c r="C112" s="28"/>
      <c r="D112" s="28"/>
      <c r="E112" s="28"/>
      <c r="F112" s="28"/>
      <c r="G112" s="27"/>
      <c r="H112" s="29"/>
      <c r="I112" s="30" t="str">
        <f aca="true">IF($H112="","",DATEDIF($H112,TODAY(),"Y"))</f>
        <v/>
      </c>
      <c r="J112" s="28"/>
      <c r="K112" s="27"/>
      <c r="L112" s="27"/>
      <c r="M112" s="27"/>
      <c r="N112" s="28"/>
      <c r="O112" s="27"/>
      <c r="P112" s="29"/>
      <c r="Q112" s="28"/>
      <c r="R112" s="27"/>
      <c r="S112" s="29"/>
      <c r="T112" s="29"/>
      <c r="U112" s="30" t="str">
        <f aca="true">IF($P112="","",TODAY()-$P112)</f>
        <v/>
      </c>
      <c r="V112" s="31" t="str">
        <f aca="false">IF($A112="","",IF(COUNTIF(Consultation!$B$4:$B$1003,$A112)&gt;0,"Yes","No"))</f>
        <v/>
      </c>
      <c r="W112" s="31" t="str">
        <f aca="false">IF($A112="","",IF(COUNTIF(Customers!$B$4:$B$1003,$A112)&gt;0,"Yes","No"))</f>
        <v/>
      </c>
      <c r="X112" s="32"/>
    </row>
    <row r="113" customFormat="false" ht="15.75" hidden="false" customHeight="true" outlineLevel="0" collapsed="false">
      <c r="A113" s="27"/>
      <c r="B113" s="28"/>
      <c r="C113" s="28"/>
      <c r="D113" s="28"/>
      <c r="E113" s="28"/>
      <c r="F113" s="28"/>
      <c r="G113" s="27"/>
      <c r="H113" s="29"/>
      <c r="I113" s="30" t="str">
        <f aca="true">IF($H113="","",DATEDIF($H113,TODAY(),"Y"))</f>
        <v/>
      </c>
      <c r="J113" s="28"/>
      <c r="K113" s="27"/>
      <c r="L113" s="27"/>
      <c r="M113" s="27"/>
      <c r="N113" s="28"/>
      <c r="O113" s="27"/>
      <c r="P113" s="29"/>
      <c r="Q113" s="28"/>
      <c r="R113" s="27"/>
      <c r="S113" s="29"/>
      <c r="T113" s="29"/>
      <c r="U113" s="30" t="str">
        <f aca="true">IF($P113="","",TODAY()-$P113)</f>
        <v/>
      </c>
      <c r="V113" s="31" t="str">
        <f aca="false">IF($A113="","",IF(COUNTIF(Consultation!$B$4:$B$1003,$A113)&gt;0,"Yes","No"))</f>
        <v/>
      </c>
      <c r="W113" s="31" t="str">
        <f aca="false">IF($A113="","",IF(COUNTIF(Customers!$B$4:$B$1003,$A113)&gt;0,"Yes","No"))</f>
        <v/>
      </c>
      <c r="X113" s="32"/>
    </row>
    <row r="114" customFormat="false" ht="15.75" hidden="false" customHeight="true" outlineLevel="0" collapsed="false">
      <c r="A114" s="27"/>
      <c r="B114" s="28"/>
      <c r="C114" s="28"/>
      <c r="D114" s="28"/>
      <c r="E114" s="28"/>
      <c r="F114" s="28"/>
      <c r="G114" s="27"/>
      <c r="H114" s="29"/>
      <c r="I114" s="30" t="str">
        <f aca="true">IF($H114="","",DATEDIF($H114,TODAY(),"Y"))</f>
        <v/>
      </c>
      <c r="J114" s="28"/>
      <c r="K114" s="27"/>
      <c r="L114" s="27"/>
      <c r="M114" s="27"/>
      <c r="N114" s="28"/>
      <c r="O114" s="27"/>
      <c r="P114" s="29"/>
      <c r="Q114" s="28"/>
      <c r="R114" s="27"/>
      <c r="S114" s="29"/>
      <c r="T114" s="29"/>
      <c r="U114" s="30" t="str">
        <f aca="true">IF($P114="","",TODAY()-$P114)</f>
        <v/>
      </c>
      <c r="V114" s="31" t="str">
        <f aca="false">IF($A114="","",IF(COUNTIF(Consultation!$B$4:$B$1003,$A114)&gt;0,"Yes","No"))</f>
        <v/>
      </c>
      <c r="W114" s="31" t="str">
        <f aca="false">IF($A114="","",IF(COUNTIF(Customers!$B$4:$B$1003,$A114)&gt;0,"Yes","No"))</f>
        <v/>
      </c>
      <c r="X114" s="32"/>
    </row>
    <row r="115" customFormat="false" ht="15.75" hidden="false" customHeight="true" outlineLevel="0" collapsed="false">
      <c r="A115" s="27"/>
      <c r="B115" s="28"/>
      <c r="C115" s="28"/>
      <c r="D115" s="28"/>
      <c r="E115" s="28"/>
      <c r="F115" s="28"/>
      <c r="G115" s="27"/>
      <c r="H115" s="29"/>
      <c r="I115" s="30" t="str">
        <f aca="true">IF($H115="","",DATEDIF($H115,TODAY(),"Y"))</f>
        <v/>
      </c>
      <c r="J115" s="28"/>
      <c r="K115" s="27"/>
      <c r="L115" s="27"/>
      <c r="M115" s="27"/>
      <c r="N115" s="28"/>
      <c r="O115" s="27"/>
      <c r="P115" s="29"/>
      <c r="Q115" s="28"/>
      <c r="R115" s="27"/>
      <c r="S115" s="29"/>
      <c r="T115" s="29"/>
      <c r="U115" s="30" t="str">
        <f aca="true">IF($P115="","",TODAY()-$P115)</f>
        <v/>
      </c>
      <c r="V115" s="31" t="str">
        <f aca="false">IF($A115="","",IF(COUNTIF(Consultation!$B$4:$B$1003,$A115)&gt;0,"Yes","No"))</f>
        <v/>
      </c>
      <c r="W115" s="31" t="str">
        <f aca="false">IF($A115="","",IF(COUNTIF(Customers!$B$4:$B$1003,$A115)&gt;0,"Yes","No"))</f>
        <v/>
      </c>
      <c r="X115" s="32"/>
    </row>
    <row r="116" customFormat="false" ht="15.75" hidden="false" customHeight="true" outlineLevel="0" collapsed="false">
      <c r="A116" s="27"/>
      <c r="B116" s="28"/>
      <c r="C116" s="28"/>
      <c r="D116" s="28"/>
      <c r="E116" s="28"/>
      <c r="F116" s="28"/>
      <c r="G116" s="27"/>
      <c r="H116" s="29"/>
      <c r="I116" s="30" t="str">
        <f aca="true">IF($H116="","",DATEDIF($H116,TODAY(),"Y"))</f>
        <v/>
      </c>
      <c r="J116" s="28"/>
      <c r="K116" s="27"/>
      <c r="L116" s="27"/>
      <c r="M116" s="27"/>
      <c r="N116" s="28"/>
      <c r="O116" s="27"/>
      <c r="P116" s="29"/>
      <c r="Q116" s="28"/>
      <c r="R116" s="27"/>
      <c r="S116" s="29"/>
      <c r="T116" s="29"/>
      <c r="U116" s="30" t="str">
        <f aca="true">IF($P116="","",TODAY()-$P116)</f>
        <v/>
      </c>
      <c r="V116" s="31" t="str">
        <f aca="false">IF($A116="","",IF(COUNTIF(Consultation!$B$4:$B$1003,$A116)&gt;0,"Yes","No"))</f>
        <v/>
      </c>
      <c r="W116" s="31" t="str">
        <f aca="false">IF($A116="","",IF(COUNTIF(Customers!$B$4:$B$1003,$A116)&gt;0,"Yes","No"))</f>
        <v/>
      </c>
      <c r="X116" s="32"/>
    </row>
    <row r="117" customFormat="false" ht="15.75" hidden="false" customHeight="true" outlineLevel="0" collapsed="false">
      <c r="A117" s="27"/>
      <c r="B117" s="28"/>
      <c r="C117" s="28"/>
      <c r="D117" s="28"/>
      <c r="E117" s="28"/>
      <c r="F117" s="28"/>
      <c r="G117" s="27"/>
      <c r="H117" s="29"/>
      <c r="I117" s="30" t="str">
        <f aca="true">IF($H117="","",DATEDIF($H117,TODAY(),"Y"))</f>
        <v/>
      </c>
      <c r="J117" s="28"/>
      <c r="K117" s="27"/>
      <c r="L117" s="27"/>
      <c r="M117" s="27"/>
      <c r="N117" s="28"/>
      <c r="O117" s="27"/>
      <c r="P117" s="29"/>
      <c r="Q117" s="28"/>
      <c r="R117" s="27"/>
      <c r="S117" s="29"/>
      <c r="T117" s="29"/>
      <c r="U117" s="30" t="str">
        <f aca="true">IF($P117="","",TODAY()-$P117)</f>
        <v/>
      </c>
      <c r="V117" s="31" t="str">
        <f aca="false">IF($A117="","",IF(COUNTIF(Consultation!$B$4:$B$1003,$A117)&gt;0,"Yes","No"))</f>
        <v/>
      </c>
      <c r="W117" s="31" t="str">
        <f aca="false">IF($A117="","",IF(COUNTIF(Customers!$B$4:$B$1003,$A117)&gt;0,"Yes","No"))</f>
        <v/>
      </c>
      <c r="X117" s="32"/>
    </row>
    <row r="118" customFormat="false" ht="15.75" hidden="false" customHeight="true" outlineLevel="0" collapsed="false">
      <c r="A118" s="27"/>
      <c r="B118" s="28"/>
      <c r="C118" s="28"/>
      <c r="D118" s="28"/>
      <c r="E118" s="28"/>
      <c r="F118" s="28"/>
      <c r="G118" s="27"/>
      <c r="H118" s="29"/>
      <c r="I118" s="30" t="str">
        <f aca="true">IF($H118="","",DATEDIF($H118,TODAY(),"Y"))</f>
        <v/>
      </c>
      <c r="J118" s="28"/>
      <c r="K118" s="27"/>
      <c r="L118" s="27"/>
      <c r="M118" s="27"/>
      <c r="N118" s="28"/>
      <c r="O118" s="27"/>
      <c r="P118" s="29"/>
      <c r="Q118" s="28"/>
      <c r="R118" s="27"/>
      <c r="S118" s="29"/>
      <c r="T118" s="29"/>
      <c r="U118" s="30" t="str">
        <f aca="true">IF($P118="","",TODAY()-$P118)</f>
        <v/>
      </c>
      <c r="V118" s="31" t="str">
        <f aca="false">IF($A118="","",IF(COUNTIF(Consultation!$B$4:$B$1003,$A118)&gt;0,"Yes","No"))</f>
        <v/>
      </c>
      <c r="W118" s="31" t="str">
        <f aca="false">IF($A118="","",IF(COUNTIF(Customers!$B$4:$B$1003,$A118)&gt;0,"Yes","No"))</f>
        <v/>
      </c>
      <c r="X118" s="32"/>
    </row>
    <row r="119" customFormat="false" ht="15.75" hidden="false" customHeight="true" outlineLevel="0" collapsed="false">
      <c r="A119" s="27"/>
      <c r="B119" s="28"/>
      <c r="C119" s="28"/>
      <c r="D119" s="28"/>
      <c r="E119" s="28"/>
      <c r="F119" s="28"/>
      <c r="G119" s="27"/>
      <c r="H119" s="29"/>
      <c r="I119" s="30" t="str">
        <f aca="true">IF($H119="","",DATEDIF($H119,TODAY(),"Y"))</f>
        <v/>
      </c>
      <c r="J119" s="28"/>
      <c r="K119" s="27"/>
      <c r="L119" s="27"/>
      <c r="M119" s="27"/>
      <c r="N119" s="28"/>
      <c r="O119" s="27"/>
      <c r="P119" s="29"/>
      <c r="Q119" s="28"/>
      <c r="R119" s="27"/>
      <c r="S119" s="29"/>
      <c r="T119" s="29"/>
      <c r="U119" s="30" t="str">
        <f aca="true">IF($P119="","",TODAY()-$P119)</f>
        <v/>
      </c>
      <c r="V119" s="31" t="str">
        <f aca="false">IF($A119="","",IF(COUNTIF(Consultation!$B$4:$B$1003,$A119)&gt;0,"Yes","No"))</f>
        <v/>
      </c>
      <c r="W119" s="31" t="str">
        <f aca="false">IF($A119="","",IF(COUNTIF(Customers!$B$4:$B$1003,$A119)&gt;0,"Yes","No"))</f>
        <v/>
      </c>
      <c r="X119" s="32"/>
    </row>
    <row r="120" customFormat="false" ht="15.75" hidden="false" customHeight="true" outlineLevel="0" collapsed="false">
      <c r="A120" s="27"/>
      <c r="B120" s="28"/>
      <c r="C120" s="28"/>
      <c r="D120" s="28"/>
      <c r="E120" s="28"/>
      <c r="F120" s="28"/>
      <c r="G120" s="27"/>
      <c r="H120" s="29"/>
      <c r="I120" s="30" t="str">
        <f aca="true">IF($H120="","",DATEDIF($H120,TODAY(),"Y"))</f>
        <v/>
      </c>
      <c r="J120" s="28"/>
      <c r="K120" s="27"/>
      <c r="L120" s="27"/>
      <c r="M120" s="27"/>
      <c r="N120" s="28"/>
      <c r="O120" s="27"/>
      <c r="P120" s="29"/>
      <c r="Q120" s="28"/>
      <c r="R120" s="27"/>
      <c r="S120" s="29"/>
      <c r="T120" s="29"/>
      <c r="U120" s="30" t="str">
        <f aca="true">IF($P120="","",TODAY()-$P120)</f>
        <v/>
      </c>
      <c r="V120" s="31" t="str">
        <f aca="false">IF($A120="","",IF(COUNTIF(Consultation!$B$4:$B$1003,$A120)&gt;0,"Yes","No"))</f>
        <v/>
      </c>
      <c r="W120" s="31" t="str">
        <f aca="false">IF($A120="","",IF(COUNTIF(Customers!$B$4:$B$1003,$A120)&gt;0,"Yes","No"))</f>
        <v/>
      </c>
      <c r="X120" s="32"/>
    </row>
    <row r="121" customFormat="false" ht="15.75" hidden="false" customHeight="true" outlineLevel="0" collapsed="false">
      <c r="A121" s="27"/>
      <c r="B121" s="28"/>
      <c r="C121" s="28"/>
      <c r="D121" s="28"/>
      <c r="E121" s="28"/>
      <c r="F121" s="28"/>
      <c r="G121" s="27"/>
      <c r="H121" s="29"/>
      <c r="I121" s="30" t="str">
        <f aca="true">IF($H121="","",DATEDIF($H121,TODAY(),"Y"))</f>
        <v/>
      </c>
      <c r="J121" s="28"/>
      <c r="K121" s="27"/>
      <c r="L121" s="27"/>
      <c r="M121" s="27"/>
      <c r="N121" s="28"/>
      <c r="O121" s="27"/>
      <c r="P121" s="29"/>
      <c r="Q121" s="28"/>
      <c r="R121" s="27"/>
      <c r="S121" s="29"/>
      <c r="T121" s="29"/>
      <c r="U121" s="30" t="str">
        <f aca="true">IF($P121="","",TODAY()-$P121)</f>
        <v/>
      </c>
      <c r="V121" s="31" t="str">
        <f aca="false">IF($A121="","",IF(COUNTIF(Consultation!$B$4:$B$1003,$A121)&gt;0,"Yes","No"))</f>
        <v/>
      </c>
      <c r="W121" s="31" t="str">
        <f aca="false">IF($A121="","",IF(COUNTIF(Customers!$B$4:$B$1003,$A121)&gt;0,"Yes","No"))</f>
        <v/>
      </c>
      <c r="X121" s="32"/>
    </row>
    <row r="122" customFormat="false" ht="15.75" hidden="false" customHeight="true" outlineLevel="0" collapsed="false">
      <c r="A122" s="27"/>
      <c r="B122" s="28"/>
      <c r="C122" s="28"/>
      <c r="D122" s="28"/>
      <c r="E122" s="28"/>
      <c r="F122" s="28"/>
      <c r="G122" s="27"/>
      <c r="H122" s="29"/>
      <c r="I122" s="30" t="str">
        <f aca="true">IF($H122="","",DATEDIF($H122,TODAY(),"Y"))</f>
        <v/>
      </c>
      <c r="J122" s="28"/>
      <c r="K122" s="27"/>
      <c r="L122" s="27"/>
      <c r="M122" s="27"/>
      <c r="N122" s="28"/>
      <c r="O122" s="27"/>
      <c r="P122" s="29"/>
      <c r="Q122" s="28"/>
      <c r="R122" s="27"/>
      <c r="S122" s="29"/>
      <c r="T122" s="29"/>
      <c r="U122" s="30" t="str">
        <f aca="true">IF($P122="","",TODAY()-$P122)</f>
        <v/>
      </c>
      <c r="V122" s="31" t="str">
        <f aca="false">IF($A122="","",IF(COUNTIF(Consultation!$B$4:$B$1003,$A122)&gt;0,"Yes","No"))</f>
        <v/>
      </c>
      <c r="W122" s="31" t="str">
        <f aca="false">IF($A122="","",IF(COUNTIF(Customers!$B$4:$B$1003,$A122)&gt;0,"Yes","No"))</f>
        <v/>
      </c>
      <c r="X122" s="32"/>
    </row>
    <row r="123" customFormat="false" ht="15.75" hidden="false" customHeight="true" outlineLevel="0" collapsed="false">
      <c r="A123" s="27"/>
      <c r="B123" s="28"/>
      <c r="C123" s="28"/>
      <c r="D123" s="28"/>
      <c r="E123" s="28"/>
      <c r="F123" s="28"/>
      <c r="G123" s="27"/>
      <c r="H123" s="29"/>
      <c r="I123" s="30" t="str">
        <f aca="true">IF($H123="","",DATEDIF($H123,TODAY(),"Y"))</f>
        <v/>
      </c>
      <c r="J123" s="28"/>
      <c r="K123" s="27"/>
      <c r="L123" s="27"/>
      <c r="M123" s="27"/>
      <c r="N123" s="28"/>
      <c r="O123" s="27"/>
      <c r="P123" s="29"/>
      <c r="Q123" s="28"/>
      <c r="R123" s="27"/>
      <c r="S123" s="29"/>
      <c r="T123" s="29"/>
      <c r="U123" s="30" t="str">
        <f aca="true">IF($P123="","",TODAY()-$P123)</f>
        <v/>
      </c>
      <c r="V123" s="31" t="str">
        <f aca="false">IF($A123="","",IF(COUNTIF(Consultation!$B$4:$B$1003,$A123)&gt;0,"Yes","No"))</f>
        <v/>
      </c>
      <c r="W123" s="31" t="str">
        <f aca="false">IF($A123="","",IF(COUNTIF(Customers!$B$4:$B$1003,$A123)&gt;0,"Yes","No"))</f>
        <v/>
      </c>
      <c r="X123" s="32"/>
    </row>
    <row r="124" customFormat="false" ht="15.75" hidden="false" customHeight="true" outlineLevel="0" collapsed="false">
      <c r="A124" s="27"/>
      <c r="B124" s="28"/>
      <c r="C124" s="28"/>
      <c r="D124" s="28"/>
      <c r="E124" s="28"/>
      <c r="F124" s="28"/>
      <c r="G124" s="27"/>
      <c r="H124" s="29"/>
      <c r="I124" s="30" t="str">
        <f aca="true">IF($H124="","",DATEDIF($H124,TODAY(),"Y"))</f>
        <v/>
      </c>
      <c r="J124" s="28"/>
      <c r="K124" s="27"/>
      <c r="L124" s="27"/>
      <c r="M124" s="27"/>
      <c r="N124" s="28"/>
      <c r="O124" s="27"/>
      <c r="P124" s="29"/>
      <c r="Q124" s="28"/>
      <c r="R124" s="27"/>
      <c r="S124" s="29"/>
      <c r="T124" s="29"/>
      <c r="U124" s="30" t="str">
        <f aca="true">IF($P124="","",TODAY()-$P124)</f>
        <v/>
      </c>
      <c r="V124" s="31" t="str">
        <f aca="false">IF($A124="","",IF(COUNTIF(Consultation!$B$4:$B$1003,$A124)&gt;0,"Yes","No"))</f>
        <v/>
      </c>
      <c r="W124" s="31" t="str">
        <f aca="false">IF($A124="","",IF(COUNTIF(Customers!$B$4:$B$1003,$A124)&gt;0,"Yes","No"))</f>
        <v/>
      </c>
      <c r="X124" s="32"/>
    </row>
    <row r="125" customFormat="false" ht="15.75" hidden="false" customHeight="true" outlineLevel="0" collapsed="false">
      <c r="A125" s="27"/>
      <c r="B125" s="28"/>
      <c r="C125" s="28"/>
      <c r="D125" s="28"/>
      <c r="E125" s="28"/>
      <c r="F125" s="28"/>
      <c r="G125" s="27"/>
      <c r="H125" s="29"/>
      <c r="I125" s="30" t="str">
        <f aca="true">IF($H125="","",DATEDIF($H125,TODAY(),"Y"))</f>
        <v/>
      </c>
      <c r="J125" s="28"/>
      <c r="K125" s="27"/>
      <c r="L125" s="27"/>
      <c r="M125" s="27"/>
      <c r="N125" s="28"/>
      <c r="O125" s="27"/>
      <c r="P125" s="29"/>
      <c r="Q125" s="28"/>
      <c r="R125" s="27"/>
      <c r="S125" s="29"/>
      <c r="T125" s="29"/>
      <c r="U125" s="30" t="str">
        <f aca="true">IF($P125="","",TODAY()-$P125)</f>
        <v/>
      </c>
      <c r="V125" s="31" t="str">
        <f aca="false">IF($A125="","",IF(COUNTIF(Consultation!$B$4:$B$1003,$A125)&gt;0,"Yes","No"))</f>
        <v/>
      </c>
      <c r="W125" s="31" t="str">
        <f aca="false">IF($A125="","",IF(COUNTIF(Customers!$B$4:$B$1003,$A125)&gt;0,"Yes","No"))</f>
        <v/>
      </c>
      <c r="X125" s="32"/>
    </row>
    <row r="126" customFormat="false" ht="15.75" hidden="false" customHeight="true" outlineLevel="0" collapsed="false">
      <c r="A126" s="27"/>
      <c r="B126" s="28"/>
      <c r="C126" s="28"/>
      <c r="D126" s="28"/>
      <c r="E126" s="28"/>
      <c r="F126" s="28"/>
      <c r="G126" s="27"/>
      <c r="H126" s="29"/>
      <c r="I126" s="30" t="str">
        <f aca="true">IF($H126="","",DATEDIF($H126,TODAY(),"Y"))</f>
        <v/>
      </c>
      <c r="J126" s="28"/>
      <c r="K126" s="27"/>
      <c r="L126" s="27"/>
      <c r="M126" s="27"/>
      <c r="N126" s="28"/>
      <c r="O126" s="27"/>
      <c r="P126" s="29"/>
      <c r="Q126" s="28"/>
      <c r="R126" s="27"/>
      <c r="S126" s="29"/>
      <c r="T126" s="29"/>
      <c r="U126" s="30" t="str">
        <f aca="true">IF($P126="","",TODAY()-$P126)</f>
        <v/>
      </c>
      <c r="V126" s="31" t="str">
        <f aca="false">IF($A126="","",IF(COUNTIF(Consultation!$B$4:$B$1003,$A126)&gt;0,"Yes","No"))</f>
        <v/>
      </c>
      <c r="W126" s="31" t="str">
        <f aca="false">IF($A126="","",IF(COUNTIF(Customers!$B$4:$B$1003,$A126)&gt;0,"Yes","No"))</f>
        <v/>
      </c>
      <c r="X126" s="32"/>
    </row>
    <row r="127" customFormat="false" ht="15.75" hidden="false" customHeight="true" outlineLevel="0" collapsed="false">
      <c r="A127" s="27"/>
      <c r="B127" s="28"/>
      <c r="C127" s="28"/>
      <c r="D127" s="28"/>
      <c r="E127" s="28"/>
      <c r="F127" s="28"/>
      <c r="G127" s="27"/>
      <c r="H127" s="29"/>
      <c r="I127" s="30" t="str">
        <f aca="true">IF($H127="","",DATEDIF($H127,TODAY(),"Y"))</f>
        <v/>
      </c>
      <c r="J127" s="28"/>
      <c r="K127" s="27"/>
      <c r="L127" s="27"/>
      <c r="M127" s="27"/>
      <c r="N127" s="28"/>
      <c r="O127" s="27"/>
      <c r="P127" s="29"/>
      <c r="Q127" s="28"/>
      <c r="R127" s="27"/>
      <c r="S127" s="29"/>
      <c r="T127" s="29"/>
      <c r="U127" s="30" t="str">
        <f aca="true">IF($P127="","",TODAY()-$P127)</f>
        <v/>
      </c>
      <c r="V127" s="31" t="str">
        <f aca="false">IF($A127="","",IF(COUNTIF(Consultation!$B$4:$B$1003,$A127)&gt;0,"Yes","No"))</f>
        <v/>
      </c>
      <c r="W127" s="31" t="str">
        <f aca="false">IF($A127="","",IF(COUNTIF(Customers!$B$4:$B$1003,$A127)&gt;0,"Yes","No"))</f>
        <v/>
      </c>
      <c r="X127" s="32"/>
    </row>
    <row r="128" customFormat="false" ht="15.75" hidden="false" customHeight="true" outlineLevel="0" collapsed="false">
      <c r="A128" s="27"/>
      <c r="B128" s="28"/>
      <c r="C128" s="28"/>
      <c r="D128" s="28"/>
      <c r="E128" s="28"/>
      <c r="F128" s="28"/>
      <c r="G128" s="27"/>
      <c r="H128" s="29"/>
      <c r="I128" s="30" t="str">
        <f aca="true">IF($H128="","",DATEDIF($H128,TODAY(),"Y"))</f>
        <v/>
      </c>
      <c r="J128" s="28"/>
      <c r="K128" s="27"/>
      <c r="L128" s="27"/>
      <c r="M128" s="27"/>
      <c r="N128" s="28"/>
      <c r="O128" s="27"/>
      <c r="P128" s="29"/>
      <c r="Q128" s="28"/>
      <c r="R128" s="27"/>
      <c r="S128" s="29"/>
      <c r="T128" s="29"/>
      <c r="U128" s="30" t="str">
        <f aca="true">IF($P128="","",TODAY()-$P128)</f>
        <v/>
      </c>
      <c r="V128" s="31" t="str">
        <f aca="false">IF($A128="","",IF(COUNTIF(Consultation!$B$4:$B$1003,$A128)&gt;0,"Yes","No"))</f>
        <v/>
      </c>
      <c r="W128" s="31" t="str">
        <f aca="false">IF($A128="","",IF(COUNTIF(Customers!$B$4:$B$1003,$A128)&gt;0,"Yes","No"))</f>
        <v/>
      </c>
      <c r="X128" s="32"/>
    </row>
    <row r="129" customFormat="false" ht="15.75" hidden="false" customHeight="true" outlineLevel="0" collapsed="false">
      <c r="A129" s="27"/>
      <c r="B129" s="28"/>
      <c r="C129" s="28"/>
      <c r="D129" s="28"/>
      <c r="E129" s="28"/>
      <c r="F129" s="28"/>
      <c r="G129" s="27"/>
      <c r="H129" s="29"/>
      <c r="I129" s="30" t="str">
        <f aca="true">IF($H129="","",DATEDIF($H129,TODAY(),"Y"))</f>
        <v/>
      </c>
      <c r="J129" s="28"/>
      <c r="K129" s="27"/>
      <c r="L129" s="27"/>
      <c r="M129" s="27"/>
      <c r="N129" s="28"/>
      <c r="O129" s="27"/>
      <c r="P129" s="29"/>
      <c r="Q129" s="28"/>
      <c r="R129" s="27"/>
      <c r="S129" s="29"/>
      <c r="T129" s="29"/>
      <c r="U129" s="30" t="str">
        <f aca="true">IF($P129="","",TODAY()-$P129)</f>
        <v/>
      </c>
      <c r="V129" s="31" t="str">
        <f aca="false">IF($A129="","",IF(COUNTIF(Consultation!$B$4:$B$1003,$A129)&gt;0,"Yes","No"))</f>
        <v/>
      </c>
      <c r="W129" s="31" t="str">
        <f aca="false">IF($A129="","",IF(COUNTIF(Customers!$B$4:$B$1003,$A129)&gt;0,"Yes","No"))</f>
        <v/>
      </c>
      <c r="X129" s="32"/>
    </row>
    <row r="130" customFormat="false" ht="15.75" hidden="false" customHeight="true" outlineLevel="0" collapsed="false">
      <c r="A130" s="27"/>
      <c r="B130" s="28"/>
      <c r="C130" s="28"/>
      <c r="D130" s="28"/>
      <c r="E130" s="28"/>
      <c r="F130" s="28"/>
      <c r="G130" s="27"/>
      <c r="H130" s="29"/>
      <c r="I130" s="30" t="str">
        <f aca="true">IF($H130="","",DATEDIF($H130,TODAY(),"Y"))</f>
        <v/>
      </c>
      <c r="J130" s="28"/>
      <c r="K130" s="27"/>
      <c r="L130" s="27"/>
      <c r="M130" s="27"/>
      <c r="N130" s="28"/>
      <c r="O130" s="27"/>
      <c r="P130" s="29"/>
      <c r="Q130" s="28"/>
      <c r="R130" s="27"/>
      <c r="S130" s="29"/>
      <c r="T130" s="29"/>
      <c r="U130" s="30" t="str">
        <f aca="true">IF($P130="","",TODAY()-$P130)</f>
        <v/>
      </c>
      <c r="V130" s="31" t="str">
        <f aca="false">IF($A130="","",IF(COUNTIF(Consultation!$B$4:$B$1003,$A130)&gt;0,"Yes","No"))</f>
        <v/>
      </c>
      <c r="W130" s="31" t="str">
        <f aca="false">IF($A130="","",IF(COUNTIF(Customers!$B$4:$B$1003,$A130)&gt;0,"Yes","No"))</f>
        <v/>
      </c>
      <c r="X130" s="32"/>
    </row>
    <row r="131" customFormat="false" ht="15.75" hidden="false" customHeight="true" outlineLevel="0" collapsed="false">
      <c r="A131" s="27"/>
      <c r="B131" s="28"/>
      <c r="C131" s="28"/>
      <c r="D131" s="28"/>
      <c r="E131" s="28"/>
      <c r="F131" s="28"/>
      <c r="G131" s="27"/>
      <c r="H131" s="29"/>
      <c r="I131" s="30" t="str">
        <f aca="true">IF($H131="","",DATEDIF($H131,TODAY(),"Y"))</f>
        <v/>
      </c>
      <c r="J131" s="28"/>
      <c r="K131" s="27"/>
      <c r="L131" s="27"/>
      <c r="M131" s="27"/>
      <c r="N131" s="28"/>
      <c r="O131" s="27"/>
      <c r="P131" s="29"/>
      <c r="Q131" s="28"/>
      <c r="R131" s="27"/>
      <c r="S131" s="29"/>
      <c r="T131" s="29"/>
      <c r="U131" s="30" t="str">
        <f aca="true">IF($P131="","",TODAY()-$P131)</f>
        <v/>
      </c>
      <c r="V131" s="31" t="str">
        <f aca="false">IF($A131="","",IF(COUNTIF(Consultation!$B$4:$B$1003,$A131)&gt;0,"Yes","No"))</f>
        <v/>
      </c>
      <c r="W131" s="31" t="str">
        <f aca="false">IF($A131="","",IF(COUNTIF(Customers!$B$4:$B$1003,$A131)&gt;0,"Yes","No"))</f>
        <v/>
      </c>
      <c r="X131" s="32"/>
    </row>
    <row r="132" customFormat="false" ht="15.75" hidden="false" customHeight="true" outlineLevel="0" collapsed="false">
      <c r="A132" s="27"/>
      <c r="B132" s="28"/>
      <c r="C132" s="28"/>
      <c r="D132" s="28"/>
      <c r="E132" s="28"/>
      <c r="F132" s="28"/>
      <c r="G132" s="27"/>
      <c r="H132" s="29"/>
      <c r="I132" s="30" t="str">
        <f aca="true">IF($H132="","",DATEDIF($H132,TODAY(),"Y"))</f>
        <v/>
      </c>
      <c r="J132" s="28"/>
      <c r="K132" s="27"/>
      <c r="L132" s="27"/>
      <c r="M132" s="27"/>
      <c r="N132" s="28"/>
      <c r="O132" s="27"/>
      <c r="P132" s="29"/>
      <c r="Q132" s="28"/>
      <c r="R132" s="27"/>
      <c r="S132" s="29"/>
      <c r="T132" s="29"/>
      <c r="U132" s="30" t="str">
        <f aca="true">IF($P132="","",TODAY()-$P132)</f>
        <v/>
      </c>
      <c r="V132" s="31" t="str">
        <f aca="false">IF($A132="","",IF(COUNTIF(Consultation!$B$4:$B$1003,$A132)&gt;0,"Yes","No"))</f>
        <v/>
      </c>
      <c r="W132" s="31" t="str">
        <f aca="false">IF($A132="","",IF(COUNTIF(Customers!$B$4:$B$1003,$A132)&gt;0,"Yes","No"))</f>
        <v/>
      </c>
      <c r="X132" s="32"/>
    </row>
    <row r="133" customFormat="false" ht="15.75" hidden="false" customHeight="true" outlineLevel="0" collapsed="false">
      <c r="A133" s="27"/>
      <c r="B133" s="28"/>
      <c r="C133" s="28"/>
      <c r="D133" s="28"/>
      <c r="E133" s="28"/>
      <c r="F133" s="28"/>
      <c r="G133" s="27"/>
      <c r="H133" s="29"/>
      <c r="I133" s="30" t="str">
        <f aca="true">IF($H133="","",DATEDIF($H133,TODAY(),"Y"))</f>
        <v/>
      </c>
      <c r="J133" s="28"/>
      <c r="K133" s="27"/>
      <c r="L133" s="27"/>
      <c r="M133" s="27"/>
      <c r="N133" s="28"/>
      <c r="O133" s="27"/>
      <c r="P133" s="29"/>
      <c r="Q133" s="28"/>
      <c r="R133" s="27"/>
      <c r="S133" s="29"/>
      <c r="T133" s="29"/>
      <c r="U133" s="30" t="str">
        <f aca="true">IF($P133="","",TODAY()-$P133)</f>
        <v/>
      </c>
      <c r="V133" s="31" t="str">
        <f aca="false">IF($A133="","",IF(COUNTIF(Consultation!$B$4:$B$1003,$A133)&gt;0,"Yes","No"))</f>
        <v/>
      </c>
      <c r="W133" s="31" t="str">
        <f aca="false">IF($A133="","",IF(COUNTIF(Customers!$B$4:$B$1003,$A133)&gt;0,"Yes","No"))</f>
        <v/>
      </c>
      <c r="X133" s="32"/>
    </row>
    <row r="134" customFormat="false" ht="15.75" hidden="false" customHeight="true" outlineLevel="0" collapsed="false">
      <c r="A134" s="27"/>
      <c r="B134" s="28"/>
      <c r="C134" s="28"/>
      <c r="D134" s="28"/>
      <c r="E134" s="28"/>
      <c r="F134" s="28"/>
      <c r="G134" s="27"/>
      <c r="H134" s="29"/>
      <c r="I134" s="30" t="str">
        <f aca="true">IF($H134="","",DATEDIF($H134,TODAY(),"Y"))</f>
        <v/>
      </c>
      <c r="J134" s="28"/>
      <c r="K134" s="27"/>
      <c r="L134" s="27"/>
      <c r="M134" s="27"/>
      <c r="N134" s="28"/>
      <c r="O134" s="27"/>
      <c r="P134" s="29"/>
      <c r="Q134" s="28"/>
      <c r="R134" s="27"/>
      <c r="S134" s="29"/>
      <c r="T134" s="29"/>
      <c r="U134" s="30" t="str">
        <f aca="true">IF($P134="","",TODAY()-$P134)</f>
        <v/>
      </c>
      <c r="V134" s="31" t="str">
        <f aca="false">IF($A134="","",IF(COUNTIF(Consultation!$B$4:$B$1003,$A134)&gt;0,"Yes","No"))</f>
        <v/>
      </c>
      <c r="W134" s="31" t="str">
        <f aca="false">IF($A134="","",IF(COUNTIF(Customers!$B$4:$B$1003,$A134)&gt;0,"Yes","No"))</f>
        <v/>
      </c>
      <c r="X134" s="32"/>
    </row>
    <row r="135" customFormat="false" ht="15.75" hidden="false" customHeight="true" outlineLevel="0" collapsed="false">
      <c r="A135" s="27"/>
      <c r="B135" s="28"/>
      <c r="C135" s="28"/>
      <c r="D135" s="28"/>
      <c r="E135" s="28"/>
      <c r="F135" s="28"/>
      <c r="G135" s="27"/>
      <c r="H135" s="29"/>
      <c r="I135" s="30" t="str">
        <f aca="true">IF($H135="","",DATEDIF($H135,TODAY(),"Y"))</f>
        <v/>
      </c>
      <c r="J135" s="28"/>
      <c r="K135" s="27"/>
      <c r="L135" s="27"/>
      <c r="M135" s="27"/>
      <c r="N135" s="28"/>
      <c r="O135" s="27"/>
      <c r="P135" s="29"/>
      <c r="Q135" s="28"/>
      <c r="R135" s="27"/>
      <c r="S135" s="29"/>
      <c r="T135" s="29"/>
      <c r="U135" s="30" t="str">
        <f aca="true">IF($P135="","",TODAY()-$P135)</f>
        <v/>
      </c>
      <c r="V135" s="31" t="str">
        <f aca="false">IF($A135="","",IF(COUNTIF(Consultation!$B$4:$B$1003,$A135)&gt;0,"Yes","No"))</f>
        <v/>
      </c>
      <c r="W135" s="31" t="str">
        <f aca="false">IF($A135="","",IF(COUNTIF(Customers!$B$4:$B$1003,$A135)&gt;0,"Yes","No"))</f>
        <v/>
      </c>
      <c r="X135" s="32"/>
    </row>
    <row r="136" customFormat="false" ht="15.75" hidden="false" customHeight="true" outlineLevel="0" collapsed="false">
      <c r="A136" s="27"/>
      <c r="B136" s="28"/>
      <c r="C136" s="28"/>
      <c r="D136" s="28"/>
      <c r="E136" s="28"/>
      <c r="F136" s="28"/>
      <c r="G136" s="27"/>
      <c r="H136" s="29"/>
      <c r="I136" s="30" t="str">
        <f aca="true">IF($H136="","",DATEDIF($H136,TODAY(),"Y"))</f>
        <v/>
      </c>
      <c r="J136" s="28"/>
      <c r="K136" s="27"/>
      <c r="L136" s="27"/>
      <c r="M136" s="27"/>
      <c r="N136" s="28"/>
      <c r="O136" s="27"/>
      <c r="P136" s="29"/>
      <c r="Q136" s="28"/>
      <c r="R136" s="27"/>
      <c r="S136" s="29"/>
      <c r="T136" s="29"/>
      <c r="U136" s="30" t="str">
        <f aca="true">IF($P136="","",TODAY()-$P136)</f>
        <v/>
      </c>
      <c r="V136" s="31" t="str">
        <f aca="false">IF($A136="","",IF(COUNTIF(Consultation!$B$4:$B$1003,$A136)&gt;0,"Yes","No"))</f>
        <v/>
      </c>
      <c r="W136" s="31" t="str">
        <f aca="false">IF($A136="","",IF(COUNTIF(Customers!$B$4:$B$1003,$A136)&gt;0,"Yes","No"))</f>
        <v/>
      </c>
      <c r="X136" s="32"/>
    </row>
    <row r="137" customFormat="false" ht="15.75" hidden="false" customHeight="true" outlineLevel="0" collapsed="false">
      <c r="A137" s="27"/>
      <c r="B137" s="28"/>
      <c r="C137" s="28"/>
      <c r="D137" s="28"/>
      <c r="E137" s="28"/>
      <c r="F137" s="28"/>
      <c r="G137" s="27"/>
      <c r="H137" s="29"/>
      <c r="I137" s="30" t="str">
        <f aca="true">IF($H137="","",DATEDIF($H137,TODAY(),"Y"))</f>
        <v/>
      </c>
      <c r="J137" s="28"/>
      <c r="K137" s="27"/>
      <c r="L137" s="27"/>
      <c r="M137" s="27"/>
      <c r="N137" s="28"/>
      <c r="O137" s="27"/>
      <c r="P137" s="29"/>
      <c r="Q137" s="28"/>
      <c r="R137" s="27"/>
      <c r="S137" s="29"/>
      <c r="T137" s="29"/>
      <c r="U137" s="30" t="str">
        <f aca="true">IF($P137="","",TODAY()-$P137)</f>
        <v/>
      </c>
      <c r="V137" s="31" t="str">
        <f aca="false">IF($A137="","",IF(COUNTIF(Consultation!$B$4:$B$1003,$A137)&gt;0,"Yes","No"))</f>
        <v/>
      </c>
      <c r="W137" s="31" t="str">
        <f aca="false">IF($A137="","",IF(COUNTIF(Customers!$B$4:$B$1003,$A137)&gt;0,"Yes","No"))</f>
        <v/>
      </c>
      <c r="X137" s="32"/>
    </row>
    <row r="138" customFormat="false" ht="15.75" hidden="false" customHeight="true" outlineLevel="0" collapsed="false">
      <c r="A138" s="27"/>
      <c r="B138" s="28"/>
      <c r="C138" s="28"/>
      <c r="D138" s="28"/>
      <c r="E138" s="28"/>
      <c r="F138" s="28"/>
      <c r="G138" s="27"/>
      <c r="H138" s="29"/>
      <c r="I138" s="30" t="str">
        <f aca="true">IF($H138="","",DATEDIF($H138,TODAY(),"Y"))</f>
        <v/>
      </c>
      <c r="J138" s="28"/>
      <c r="K138" s="27"/>
      <c r="L138" s="27"/>
      <c r="M138" s="27"/>
      <c r="N138" s="28"/>
      <c r="O138" s="27"/>
      <c r="P138" s="29"/>
      <c r="Q138" s="28"/>
      <c r="R138" s="27"/>
      <c r="S138" s="29"/>
      <c r="T138" s="29"/>
      <c r="U138" s="30" t="str">
        <f aca="true">IF($P138="","",TODAY()-$P138)</f>
        <v/>
      </c>
      <c r="V138" s="31" t="str">
        <f aca="false">IF($A138="","",IF(COUNTIF(Consultation!$B$4:$B$1003,$A138)&gt;0,"Yes","No"))</f>
        <v/>
      </c>
      <c r="W138" s="31" t="str">
        <f aca="false">IF($A138="","",IF(COUNTIF(Customers!$B$4:$B$1003,$A138)&gt;0,"Yes","No"))</f>
        <v/>
      </c>
      <c r="X138" s="32"/>
    </row>
    <row r="139" customFormat="false" ht="15.75" hidden="false" customHeight="true" outlineLevel="0" collapsed="false">
      <c r="A139" s="27"/>
      <c r="B139" s="28"/>
      <c r="C139" s="28"/>
      <c r="D139" s="28"/>
      <c r="E139" s="28"/>
      <c r="F139" s="28"/>
      <c r="G139" s="27"/>
      <c r="H139" s="29"/>
      <c r="I139" s="30" t="str">
        <f aca="true">IF($H139="","",DATEDIF($H139,TODAY(),"Y"))</f>
        <v/>
      </c>
      <c r="J139" s="28"/>
      <c r="K139" s="27"/>
      <c r="L139" s="27"/>
      <c r="M139" s="27"/>
      <c r="N139" s="28"/>
      <c r="O139" s="27"/>
      <c r="P139" s="29"/>
      <c r="Q139" s="28"/>
      <c r="R139" s="27"/>
      <c r="S139" s="29"/>
      <c r="T139" s="29"/>
      <c r="U139" s="30" t="str">
        <f aca="true">IF($P139="","",TODAY()-$P139)</f>
        <v/>
      </c>
      <c r="V139" s="31" t="str">
        <f aca="false">IF($A139="","",IF(COUNTIF(Consultation!$B$4:$B$1003,$A139)&gt;0,"Yes","No"))</f>
        <v/>
      </c>
      <c r="W139" s="31" t="str">
        <f aca="false">IF($A139="","",IF(COUNTIF(Customers!$B$4:$B$1003,$A139)&gt;0,"Yes","No"))</f>
        <v/>
      </c>
      <c r="X139" s="32"/>
    </row>
    <row r="140" customFormat="false" ht="15.75" hidden="false" customHeight="true" outlineLevel="0" collapsed="false">
      <c r="A140" s="27"/>
      <c r="B140" s="28"/>
      <c r="C140" s="28"/>
      <c r="D140" s="28"/>
      <c r="E140" s="28"/>
      <c r="F140" s="28"/>
      <c r="G140" s="27"/>
      <c r="H140" s="29"/>
      <c r="I140" s="30" t="str">
        <f aca="true">IF($H140="","",DATEDIF($H140,TODAY(),"Y"))</f>
        <v/>
      </c>
      <c r="J140" s="28"/>
      <c r="K140" s="27"/>
      <c r="L140" s="27"/>
      <c r="M140" s="27"/>
      <c r="N140" s="28"/>
      <c r="O140" s="27"/>
      <c r="P140" s="29"/>
      <c r="Q140" s="28"/>
      <c r="R140" s="27"/>
      <c r="S140" s="29"/>
      <c r="T140" s="29"/>
      <c r="U140" s="30" t="str">
        <f aca="true">IF($P140="","",TODAY()-$P140)</f>
        <v/>
      </c>
      <c r="V140" s="31" t="str">
        <f aca="false">IF($A140="","",IF(COUNTIF(Consultation!$B$4:$B$1003,$A140)&gt;0,"Yes","No"))</f>
        <v/>
      </c>
      <c r="W140" s="31" t="str">
        <f aca="false">IF($A140="","",IF(COUNTIF(Customers!$B$4:$B$1003,$A140)&gt;0,"Yes","No"))</f>
        <v/>
      </c>
      <c r="X140" s="32"/>
    </row>
    <row r="141" customFormat="false" ht="15.75" hidden="false" customHeight="true" outlineLevel="0" collapsed="false">
      <c r="A141" s="27"/>
      <c r="B141" s="28"/>
      <c r="C141" s="28"/>
      <c r="D141" s="28"/>
      <c r="E141" s="28"/>
      <c r="F141" s="28"/>
      <c r="G141" s="27"/>
      <c r="H141" s="29"/>
      <c r="I141" s="30" t="str">
        <f aca="true">IF($H141="","",DATEDIF($H141,TODAY(),"Y"))</f>
        <v/>
      </c>
      <c r="J141" s="28"/>
      <c r="K141" s="27"/>
      <c r="L141" s="27"/>
      <c r="M141" s="27"/>
      <c r="N141" s="28"/>
      <c r="O141" s="27"/>
      <c r="P141" s="29"/>
      <c r="Q141" s="28"/>
      <c r="R141" s="27"/>
      <c r="S141" s="29"/>
      <c r="T141" s="29"/>
      <c r="U141" s="30" t="str">
        <f aca="true">IF($P141="","",TODAY()-$P141)</f>
        <v/>
      </c>
      <c r="V141" s="31" t="str">
        <f aca="false">IF($A141="","",IF(COUNTIF(Consultation!$B$4:$B$1003,$A141)&gt;0,"Yes","No"))</f>
        <v/>
      </c>
      <c r="W141" s="31" t="str">
        <f aca="false">IF($A141="","",IF(COUNTIF(Customers!$B$4:$B$1003,$A141)&gt;0,"Yes","No"))</f>
        <v/>
      </c>
      <c r="X141" s="32"/>
    </row>
    <row r="142" customFormat="false" ht="15.75" hidden="false" customHeight="true" outlineLevel="0" collapsed="false">
      <c r="A142" s="27"/>
      <c r="B142" s="28"/>
      <c r="C142" s="28"/>
      <c r="D142" s="28"/>
      <c r="E142" s="28"/>
      <c r="F142" s="28"/>
      <c r="G142" s="27"/>
      <c r="H142" s="29"/>
      <c r="I142" s="30" t="str">
        <f aca="true">IF($H142="","",DATEDIF($H142,TODAY(),"Y"))</f>
        <v/>
      </c>
      <c r="J142" s="28"/>
      <c r="K142" s="27"/>
      <c r="L142" s="27"/>
      <c r="M142" s="27"/>
      <c r="N142" s="28"/>
      <c r="O142" s="27"/>
      <c r="P142" s="29"/>
      <c r="Q142" s="28"/>
      <c r="R142" s="27"/>
      <c r="S142" s="29"/>
      <c r="T142" s="29"/>
      <c r="U142" s="30" t="str">
        <f aca="true">IF($P142="","",TODAY()-$P142)</f>
        <v/>
      </c>
      <c r="V142" s="31" t="str">
        <f aca="false">IF($A142="","",IF(COUNTIF(Consultation!$B$4:$B$1003,$A142)&gt;0,"Yes","No"))</f>
        <v/>
      </c>
      <c r="W142" s="31" t="str">
        <f aca="false">IF($A142="","",IF(COUNTIF(Customers!$B$4:$B$1003,$A142)&gt;0,"Yes","No"))</f>
        <v/>
      </c>
      <c r="X142" s="32"/>
    </row>
    <row r="143" customFormat="false" ht="15.75" hidden="false" customHeight="true" outlineLevel="0" collapsed="false">
      <c r="A143" s="27"/>
      <c r="B143" s="28"/>
      <c r="C143" s="28"/>
      <c r="D143" s="28"/>
      <c r="E143" s="28"/>
      <c r="F143" s="28"/>
      <c r="G143" s="27"/>
      <c r="H143" s="29"/>
      <c r="I143" s="30" t="str">
        <f aca="true">IF($H143="","",DATEDIF($H143,TODAY(),"Y"))</f>
        <v/>
      </c>
      <c r="J143" s="28"/>
      <c r="K143" s="27"/>
      <c r="L143" s="27"/>
      <c r="M143" s="27"/>
      <c r="N143" s="28"/>
      <c r="O143" s="27"/>
      <c r="P143" s="29"/>
      <c r="Q143" s="28"/>
      <c r="R143" s="27"/>
      <c r="S143" s="29"/>
      <c r="T143" s="29"/>
      <c r="U143" s="30" t="str">
        <f aca="true">IF($P143="","",TODAY()-$P143)</f>
        <v/>
      </c>
      <c r="V143" s="31" t="str">
        <f aca="false">IF($A143="","",IF(COUNTIF(Consultation!$B$4:$B$1003,$A143)&gt;0,"Yes","No"))</f>
        <v/>
      </c>
      <c r="W143" s="31" t="str">
        <f aca="false">IF($A143="","",IF(COUNTIF(Customers!$B$4:$B$1003,$A143)&gt;0,"Yes","No"))</f>
        <v/>
      </c>
      <c r="X143" s="32"/>
    </row>
    <row r="144" customFormat="false" ht="15.75" hidden="false" customHeight="true" outlineLevel="0" collapsed="false">
      <c r="A144" s="27"/>
      <c r="B144" s="28"/>
      <c r="C144" s="28"/>
      <c r="D144" s="28"/>
      <c r="E144" s="28"/>
      <c r="F144" s="28"/>
      <c r="G144" s="27"/>
      <c r="H144" s="29"/>
      <c r="I144" s="30" t="str">
        <f aca="true">IF($H144="","",DATEDIF($H144,TODAY(),"Y"))</f>
        <v/>
      </c>
      <c r="J144" s="28"/>
      <c r="K144" s="27"/>
      <c r="L144" s="27"/>
      <c r="M144" s="27"/>
      <c r="N144" s="28"/>
      <c r="O144" s="27"/>
      <c r="P144" s="29"/>
      <c r="Q144" s="28"/>
      <c r="R144" s="27"/>
      <c r="S144" s="29"/>
      <c r="T144" s="29"/>
      <c r="U144" s="30" t="str">
        <f aca="true">IF($P144="","",TODAY()-$P144)</f>
        <v/>
      </c>
      <c r="V144" s="31" t="str">
        <f aca="false">IF($A144="","",IF(COUNTIF(Consultation!$B$4:$B$1003,$A144)&gt;0,"Yes","No"))</f>
        <v/>
      </c>
      <c r="W144" s="31" t="str">
        <f aca="false">IF($A144="","",IF(COUNTIF(Customers!$B$4:$B$1003,$A144)&gt;0,"Yes","No"))</f>
        <v/>
      </c>
      <c r="X144" s="32"/>
    </row>
    <row r="145" customFormat="false" ht="15.75" hidden="false" customHeight="true" outlineLevel="0" collapsed="false">
      <c r="A145" s="27"/>
      <c r="B145" s="28"/>
      <c r="C145" s="28"/>
      <c r="D145" s="28"/>
      <c r="E145" s="28"/>
      <c r="F145" s="28"/>
      <c r="G145" s="27"/>
      <c r="H145" s="29"/>
      <c r="I145" s="30" t="str">
        <f aca="true">IF($H145="","",DATEDIF($H145,TODAY(),"Y"))</f>
        <v/>
      </c>
      <c r="J145" s="28"/>
      <c r="K145" s="27"/>
      <c r="L145" s="27"/>
      <c r="M145" s="27"/>
      <c r="N145" s="28"/>
      <c r="O145" s="27"/>
      <c r="P145" s="29"/>
      <c r="Q145" s="28"/>
      <c r="R145" s="27"/>
      <c r="S145" s="29"/>
      <c r="T145" s="29"/>
      <c r="U145" s="30" t="str">
        <f aca="true">IF($P145="","",TODAY()-$P145)</f>
        <v/>
      </c>
      <c r="V145" s="31" t="str">
        <f aca="false">IF($A145="","",IF(COUNTIF(Consultation!$B$4:$B$1003,$A145)&gt;0,"Yes","No"))</f>
        <v/>
      </c>
      <c r="W145" s="31" t="str">
        <f aca="false">IF($A145="","",IF(COUNTIF(Customers!$B$4:$B$1003,$A145)&gt;0,"Yes","No"))</f>
        <v/>
      </c>
      <c r="X145" s="32"/>
    </row>
    <row r="146" customFormat="false" ht="15.75" hidden="false" customHeight="true" outlineLevel="0" collapsed="false">
      <c r="A146" s="27"/>
      <c r="B146" s="28"/>
      <c r="C146" s="28"/>
      <c r="D146" s="28"/>
      <c r="E146" s="28"/>
      <c r="F146" s="28"/>
      <c r="G146" s="27"/>
      <c r="H146" s="29"/>
      <c r="I146" s="30" t="str">
        <f aca="true">IF($H146="","",DATEDIF($H146,TODAY(),"Y"))</f>
        <v/>
      </c>
      <c r="J146" s="28"/>
      <c r="K146" s="27"/>
      <c r="L146" s="27"/>
      <c r="M146" s="27"/>
      <c r="N146" s="28"/>
      <c r="O146" s="27"/>
      <c r="P146" s="29"/>
      <c r="Q146" s="28"/>
      <c r="R146" s="27"/>
      <c r="S146" s="29"/>
      <c r="T146" s="29"/>
      <c r="U146" s="30" t="str">
        <f aca="true">IF($P146="","",TODAY()-$P146)</f>
        <v/>
      </c>
      <c r="V146" s="31" t="str">
        <f aca="false">IF($A146="","",IF(COUNTIF(Consultation!$B$4:$B$1003,$A146)&gt;0,"Yes","No"))</f>
        <v/>
      </c>
      <c r="W146" s="31" t="str">
        <f aca="false">IF($A146="","",IF(COUNTIF(Customers!$B$4:$B$1003,$A146)&gt;0,"Yes","No"))</f>
        <v/>
      </c>
      <c r="X146" s="32"/>
    </row>
    <row r="147" customFormat="false" ht="15.75" hidden="false" customHeight="true" outlineLevel="0" collapsed="false">
      <c r="A147" s="27"/>
      <c r="B147" s="28"/>
      <c r="C147" s="28"/>
      <c r="D147" s="28"/>
      <c r="E147" s="28"/>
      <c r="F147" s="28"/>
      <c r="G147" s="27"/>
      <c r="H147" s="29"/>
      <c r="I147" s="30" t="str">
        <f aca="true">IF($H147="","",DATEDIF($H147,TODAY(),"Y"))</f>
        <v/>
      </c>
      <c r="J147" s="28"/>
      <c r="K147" s="27"/>
      <c r="L147" s="27"/>
      <c r="M147" s="27"/>
      <c r="N147" s="28"/>
      <c r="O147" s="27"/>
      <c r="P147" s="29"/>
      <c r="Q147" s="28"/>
      <c r="R147" s="27"/>
      <c r="S147" s="29"/>
      <c r="T147" s="29"/>
      <c r="U147" s="30" t="str">
        <f aca="true">IF($P147="","",TODAY()-$P147)</f>
        <v/>
      </c>
      <c r="V147" s="31" t="str">
        <f aca="false">IF($A147="","",IF(COUNTIF(Consultation!$B$4:$B$1003,$A147)&gt;0,"Yes","No"))</f>
        <v/>
      </c>
      <c r="W147" s="31" t="str">
        <f aca="false">IF($A147="","",IF(COUNTIF(Customers!$B$4:$B$1003,$A147)&gt;0,"Yes","No"))</f>
        <v/>
      </c>
      <c r="X147" s="32"/>
    </row>
    <row r="148" customFormat="false" ht="15.75" hidden="false" customHeight="true" outlineLevel="0" collapsed="false">
      <c r="A148" s="27"/>
      <c r="B148" s="28"/>
      <c r="C148" s="28"/>
      <c r="D148" s="28"/>
      <c r="E148" s="28"/>
      <c r="F148" s="28"/>
      <c r="G148" s="27"/>
      <c r="H148" s="29"/>
      <c r="I148" s="30" t="str">
        <f aca="true">IF($H148="","",DATEDIF($H148,TODAY(),"Y"))</f>
        <v/>
      </c>
      <c r="J148" s="28"/>
      <c r="K148" s="27"/>
      <c r="L148" s="27"/>
      <c r="M148" s="27"/>
      <c r="N148" s="28"/>
      <c r="O148" s="27"/>
      <c r="P148" s="29"/>
      <c r="Q148" s="28"/>
      <c r="R148" s="27"/>
      <c r="S148" s="29"/>
      <c r="T148" s="29"/>
      <c r="U148" s="30" t="str">
        <f aca="true">IF($P148="","",TODAY()-$P148)</f>
        <v/>
      </c>
      <c r="V148" s="31" t="str">
        <f aca="false">IF($A148="","",IF(COUNTIF(Consultation!$B$4:$B$1003,$A148)&gt;0,"Yes","No"))</f>
        <v/>
      </c>
      <c r="W148" s="31" t="str">
        <f aca="false">IF($A148="","",IF(COUNTIF(Customers!$B$4:$B$1003,$A148)&gt;0,"Yes","No"))</f>
        <v/>
      </c>
      <c r="X148" s="32"/>
    </row>
    <row r="149" customFormat="false" ht="15.75" hidden="false" customHeight="true" outlineLevel="0" collapsed="false">
      <c r="A149" s="27"/>
      <c r="B149" s="28"/>
      <c r="C149" s="28"/>
      <c r="D149" s="28"/>
      <c r="E149" s="28"/>
      <c r="F149" s="28"/>
      <c r="G149" s="27"/>
      <c r="H149" s="29"/>
      <c r="I149" s="30" t="str">
        <f aca="true">IF($H149="","",DATEDIF($H149,TODAY(),"Y"))</f>
        <v/>
      </c>
      <c r="J149" s="28"/>
      <c r="K149" s="27"/>
      <c r="L149" s="27"/>
      <c r="M149" s="27"/>
      <c r="N149" s="28"/>
      <c r="O149" s="27"/>
      <c r="P149" s="29"/>
      <c r="Q149" s="28"/>
      <c r="R149" s="27"/>
      <c r="S149" s="29"/>
      <c r="T149" s="29"/>
      <c r="U149" s="30" t="str">
        <f aca="true">IF($P149="","",TODAY()-$P149)</f>
        <v/>
      </c>
      <c r="V149" s="31" t="str">
        <f aca="false">IF($A149="","",IF(COUNTIF(Consultation!$B$4:$B$1003,$A149)&gt;0,"Yes","No"))</f>
        <v/>
      </c>
      <c r="W149" s="31" t="str">
        <f aca="false">IF($A149="","",IF(COUNTIF(Customers!$B$4:$B$1003,$A149)&gt;0,"Yes","No"))</f>
        <v/>
      </c>
      <c r="X149" s="32"/>
    </row>
    <row r="150" customFormat="false" ht="15.75" hidden="false" customHeight="true" outlineLevel="0" collapsed="false">
      <c r="A150" s="27"/>
      <c r="B150" s="28"/>
      <c r="C150" s="28"/>
      <c r="D150" s="28"/>
      <c r="E150" s="28"/>
      <c r="F150" s="28"/>
      <c r="G150" s="27"/>
      <c r="H150" s="29"/>
      <c r="I150" s="30" t="str">
        <f aca="true">IF($H150="","",DATEDIF($H150,TODAY(),"Y"))</f>
        <v/>
      </c>
      <c r="J150" s="28"/>
      <c r="K150" s="27"/>
      <c r="L150" s="27"/>
      <c r="M150" s="27"/>
      <c r="N150" s="28"/>
      <c r="O150" s="27"/>
      <c r="P150" s="29"/>
      <c r="Q150" s="28"/>
      <c r="R150" s="27"/>
      <c r="S150" s="29"/>
      <c r="T150" s="29"/>
      <c r="U150" s="30" t="str">
        <f aca="true">IF($P150="","",TODAY()-$P150)</f>
        <v/>
      </c>
      <c r="V150" s="31" t="str">
        <f aca="false">IF($A150="","",IF(COUNTIF(Consultation!$B$4:$B$1003,$A150)&gt;0,"Yes","No"))</f>
        <v/>
      </c>
      <c r="W150" s="31" t="str">
        <f aca="false">IF($A150="","",IF(COUNTIF(Customers!$B$4:$B$1003,$A150)&gt;0,"Yes","No"))</f>
        <v/>
      </c>
      <c r="X150" s="32"/>
    </row>
    <row r="151" customFormat="false" ht="15.75" hidden="false" customHeight="true" outlineLevel="0" collapsed="false">
      <c r="A151" s="27"/>
      <c r="B151" s="28"/>
      <c r="C151" s="28"/>
      <c r="D151" s="28"/>
      <c r="E151" s="28"/>
      <c r="F151" s="28"/>
      <c r="G151" s="27"/>
      <c r="H151" s="29"/>
      <c r="I151" s="30" t="str">
        <f aca="true">IF($H151="","",DATEDIF($H151,TODAY(),"Y"))</f>
        <v/>
      </c>
      <c r="J151" s="28"/>
      <c r="K151" s="27"/>
      <c r="L151" s="27"/>
      <c r="M151" s="27"/>
      <c r="N151" s="28"/>
      <c r="O151" s="27"/>
      <c r="P151" s="29"/>
      <c r="Q151" s="28"/>
      <c r="R151" s="27"/>
      <c r="S151" s="29"/>
      <c r="T151" s="29"/>
      <c r="U151" s="30" t="str">
        <f aca="true">IF($P151="","",TODAY()-$P151)</f>
        <v/>
      </c>
      <c r="V151" s="31" t="str">
        <f aca="false">IF($A151="","",IF(COUNTIF(Consultation!$B$4:$B$1003,$A151)&gt;0,"Yes","No"))</f>
        <v/>
      </c>
      <c r="W151" s="31" t="str">
        <f aca="false">IF($A151="","",IF(COUNTIF(Customers!$B$4:$B$1003,$A151)&gt;0,"Yes","No"))</f>
        <v/>
      </c>
      <c r="X151" s="32"/>
    </row>
    <row r="152" customFormat="false" ht="15.75" hidden="false" customHeight="true" outlineLevel="0" collapsed="false">
      <c r="A152" s="27"/>
      <c r="B152" s="28"/>
      <c r="C152" s="28"/>
      <c r="D152" s="28"/>
      <c r="E152" s="28"/>
      <c r="F152" s="28"/>
      <c r="G152" s="27"/>
      <c r="H152" s="29"/>
      <c r="I152" s="30" t="str">
        <f aca="true">IF($H152="","",DATEDIF($H152,TODAY(),"Y"))</f>
        <v/>
      </c>
      <c r="J152" s="28"/>
      <c r="K152" s="27"/>
      <c r="L152" s="27"/>
      <c r="M152" s="27"/>
      <c r="N152" s="28"/>
      <c r="O152" s="27"/>
      <c r="P152" s="29"/>
      <c r="Q152" s="28"/>
      <c r="R152" s="27"/>
      <c r="S152" s="29"/>
      <c r="T152" s="29"/>
      <c r="U152" s="30" t="str">
        <f aca="true">IF($P152="","",TODAY()-$P152)</f>
        <v/>
      </c>
      <c r="V152" s="31" t="str">
        <f aca="false">IF($A152="","",IF(COUNTIF(Consultation!$B$4:$B$1003,$A152)&gt;0,"Yes","No"))</f>
        <v/>
      </c>
      <c r="W152" s="31" t="str">
        <f aca="false">IF($A152="","",IF(COUNTIF(Customers!$B$4:$B$1003,$A152)&gt;0,"Yes","No"))</f>
        <v/>
      </c>
      <c r="X152" s="32"/>
    </row>
    <row r="153" customFormat="false" ht="15.75" hidden="false" customHeight="true" outlineLevel="0" collapsed="false">
      <c r="A153" s="27"/>
      <c r="B153" s="28"/>
      <c r="C153" s="28"/>
      <c r="D153" s="28"/>
      <c r="E153" s="28"/>
      <c r="F153" s="28"/>
      <c r="G153" s="27"/>
      <c r="H153" s="29"/>
      <c r="I153" s="30" t="str">
        <f aca="true">IF($H153="","",DATEDIF($H153,TODAY(),"Y"))</f>
        <v/>
      </c>
      <c r="J153" s="28"/>
      <c r="K153" s="27"/>
      <c r="L153" s="27"/>
      <c r="M153" s="27"/>
      <c r="N153" s="28"/>
      <c r="O153" s="27"/>
      <c r="P153" s="29"/>
      <c r="Q153" s="28"/>
      <c r="R153" s="27"/>
      <c r="S153" s="29"/>
      <c r="T153" s="29"/>
      <c r="U153" s="30" t="str">
        <f aca="true">IF($P153="","",TODAY()-$P153)</f>
        <v/>
      </c>
      <c r="V153" s="31" t="str">
        <f aca="false">IF($A153="","",IF(COUNTIF(Consultation!$B$4:$B$1003,$A153)&gt;0,"Yes","No"))</f>
        <v/>
      </c>
      <c r="W153" s="31" t="str">
        <f aca="false">IF($A153="","",IF(COUNTIF(Customers!$B$4:$B$1003,$A153)&gt;0,"Yes","No"))</f>
        <v/>
      </c>
      <c r="X153" s="32"/>
    </row>
    <row r="154" customFormat="false" ht="15.75" hidden="false" customHeight="true" outlineLevel="0" collapsed="false">
      <c r="A154" s="27"/>
      <c r="B154" s="28"/>
      <c r="C154" s="28"/>
      <c r="D154" s="28"/>
      <c r="E154" s="28"/>
      <c r="F154" s="28"/>
      <c r="G154" s="27"/>
      <c r="H154" s="29"/>
      <c r="I154" s="30" t="str">
        <f aca="true">IF($H154="","",DATEDIF($H154,TODAY(),"Y"))</f>
        <v/>
      </c>
      <c r="J154" s="28"/>
      <c r="K154" s="27"/>
      <c r="L154" s="27"/>
      <c r="M154" s="27"/>
      <c r="N154" s="28"/>
      <c r="O154" s="27"/>
      <c r="P154" s="29"/>
      <c r="Q154" s="28"/>
      <c r="R154" s="27"/>
      <c r="S154" s="29"/>
      <c r="T154" s="29"/>
      <c r="U154" s="30" t="str">
        <f aca="true">IF($P154="","",TODAY()-$P154)</f>
        <v/>
      </c>
      <c r="V154" s="31" t="str">
        <f aca="false">IF($A154="","",IF(COUNTIF(Consultation!$B$4:$B$1003,$A154)&gt;0,"Yes","No"))</f>
        <v/>
      </c>
      <c r="W154" s="31" t="str">
        <f aca="false">IF($A154="","",IF(COUNTIF(Customers!$B$4:$B$1003,$A154)&gt;0,"Yes","No"))</f>
        <v/>
      </c>
      <c r="X154" s="32"/>
    </row>
    <row r="155" customFormat="false" ht="15.75" hidden="false" customHeight="true" outlineLevel="0" collapsed="false">
      <c r="A155" s="27"/>
      <c r="B155" s="28"/>
      <c r="C155" s="28"/>
      <c r="D155" s="28"/>
      <c r="E155" s="28"/>
      <c r="F155" s="28"/>
      <c r="G155" s="27"/>
      <c r="H155" s="29"/>
      <c r="I155" s="30" t="str">
        <f aca="true">IF($H155="","",DATEDIF($H155,TODAY(),"Y"))</f>
        <v/>
      </c>
      <c r="J155" s="28"/>
      <c r="K155" s="27"/>
      <c r="L155" s="27"/>
      <c r="M155" s="27"/>
      <c r="N155" s="28"/>
      <c r="O155" s="27"/>
      <c r="P155" s="29"/>
      <c r="Q155" s="28"/>
      <c r="R155" s="27"/>
      <c r="S155" s="29"/>
      <c r="T155" s="29"/>
      <c r="U155" s="30" t="str">
        <f aca="true">IF($P155="","",TODAY()-$P155)</f>
        <v/>
      </c>
      <c r="V155" s="31" t="str">
        <f aca="false">IF($A155="","",IF(COUNTIF(Consultation!$B$4:$B$1003,$A155)&gt;0,"Yes","No"))</f>
        <v/>
      </c>
      <c r="W155" s="31" t="str">
        <f aca="false">IF($A155="","",IF(COUNTIF(Customers!$B$4:$B$1003,$A155)&gt;0,"Yes","No"))</f>
        <v/>
      </c>
      <c r="X155" s="32"/>
    </row>
    <row r="156" customFormat="false" ht="15.75" hidden="false" customHeight="true" outlineLevel="0" collapsed="false">
      <c r="A156" s="27"/>
      <c r="B156" s="28"/>
      <c r="C156" s="28"/>
      <c r="D156" s="28"/>
      <c r="E156" s="28"/>
      <c r="F156" s="28"/>
      <c r="G156" s="27"/>
      <c r="H156" s="29"/>
      <c r="I156" s="30" t="str">
        <f aca="true">IF($H156="","",DATEDIF($H156,TODAY(),"Y"))</f>
        <v/>
      </c>
      <c r="J156" s="28"/>
      <c r="K156" s="27"/>
      <c r="L156" s="27"/>
      <c r="M156" s="27"/>
      <c r="N156" s="28"/>
      <c r="O156" s="27"/>
      <c r="P156" s="29"/>
      <c r="Q156" s="28"/>
      <c r="R156" s="27"/>
      <c r="S156" s="29"/>
      <c r="T156" s="29"/>
      <c r="U156" s="30" t="str">
        <f aca="true">IF($P156="","",TODAY()-$P156)</f>
        <v/>
      </c>
      <c r="V156" s="31" t="str">
        <f aca="false">IF($A156="","",IF(COUNTIF(Consultation!$B$4:$B$1003,$A156)&gt;0,"Yes","No"))</f>
        <v/>
      </c>
      <c r="W156" s="31" t="str">
        <f aca="false">IF($A156="","",IF(COUNTIF(Customers!$B$4:$B$1003,$A156)&gt;0,"Yes","No"))</f>
        <v/>
      </c>
      <c r="X156" s="32"/>
    </row>
    <row r="157" customFormat="false" ht="15.75" hidden="false" customHeight="true" outlineLevel="0" collapsed="false">
      <c r="A157" s="27"/>
      <c r="B157" s="28"/>
      <c r="C157" s="28"/>
      <c r="D157" s="28"/>
      <c r="E157" s="28"/>
      <c r="F157" s="28"/>
      <c r="G157" s="27"/>
      <c r="H157" s="29"/>
      <c r="I157" s="30" t="str">
        <f aca="true">IF($H157="","",DATEDIF($H157,TODAY(),"Y"))</f>
        <v/>
      </c>
      <c r="J157" s="28"/>
      <c r="K157" s="27"/>
      <c r="L157" s="27"/>
      <c r="M157" s="27"/>
      <c r="N157" s="28"/>
      <c r="O157" s="27"/>
      <c r="P157" s="29"/>
      <c r="Q157" s="28"/>
      <c r="R157" s="27"/>
      <c r="S157" s="29"/>
      <c r="T157" s="29"/>
      <c r="U157" s="30" t="str">
        <f aca="true">IF($P157="","",TODAY()-$P157)</f>
        <v/>
      </c>
      <c r="V157" s="31" t="str">
        <f aca="false">IF($A157="","",IF(COUNTIF(Consultation!$B$4:$B$1003,$A157)&gt;0,"Yes","No"))</f>
        <v/>
      </c>
      <c r="W157" s="31" t="str">
        <f aca="false">IF($A157="","",IF(COUNTIF(Customers!$B$4:$B$1003,$A157)&gt;0,"Yes","No"))</f>
        <v/>
      </c>
      <c r="X157" s="32"/>
    </row>
    <row r="158" customFormat="false" ht="15.75" hidden="false" customHeight="true" outlineLevel="0" collapsed="false">
      <c r="A158" s="27"/>
      <c r="B158" s="28"/>
      <c r="C158" s="28"/>
      <c r="D158" s="28"/>
      <c r="E158" s="28"/>
      <c r="F158" s="28"/>
      <c r="G158" s="27"/>
      <c r="H158" s="29"/>
      <c r="I158" s="30" t="str">
        <f aca="true">IF($H158="","",DATEDIF($H158,TODAY(),"Y"))</f>
        <v/>
      </c>
      <c r="J158" s="28"/>
      <c r="K158" s="27"/>
      <c r="L158" s="27"/>
      <c r="M158" s="27"/>
      <c r="N158" s="28"/>
      <c r="O158" s="27"/>
      <c r="P158" s="29"/>
      <c r="Q158" s="28"/>
      <c r="R158" s="27"/>
      <c r="S158" s="29"/>
      <c r="T158" s="29"/>
      <c r="U158" s="30" t="str">
        <f aca="true">IF($P158="","",TODAY()-$P158)</f>
        <v/>
      </c>
      <c r="V158" s="31" t="str">
        <f aca="false">IF($A158="","",IF(COUNTIF(Consultation!$B$4:$B$1003,$A158)&gt;0,"Yes","No"))</f>
        <v/>
      </c>
      <c r="W158" s="31" t="str">
        <f aca="false">IF($A158="","",IF(COUNTIF(Customers!$B$4:$B$1003,$A158)&gt;0,"Yes","No"))</f>
        <v/>
      </c>
      <c r="X158" s="32"/>
    </row>
    <row r="159" customFormat="false" ht="15.75" hidden="false" customHeight="true" outlineLevel="0" collapsed="false">
      <c r="A159" s="27"/>
      <c r="B159" s="28"/>
      <c r="C159" s="28"/>
      <c r="D159" s="28"/>
      <c r="E159" s="28"/>
      <c r="F159" s="28"/>
      <c r="G159" s="27"/>
      <c r="H159" s="29"/>
      <c r="I159" s="30" t="str">
        <f aca="true">IF($H159="","",DATEDIF($H159,TODAY(),"Y"))</f>
        <v/>
      </c>
      <c r="J159" s="28"/>
      <c r="K159" s="27"/>
      <c r="L159" s="27"/>
      <c r="M159" s="27"/>
      <c r="N159" s="28"/>
      <c r="O159" s="27"/>
      <c r="P159" s="29"/>
      <c r="Q159" s="28"/>
      <c r="R159" s="27"/>
      <c r="S159" s="29"/>
      <c r="T159" s="29"/>
      <c r="U159" s="30" t="str">
        <f aca="true">IF($P159="","",TODAY()-$P159)</f>
        <v/>
      </c>
      <c r="V159" s="31" t="str">
        <f aca="false">IF($A159="","",IF(COUNTIF(Consultation!$B$4:$B$1003,$A159)&gt;0,"Yes","No"))</f>
        <v/>
      </c>
      <c r="W159" s="31" t="str">
        <f aca="false">IF($A159="","",IF(COUNTIF(Customers!$B$4:$B$1003,$A159)&gt;0,"Yes","No"))</f>
        <v/>
      </c>
      <c r="X159" s="32"/>
    </row>
    <row r="160" customFormat="false" ht="15.75" hidden="false" customHeight="true" outlineLevel="0" collapsed="false">
      <c r="A160" s="27"/>
      <c r="B160" s="28"/>
      <c r="C160" s="28"/>
      <c r="D160" s="28"/>
      <c r="E160" s="28"/>
      <c r="F160" s="28"/>
      <c r="G160" s="27"/>
      <c r="H160" s="29"/>
      <c r="I160" s="30" t="str">
        <f aca="true">IF($H160="","",DATEDIF($H160,TODAY(),"Y"))</f>
        <v/>
      </c>
      <c r="J160" s="28"/>
      <c r="K160" s="27"/>
      <c r="L160" s="27"/>
      <c r="M160" s="27"/>
      <c r="N160" s="28"/>
      <c r="O160" s="27"/>
      <c r="P160" s="29"/>
      <c r="Q160" s="28"/>
      <c r="R160" s="27"/>
      <c r="S160" s="29"/>
      <c r="T160" s="29"/>
      <c r="U160" s="30" t="str">
        <f aca="true">IF($P160="","",TODAY()-$P160)</f>
        <v/>
      </c>
      <c r="V160" s="31" t="str">
        <f aca="false">IF($A160="","",IF(COUNTIF(Consultation!$B$4:$B$1003,$A160)&gt;0,"Yes","No"))</f>
        <v/>
      </c>
      <c r="W160" s="31" t="str">
        <f aca="false">IF($A160="","",IF(COUNTIF(Customers!$B$4:$B$1003,$A160)&gt;0,"Yes","No"))</f>
        <v/>
      </c>
      <c r="X160" s="32"/>
    </row>
    <row r="161" customFormat="false" ht="15.75" hidden="false" customHeight="true" outlineLevel="0" collapsed="false">
      <c r="A161" s="27"/>
      <c r="B161" s="28"/>
      <c r="C161" s="28"/>
      <c r="D161" s="28"/>
      <c r="E161" s="28"/>
      <c r="F161" s="28"/>
      <c r="G161" s="27"/>
      <c r="H161" s="29"/>
      <c r="I161" s="30" t="str">
        <f aca="true">IF($H161="","",DATEDIF($H161,TODAY(),"Y"))</f>
        <v/>
      </c>
      <c r="J161" s="28"/>
      <c r="K161" s="27"/>
      <c r="L161" s="27"/>
      <c r="M161" s="27"/>
      <c r="N161" s="28"/>
      <c r="O161" s="27"/>
      <c r="P161" s="29"/>
      <c r="Q161" s="28"/>
      <c r="R161" s="27"/>
      <c r="S161" s="29"/>
      <c r="T161" s="29"/>
      <c r="U161" s="30" t="str">
        <f aca="true">IF($P161="","",TODAY()-$P161)</f>
        <v/>
      </c>
      <c r="V161" s="31" t="str">
        <f aca="false">IF($A161="","",IF(COUNTIF(Consultation!$B$4:$B$1003,$A161)&gt;0,"Yes","No"))</f>
        <v/>
      </c>
      <c r="W161" s="31" t="str">
        <f aca="false">IF($A161="","",IF(COUNTIF(Customers!$B$4:$B$1003,$A161)&gt;0,"Yes","No"))</f>
        <v/>
      </c>
      <c r="X161" s="32"/>
    </row>
    <row r="162" customFormat="false" ht="15.75" hidden="false" customHeight="true" outlineLevel="0" collapsed="false">
      <c r="A162" s="27"/>
      <c r="B162" s="28"/>
      <c r="C162" s="28"/>
      <c r="D162" s="28"/>
      <c r="E162" s="28"/>
      <c r="F162" s="28"/>
      <c r="G162" s="27"/>
      <c r="H162" s="29"/>
      <c r="I162" s="30" t="str">
        <f aca="true">IF($H162="","",DATEDIF($H162,TODAY(),"Y"))</f>
        <v/>
      </c>
      <c r="J162" s="28"/>
      <c r="K162" s="27"/>
      <c r="L162" s="27"/>
      <c r="M162" s="27"/>
      <c r="N162" s="28"/>
      <c r="O162" s="27"/>
      <c r="P162" s="29"/>
      <c r="Q162" s="28"/>
      <c r="R162" s="27"/>
      <c r="S162" s="29"/>
      <c r="T162" s="29"/>
      <c r="U162" s="30" t="str">
        <f aca="true">IF($P162="","",TODAY()-$P162)</f>
        <v/>
      </c>
      <c r="V162" s="31" t="str">
        <f aca="false">IF($A162="","",IF(COUNTIF(Consultation!$B$4:$B$1003,$A162)&gt;0,"Yes","No"))</f>
        <v/>
      </c>
      <c r="W162" s="31" t="str">
        <f aca="false">IF($A162="","",IF(COUNTIF(Customers!$B$4:$B$1003,$A162)&gt;0,"Yes","No"))</f>
        <v/>
      </c>
      <c r="X162" s="32"/>
    </row>
    <row r="163" customFormat="false" ht="15.75" hidden="false" customHeight="true" outlineLevel="0" collapsed="false">
      <c r="A163" s="27"/>
      <c r="B163" s="28"/>
      <c r="C163" s="28"/>
      <c r="D163" s="28"/>
      <c r="E163" s="28"/>
      <c r="F163" s="28"/>
      <c r="G163" s="27"/>
      <c r="H163" s="29"/>
      <c r="I163" s="30" t="str">
        <f aca="true">IF($H163="","",DATEDIF($H163,TODAY(),"Y"))</f>
        <v/>
      </c>
      <c r="J163" s="28"/>
      <c r="K163" s="27"/>
      <c r="L163" s="27"/>
      <c r="M163" s="27"/>
      <c r="N163" s="28"/>
      <c r="O163" s="27"/>
      <c r="P163" s="29"/>
      <c r="Q163" s="28"/>
      <c r="R163" s="27"/>
      <c r="S163" s="29"/>
      <c r="T163" s="29"/>
      <c r="U163" s="30" t="str">
        <f aca="true">IF($P163="","",TODAY()-$P163)</f>
        <v/>
      </c>
      <c r="V163" s="31" t="str">
        <f aca="false">IF($A163="","",IF(COUNTIF(Consultation!$B$4:$B$1003,$A163)&gt;0,"Yes","No"))</f>
        <v/>
      </c>
      <c r="W163" s="31" t="str">
        <f aca="false">IF($A163="","",IF(COUNTIF(Customers!$B$4:$B$1003,$A163)&gt;0,"Yes","No"))</f>
        <v/>
      </c>
      <c r="X163" s="32"/>
    </row>
    <row r="164" customFormat="false" ht="15.75" hidden="false" customHeight="true" outlineLevel="0" collapsed="false">
      <c r="A164" s="27"/>
      <c r="B164" s="28"/>
      <c r="C164" s="28"/>
      <c r="D164" s="28"/>
      <c r="E164" s="28"/>
      <c r="F164" s="28"/>
      <c r="G164" s="27"/>
      <c r="H164" s="29"/>
      <c r="I164" s="30" t="str">
        <f aca="true">IF($H164="","",DATEDIF($H164,TODAY(),"Y"))</f>
        <v/>
      </c>
      <c r="J164" s="28"/>
      <c r="K164" s="27"/>
      <c r="L164" s="27"/>
      <c r="M164" s="27"/>
      <c r="N164" s="28"/>
      <c r="O164" s="27"/>
      <c r="P164" s="29"/>
      <c r="Q164" s="28"/>
      <c r="R164" s="27"/>
      <c r="S164" s="29"/>
      <c r="T164" s="29"/>
      <c r="U164" s="30" t="str">
        <f aca="true">IF($P164="","",TODAY()-$P164)</f>
        <v/>
      </c>
      <c r="V164" s="31" t="str">
        <f aca="false">IF($A164="","",IF(COUNTIF(Consultation!$B$4:$B$1003,$A164)&gt;0,"Yes","No"))</f>
        <v/>
      </c>
      <c r="W164" s="31" t="str">
        <f aca="false">IF($A164="","",IF(COUNTIF(Customers!$B$4:$B$1003,$A164)&gt;0,"Yes","No"))</f>
        <v/>
      </c>
      <c r="X164" s="32"/>
    </row>
    <row r="165" customFormat="false" ht="15.75" hidden="false" customHeight="true" outlineLevel="0" collapsed="false">
      <c r="A165" s="27"/>
      <c r="B165" s="28"/>
      <c r="C165" s="28"/>
      <c r="D165" s="28"/>
      <c r="E165" s="28"/>
      <c r="F165" s="28"/>
      <c r="G165" s="27"/>
      <c r="H165" s="29"/>
      <c r="I165" s="30" t="str">
        <f aca="true">IF($H165="","",DATEDIF($H165,TODAY(),"Y"))</f>
        <v/>
      </c>
      <c r="J165" s="28"/>
      <c r="K165" s="27"/>
      <c r="L165" s="27"/>
      <c r="M165" s="27"/>
      <c r="N165" s="28"/>
      <c r="O165" s="27"/>
      <c r="P165" s="29"/>
      <c r="Q165" s="28"/>
      <c r="R165" s="27"/>
      <c r="S165" s="29"/>
      <c r="T165" s="29"/>
      <c r="U165" s="30" t="str">
        <f aca="true">IF($P165="","",TODAY()-$P165)</f>
        <v/>
      </c>
      <c r="V165" s="31" t="str">
        <f aca="false">IF($A165="","",IF(COUNTIF(Consultation!$B$4:$B$1003,$A165)&gt;0,"Yes","No"))</f>
        <v/>
      </c>
      <c r="W165" s="31" t="str">
        <f aca="false">IF($A165="","",IF(COUNTIF(Customers!$B$4:$B$1003,$A165)&gt;0,"Yes","No"))</f>
        <v/>
      </c>
      <c r="X165" s="32"/>
    </row>
    <row r="166" customFormat="false" ht="15.75" hidden="false" customHeight="true" outlineLevel="0" collapsed="false">
      <c r="A166" s="27"/>
      <c r="B166" s="28"/>
      <c r="C166" s="28"/>
      <c r="D166" s="28"/>
      <c r="E166" s="28"/>
      <c r="F166" s="28"/>
      <c r="G166" s="27"/>
      <c r="H166" s="29"/>
      <c r="I166" s="30" t="str">
        <f aca="true">IF($H166="","",DATEDIF($H166,TODAY(),"Y"))</f>
        <v/>
      </c>
      <c r="J166" s="28"/>
      <c r="K166" s="27"/>
      <c r="L166" s="27"/>
      <c r="M166" s="27"/>
      <c r="N166" s="28"/>
      <c r="O166" s="27"/>
      <c r="P166" s="29"/>
      <c r="Q166" s="28"/>
      <c r="R166" s="27"/>
      <c r="S166" s="29"/>
      <c r="T166" s="29"/>
      <c r="U166" s="30" t="str">
        <f aca="true">IF($P166="","",TODAY()-$P166)</f>
        <v/>
      </c>
      <c r="V166" s="31" t="str">
        <f aca="false">IF($A166="","",IF(COUNTIF(Consultation!$B$4:$B$1003,$A166)&gt;0,"Yes","No"))</f>
        <v/>
      </c>
      <c r="W166" s="31" t="str">
        <f aca="false">IF($A166="","",IF(COUNTIF(Customers!$B$4:$B$1003,$A166)&gt;0,"Yes","No"))</f>
        <v/>
      </c>
      <c r="X166" s="32"/>
    </row>
    <row r="167" customFormat="false" ht="15.75" hidden="false" customHeight="true" outlineLevel="0" collapsed="false">
      <c r="A167" s="27"/>
      <c r="B167" s="28"/>
      <c r="C167" s="28"/>
      <c r="D167" s="28"/>
      <c r="E167" s="28"/>
      <c r="F167" s="28"/>
      <c r="G167" s="27"/>
      <c r="H167" s="29"/>
      <c r="I167" s="30" t="str">
        <f aca="true">IF($H167="","",DATEDIF($H167,TODAY(),"Y"))</f>
        <v/>
      </c>
      <c r="J167" s="28"/>
      <c r="K167" s="27"/>
      <c r="L167" s="27"/>
      <c r="M167" s="27"/>
      <c r="N167" s="28"/>
      <c r="O167" s="27"/>
      <c r="P167" s="29"/>
      <c r="Q167" s="28"/>
      <c r="R167" s="27"/>
      <c r="S167" s="29"/>
      <c r="T167" s="29"/>
      <c r="U167" s="30" t="str">
        <f aca="true">IF($P167="","",TODAY()-$P167)</f>
        <v/>
      </c>
      <c r="V167" s="31" t="str">
        <f aca="false">IF($A167="","",IF(COUNTIF(Consultation!$B$4:$B$1003,$A167)&gt;0,"Yes","No"))</f>
        <v/>
      </c>
      <c r="W167" s="31" t="str">
        <f aca="false">IF($A167="","",IF(COUNTIF(Customers!$B$4:$B$1003,$A167)&gt;0,"Yes","No"))</f>
        <v/>
      </c>
      <c r="X167" s="32"/>
    </row>
    <row r="168" customFormat="false" ht="15.75" hidden="false" customHeight="true" outlineLevel="0" collapsed="false">
      <c r="A168" s="27"/>
      <c r="B168" s="28"/>
      <c r="C168" s="28"/>
      <c r="D168" s="28"/>
      <c r="E168" s="28"/>
      <c r="F168" s="28"/>
      <c r="G168" s="27"/>
      <c r="H168" s="29"/>
      <c r="I168" s="30" t="str">
        <f aca="true">IF($H168="","",DATEDIF($H168,TODAY(),"Y"))</f>
        <v/>
      </c>
      <c r="J168" s="28"/>
      <c r="K168" s="27"/>
      <c r="L168" s="27"/>
      <c r="M168" s="27"/>
      <c r="N168" s="28"/>
      <c r="O168" s="27"/>
      <c r="P168" s="29"/>
      <c r="Q168" s="28"/>
      <c r="R168" s="27"/>
      <c r="S168" s="29"/>
      <c r="T168" s="29"/>
      <c r="U168" s="30" t="str">
        <f aca="true">IF($P168="","",TODAY()-$P168)</f>
        <v/>
      </c>
      <c r="V168" s="31" t="str">
        <f aca="false">IF($A168="","",IF(COUNTIF(Consultation!$B$4:$B$1003,$A168)&gt;0,"Yes","No"))</f>
        <v/>
      </c>
      <c r="W168" s="31" t="str">
        <f aca="false">IF($A168="","",IF(COUNTIF(Customers!$B$4:$B$1003,$A168)&gt;0,"Yes","No"))</f>
        <v/>
      </c>
      <c r="X168" s="32"/>
    </row>
    <row r="169" customFormat="false" ht="15.75" hidden="false" customHeight="true" outlineLevel="0" collapsed="false">
      <c r="A169" s="27"/>
      <c r="B169" s="28"/>
      <c r="C169" s="28"/>
      <c r="D169" s="28"/>
      <c r="E169" s="28"/>
      <c r="F169" s="28"/>
      <c r="G169" s="27"/>
      <c r="H169" s="29"/>
      <c r="I169" s="30" t="str">
        <f aca="true">IF($H169="","",DATEDIF($H169,TODAY(),"Y"))</f>
        <v/>
      </c>
      <c r="J169" s="28"/>
      <c r="K169" s="27"/>
      <c r="L169" s="27"/>
      <c r="M169" s="27"/>
      <c r="N169" s="28"/>
      <c r="O169" s="27"/>
      <c r="P169" s="29"/>
      <c r="Q169" s="28"/>
      <c r="R169" s="27"/>
      <c r="S169" s="29"/>
      <c r="T169" s="29"/>
      <c r="U169" s="30" t="str">
        <f aca="true">IF($P169="","",TODAY()-$P169)</f>
        <v/>
      </c>
      <c r="V169" s="31" t="str">
        <f aca="false">IF($A169="","",IF(COUNTIF(Consultation!$B$4:$B$1003,$A169)&gt;0,"Yes","No"))</f>
        <v/>
      </c>
      <c r="W169" s="31" t="str">
        <f aca="false">IF($A169="","",IF(COUNTIF(Customers!$B$4:$B$1003,$A169)&gt;0,"Yes","No"))</f>
        <v/>
      </c>
      <c r="X169" s="32"/>
    </row>
    <row r="170" customFormat="false" ht="15.75" hidden="false" customHeight="true" outlineLevel="0" collapsed="false">
      <c r="A170" s="27"/>
      <c r="B170" s="28"/>
      <c r="C170" s="28"/>
      <c r="D170" s="28"/>
      <c r="E170" s="28"/>
      <c r="F170" s="28"/>
      <c r="G170" s="27"/>
      <c r="H170" s="29"/>
      <c r="I170" s="30" t="str">
        <f aca="true">IF($H170="","",DATEDIF($H170,TODAY(),"Y"))</f>
        <v/>
      </c>
      <c r="J170" s="28"/>
      <c r="K170" s="27"/>
      <c r="L170" s="27"/>
      <c r="M170" s="27"/>
      <c r="N170" s="28"/>
      <c r="O170" s="27"/>
      <c r="P170" s="29"/>
      <c r="Q170" s="28"/>
      <c r="R170" s="27"/>
      <c r="S170" s="29"/>
      <c r="T170" s="29"/>
      <c r="U170" s="30" t="str">
        <f aca="true">IF($P170="","",TODAY()-$P170)</f>
        <v/>
      </c>
      <c r="V170" s="31" t="str">
        <f aca="false">IF($A170="","",IF(COUNTIF(Consultation!$B$4:$B$1003,$A170)&gt;0,"Yes","No"))</f>
        <v/>
      </c>
      <c r="W170" s="31" t="str">
        <f aca="false">IF($A170="","",IF(COUNTIF(Customers!$B$4:$B$1003,$A170)&gt;0,"Yes","No"))</f>
        <v/>
      </c>
      <c r="X170" s="32"/>
    </row>
    <row r="171" customFormat="false" ht="15.75" hidden="false" customHeight="true" outlineLevel="0" collapsed="false">
      <c r="A171" s="27"/>
      <c r="B171" s="28"/>
      <c r="C171" s="28"/>
      <c r="D171" s="28"/>
      <c r="E171" s="28"/>
      <c r="F171" s="28"/>
      <c r="G171" s="27"/>
      <c r="H171" s="29"/>
      <c r="I171" s="30" t="str">
        <f aca="true">IF($H171="","",DATEDIF($H171,TODAY(),"Y"))</f>
        <v/>
      </c>
      <c r="J171" s="28"/>
      <c r="K171" s="27"/>
      <c r="L171" s="27"/>
      <c r="M171" s="27"/>
      <c r="N171" s="28"/>
      <c r="O171" s="27"/>
      <c r="P171" s="29"/>
      <c r="Q171" s="28"/>
      <c r="R171" s="27"/>
      <c r="S171" s="29"/>
      <c r="T171" s="29"/>
      <c r="U171" s="30" t="str">
        <f aca="true">IF($P171="","",TODAY()-$P171)</f>
        <v/>
      </c>
      <c r="V171" s="31" t="str">
        <f aca="false">IF($A171="","",IF(COUNTIF(Consultation!$B$4:$B$1003,$A171)&gt;0,"Yes","No"))</f>
        <v/>
      </c>
      <c r="W171" s="31" t="str">
        <f aca="false">IF($A171="","",IF(COUNTIF(Customers!$B$4:$B$1003,$A171)&gt;0,"Yes","No"))</f>
        <v/>
      </c>
      <c r="X171" s="32"/>
    </row>
    <row r="172" customFormat="false" ht="15.75" hidden="false" customHeight="true" outlineLevel="0" collapsed="false">
      <c r="A172" s="27"/>
      <c r="B172" s="28"/>
      <c r="C172" s="28"/>
      <c r="D172" s="28"/>
      <c r="E172" s="28"/>
      <c r="F172" s="28"/>
      <c r="G172" s="27"/>
      <c r="H172" s="29"/>
      <c r="I172" s="30" t="str">
        <f aca="true">IF($H172="","",DATEDIF($H172,TODAY(),"Y"))</f>
        <v/>
      </c>
      <c r="J172" s="28"/>
      <c r="K172" s="27"/>
      <c r="L172" s="27"/>
      <c r="M172" s="27"/>
      <c r="N172" s="28"/>
      <c r="O172" s="27"/>
      <c r="P172" s="29"/>
      <c r="Q172" s="28"/>
      <c r="R172" s="27"/>
      <c r="S172" s="29"/>
      <c r="T172" s="29"/>
      <c r="U172" s="30" t="str">
        <f aca="true">IF($P172="","",TODAY()-$P172)</f>
        <v/>
      </c>
      <c r="V172" s="31" t="str">
        <f aca="false">IF($A172="","",IF(COUNTIF(Consultation!$B$4:$B$1003,$A172)&gt;0,"Yes","No"))</f>
        <v/>
      </c>
      <c r="W172" s="31" t="str">
        <f aca="false">IF($A172="","",IF(COUNTIF(Customers!$B$4:$B$1003,$A172)&gt;0,"Yes","No"))</f>
        <v/>
      </c>
      <c r="X172" s="32"/>
    </row>
    <row r="173" customFormat="false" ht="15.75" hidden="false" customHeight="true" outlineLevel="0" collapsed="false">
      <c r="A173" s="27"/>
      <c r="B173" s="28"/>
      <c r="C173" s="28"/>
      <c r="D173" s="28"/>
      <c r="E173" s="28"/>
      <c r="F173" s="28"/>
      <c r="G173" s="27"/>
      <c r="H173" s="29"/>
      <c r="I173" s="30" t="str">
        <f aca="true">IF($H173="","",DATEDIF($H173,TODAY(),"Y"))</f>
        <v/>
      </c>
      <c r="J173" s="28"/>
      <c r="K173" s="27"/>
      <c r="L173" s="27"/>
      <c r="M173" s="27"/>
      <c r="N173" s="28"/>
      <c r="O173" s="27"/>
      <c r="P173" s="29"/>
      <c r="Q173" s="28"/>
      <c r="R173" s="27"/>
      <c r="S173" s="29"/>
      <c r="T173" s="29"/>
      <c r="U173" s="30" t="str">
        <f aca="true">IF($P173="","",TODAY()-$P173)</f>
        <v/>
      </c>
      <c r="V173" s="31" t="str">
        <f aca="false">IF($A173="","",IF(COUNTIF(Consultation!$B$4:$B$1003,$A173)&gt;0,"Yes","No"))</f>
        <v/>
      </c>
      <c r="W173" s="31" t="str">
        <f aca="false">IF($A173="","",IF(COUNTIF(Customers!$B$4:$B$1003,$A173)&gt;0,"Yes","No"))</f>
        <v/>
      </c>
      <c r="X173" s="32"/>
    </row>
    <row r="174" customFormat="false" ht="15.75" hidden="false" customHeight="true" outlineLevel="0" collapsed="false">
      <c r="A174" s="27"/>
      <c r="B174" s="28"/>
      <c r="C174" s="28"/>
      <c r="D174" s="28"/>
      <c r="E174" s="28"/>
      <c r="F174" s="28"/>
      <c r="G174" s="27"/>
      <c r="H174" s="29"/>
      <c r="I174" s="30" t="str">
        <f aca="true">IF($H174="","",DATEDIF($H174,TODAY(),"Y"))</f>
        <v/>
      </c>
      <c r="J174" s="28"/>
      <c r="K174" s="27"/>
      <c r="L174" s="27"/>
      <c r="M174" s="27"/>
      <c r="N174" s="28"/>
      <c r="O174" s="27"/>
      <c r="P174" s="29"/>
      <c r="Q174" s="28"/>
      <c r="R174" s="27"/>
      <c r="S174" s="29"/>
      <c r="T174" s="29"/>
      <c r="U174" s="30" t="str">
        <f aca="true">IF($P174="","",TODAY()-$P174)</f>
        <v/>
      </c>
      <c r="V174" s="31" t="str">
        <f aca="false">IF($A174="","",IF(COUNTIF(Consultation!$B$4:$B$1003,$A174)&gt;0,"Yes","No"))</f>
        <v/>
      </c>
      <c r="W174" s="31" t="str">
        <f aca="false">IF($A174="","",IF(COUNTIF(Customers!$B$4:$B$1003,$A174)&gt;0,"Yes","No"))</f>
        <v/>
      </c>
      <c r="X174" s="32"/>
    </row>
    <row r="175" customFormat="false" ht="15.75" hidden="false" customHeight="true" outlineLevel="0" collapsed="false">
      <c r="A175" s="27"/>
      <c r="B175" s="28"/>
      <c r="C175" s="28"/>
      <c r="D175" s="28"/>
      <c r="E175" s="28"/>
      <c r="F175" s="28"/>
      <c r="G175" s="27"/>
      <c r="H175" s="29"/>
      <c r="I175" s="30" t="str">
        <f aca="true">IF($H175="","",DATEDIF($H175,TODAY(),"Y"))</f>
        <v/>
      </c>
      <c r="J175" s="28"/>
      <c r="K175" s="27"/>
      <c r="L175" s="27"/>
      <c r="M175" s="27"/>
      <c r="N175" s="28"/>
      <c r="O175" s="27"/>
      <c r="P175" s="29"/>
      <c r="Q175" s="28"/>
      <c r="R175" s="27"/>
      <c r="S175" s="29"/>
      <c r="T175" s="29"/>
      <c r="U175" s="30" t="str">
        <f aca="true">IF($P175="","",TODAY()-$P175)</f>
        <v/>
      </c>
      <c r="V175" s="31" t="str">
        <f aca="false">IF($A175="","",IF(COUNTIF(Consultation!$B$4:$B$1003,$A175)&gt;0,"Yes","No"))</f>
        <v/>
      </c>
      <c r="W175" s="31" t="str">
        <f aca="false">IF($A175="","",IF(COUNTIF(Customers!$B$4:$B$1003,$A175)&gt;0,"Yes","No"))</f>
        <v/>
      </c>
      <c r="X175" s="32"/>
    </row>
    <row r="176" customFormat="false" ht="15.75" hidden="false" customHeight="true" outlineLevel="0" collapsed="false">
      <c r="A176" s="27"/>
      <c r="B176" s="28"/>
      <c r="C176" s="28"/>
      <c r="D176" s="28"/>
      <c r="E176" s="28"/>
      <c r="F176" s="28"/>
      <c r="G176" s="27"/>
      <c r="H176" s="29"/>
      <c r="I176" s="30" t="str">
        <f aca="true">IF($H176="","",DATEDIF($H176,TODAY(),"Y"))</f>
        <v/>
      </c>
      <c r="J176" s="28"/>
      <c r="K176" s="27"/>
      <c r="L176" s="27"/>
      <c r="M176" s="27"/>
      <c r="N176" s="28"/>
      <c r="O176" s="27"/>
      <c r="P176" s="29"/>
      <c r="Q176" s="28"/>
      <c r="R176" s="27"/>
      <c r="S176" s="29"/>
      <c r="T176" s="29"/>
      <c r="U176" s="30" t="str">
        <f aca="true">IF($P176="","",TODAY()-$P176)</f>
        <v/>
      </c>
      <c r="V176" s="31" t="str">
        <f aca="false">IF($A176="","",IF(COUNTIF(Consultation!$B$4:$B$1003,$A176)&gt;0,"Yes","No"))</f>
        <v/>
      </c>
      <c r="W176" s="31" t="str">
        <f aca="false">IF($A176="","",IF(COUNTIF(Customers!$B$4:$B$1003,$A176)&gt;0,"Yes","No"))</f>
        <v/>
      </c>
      <c r="X176" s="32"/>
    </row>
    <row r="177" customFormat="false" ht="15.75" hidden="false" customHeight="true" outlineLevel="0" collapsed="false">
      <c r="A177" s="27"/>
      <c r="B177" s="28"/>
      <c r="C177" s="28"/>
      <c r="D177" s="28"/>
      <c r="E177" s="28"/>
      <c r="F177" s="28"/>
      <c r="G177" s="27"/>
      <c r="H177" s="29"/>
      <c r="I177" s="30" t="str">
        <f aca="true">IF($H177="","",DATEDIF($H177,TODAY(),"Y"))</f>
        <v/>
      </c>
      <c r="J177" s="28"/>
      <c r="K177" s="27"/>
      <c r="L177" s="27"/>
      <c r="M177" s="27"/>
      <c r="N177" s="28"/>
      <c r="O177" s="27"/>
      <c r="P177" s="29"/>
      <c r="Q177" s="28"/>
      <c r="R177" s="27"/>
      <c r="S177" s="29"/>
      <c r="T177" s="29"/>
      <c r="U177" s="30" t="str">
        <f aca="true">IF($P177="","",TODAY()-$P177)</f>
        <v/>
      </c>
      <c r="V177" s="31" t="str">
        <f aca="false">IF($A177="","",IF(COUNTIF(Consultation!$B$4:$B$1003,$A177)&gt;0,"Yes","No"))</f>
        <v/>
      </c>
      <c r="W177" s="31" t="str">
        <f aca="false">IF($A177="","",IF(COUNTIF(Customers!$B$4:$B$1003,$A177)&gt;0,"Yes","No"))</f>
        <v/>
      </c>
      <c r="X177" s="32"/>
    </row>
    <row r="178" customFormat="false" ht="15.75" hidden="false" customHeight="true" outlineLevel="0" collapsed="false">
      <c r="A178" s="27"/>
      <c r="B178" s="28"/>
      <c r="C178" s="28"/>
      <c r="D178" s="28"/>
      <c r="E178" s="28"/>
      <c r="F178" s="28"/>
      <c r="G178" s="27"/>
      <c r="H178" s="29"/>
      <c r="I178" s="30" t="str">
        <f aca="true">IF($H178="","",DATEDIF($H178,TODAY(),"Y"))</f>
        <v/>
      </c>
      <c r="J178" s="28"/>
      <c r="K178" s="27"/>
      <c r="L178" s="27"/>
      <c r="M178" s="27"/>
      <c r="N178" s="28"/>
      <c r="O178" s="27"/>
      <c r="P178" s="29"/>
      <c r="Q178" s="28"/>
      <c r="R178" s="27"/>
      <c r="S178" s="29"/>
      <c r="T178" s="29"/>
      <c r="U178" s="30" t="str">
        <f aca="true">IF($P178="","",TODAY()-$P178)</f>
        <v/>
      </c>
      <c r="V178" s="31" t="str">
        <f aca="false">IF($A178="","",IF(COUNTIF(Consultation!$B$4:$B$1003,$A178)&gt;0,"Yes","No"))</f>
        <v/>
      </c>
      <c r="W178" s="31" t="str">
        <f aca="false">IF($A178="","",IF(COUNTIF(Customers!$B$4:$B$1003,$A178)&gt;0,"Yes","No"))</f>
        <v/>
      </c>
      <c r="X178" s="32"/>
    </row>
    <row r="179" customFormat="false" ht="15.75" hidden="false" customHeight="true" outlineLevel="0" collapsed="false">
      <c r="A179" s="27"/>
      <c r="B179" s="28"/>
      <c r="C179" s="28"/>
      <c r="D179" s="28"/>
      <c r="E179" s="28"/>
      <c r="F179" s="28"/>
      <c r="G179" s="27"/>
      <c r="H179" s="29"/>
      <c r="I179" s="30" t="str">
        <f aca="true">IF($H179="","",DATEDIF($H179,TODAY(),"Y"))</f>
        <v/>
      </c>
      <c r="J179" s="28"/>
      <c r="K179" s="27"/>
      <c r="L179" s="27"/>
      <c r="M179" s="27"/>
      <c r="N179" s="28"/>
      <c r="O179" s="27"/>
      <c r="P179" s="29"/>
      <c r="Q179" s="28"/>
      <c r="R179" s="27"/>
      <c r="S179" s="29"/>
      <c r="T179" s="29"/>
      <c r="U179" s="30" t="str">
        <f aca="true">IF($P179="","",TODAY()-$P179)</f>
        <v/>
      </c>
      <c r="V179" s="31" t="str">
        <f aca="false">IF($A179="","",IF(COUNTIF(Consultation!$B$4:$B$1003,$A179)&gt;0,"Yes","No"))</f>
        <v/>
      </c>
      <c r="W179" s="31" t="str">
        <f aca="false">IF($A179="","",IF(COUNTIF(Customers!$B$4:$B$1003,$A179)&gt;0,"Yes","No"))</f>
        <v/>
      </c>
      <c r="X179" s="32"/>
    </row>
    <row r="180" customFormat="false" ht="15.75" hidden="false" customHeight="true" outlineLevel="0" collapsed="false">
      <c r="A180" s="27"/>
      <c r="B180" s="28"/>
      <c r="C180" s="28"/>
      <c r="D180" s="28"/>
      <c r="E180" s="28"/>
      <c r="F180" s="28"/>
      <c r="G180" s="27"/>
      <c r="H180" s="29"/>
      <c r="I180" s="30" t="str">
        <f aca="true">IF($H180="","",DATEDIF($H180,TODAY(),"Y"))</f>
        <v/>
      </c>
      <c r="J180" s="28"/>
      <c r="K180" s="27"/>
      <c r="L180" s="27"/>
      <c r="M180" s="27"/>
      <c r="N180" s="28"/>
      <c r="O180" s="27"/>
      <c r="P180" s="29"/>
      <c r="Q180" s="28"/>
      <c r="R180" s="27"/>
      <c r="S180" s="29"/>
      <c r="T180" s="29"/>
      <c r="U180" s="30" t="str">
        <f aca="true">IF($P180="","",TODAY()-$P180)</f>
        <v/>
      </c>
      <c r="V180" s="31" t="str">
        <f aca="false">IF($A180="","",IF(COUNTIF(Consultation!$B$4:$B$1003,$A180)&gt;0,"Yes","No"))</f>
        <v/>
      </c>
      <c r="W180" s="31" t="str">
        <f aca="false">IF($A180="","",IF(COUNTIF(Customers!$B$4:$B$1003,$A180)&gt;0,"Yes","No"))</f>
        <v/>
      </c>
      <c r="X180" s="32"/>
    </row>
    <row r="181" customFormat="false" ht="15.75" hidden="false" customHeight="true" outlineLevel="0" collapsed="false">
      <c r="A181" s="27"/>
      <c r="B181" s="28"/>
      <c r="C181" s="28"/>
      <c r="D181" s="28"/>
      <c r="E181" s="28"/>
      <c r="F181" s="28"/>
      <c r="G181" s="27"/>
      <c r="H181" s="29"/>
      <c r="I181" s="30" t="str">
        <f aca="true">IF($H181="","",DATEDIF($H181,TODAY(),"Y"))</f>
        <v/>
      </c>
      <c r="J181" s="28"/>
      <c r="K181" s="27"/>
      <c r="L181" s="27"/>
      <c r="M181" s="27"/>
      <c r="N181" s="28"/>
      <c r="O181" s="27"/>
      <c r="P181" s="29"/>
      <c r="Q181" s="28"/>
      <c r="R181" s="27"/>
      <c r="S181" s="29"/>
      <c r="T181" s="29"/>
      <c r="U181" s="30" t="str">
        <f aca="true">IF($P181="","",TODAY()-$P181)</f>
        <v/>
      </c>
      <c r="V181" s="31" t="str">
        <f aca="false">IF($A181="","",IF(COUNTIF(Consultation!$B$4:$B$1003,$A181)&gt;0,"Yes","No"))</f>
        <v/>
      </c>
      <c r="W181" s="31" t="str">
        <f aca="false">IF($A181="","",IF(COUNTIF(Customers!$B$4:$B$1003,$A181)&gt;0,"Yes","No"))</f>
        <v/>
      </c>
      <c r="X181" s="32"/>
    </row>
    <row r="182" customFormat="false" ht="15.75" hidden="false" customHeight="true" outlineLevel="0" collapsed="false">
      <c r="A182" s="27"/>
      <c r="B182" s="28"/>
      <c r="C182" s="28"/>
      <c r="D182" s="28"/>
      <c r="E182" s="28"/>
      <c r="F182" s="28"/>
      <c r="G182" s="27"/>
      <c r="H182" s="29"/>
      <c r="I182" s="30" t="str">
        <f aca="true">IF($H182="","",DATEDIF($H182,TODAY(),"Y"))</f>
        <v/>
      </c>
      <c r="J182" s="28"/>
      <c r="K182" s="27"/>
      <c r="L182" s="27"/>
      <c r="M182" s="27"/>
      <c r="N182" s="28"/>
      <c r="O182" s="27"/>
      <c r="P182" s="29"/>
      <c r="Q182" s="28"/>
      <c r="R182" s="27"/>
      <c r="S182" s="29"/>
      <c r="T182" s="29"/>
      <c r="U182" s="30" t="str">
        <f aca="true">IF($P182="","",TODAY()-$P182)</f>
        <v/>
      </c>
      <c r="V182" s="31" t="str">
        <f aca="false">IF($A182="","",IF(COUNTIF(Consultation!$B$4:$B$1003,$A182)&gt;0,"Yes","No"))</f>
        <v/>
      </c>
      <c r="W182" s="31" t="str">
        <f aca="false">IF($A182="","",IF(COUNTIF(Customers!$B$4:$B$1003,$A182)&gt;0,"Yes","No"))</f>
        <v/>
      </c>
      <c r="X182" s="32"/>
    </row>
    <row r="183" customFormat="false" ht="15.75" hidden="false" customHeight="true" outlineLevel="0" collapsed="false">
      <c r="A183" s="27"/>
      <c r="B183" s="28"/>
      <c r="C183" s="28"/>
      <c r="D183" s="28"/>
      <c r="E183" s="28"/>
      <c r="F183" s="28"/>
      <c r="G183" s="27"/>
      <c r="H183" s="29"/>
      <c r="I183" s="30" t="str">
        <f aca="true">IF($H183="","",DATEDIF($H183,TODAY(),"Y"))</f>
        <v/>
      </c>
      <c r="J183" s="28"/>
      <c r="K183" s="27"/>
      <c r="L183" s="27"/>
      <c r="M183" s="27"/>
      <c r="N183" s="28"/>
      <c r="O183" s="27"/>
      <c r="P183" s="29"/>
      <c r="Q183" s="28"/>
      <c r="R183" s="27"/>
      <c r="S183" s="29"/>
      <c r="T183" s="29"/>
      <c r="U183" s="30" t="str">
        <f aca="true">IF($P183="","",TODAY()-$P183)</f>
        <v/>
      </c>
      <c r="V183" s="31" t="str">
        <f aca="false">IF($A183="","",IF(COUNTIF(Consultation!$B$4:$B$1003,$A183)&gt;0,"Yes","No"))</f>
        <v/>
      </c>
      <c r="W183" s="31" t="str">
        <f aca="false">IF($A183="","",IF(COUNTIF(Customers!$B$4:$B$1003,$A183)&gt;0,"Yes","No"))</f>
        <v/>
      </c>
      <c r="X183" s="32"/>
    </row>
    <row r="184" customFormat="false" ht="15.75" hidden="false" customHeight="true" outlineLevel="0" collapsed="false">
      <c r="A184" s="27"/>
      <c r="B184" s="28"/>
      <c r="C184" s="28"/>
      <c r="D184" s="28"/>
      <c r="E184" s="28"/>
      <c r="F184" s="28"/>
      <c r="G184" s="27"/>
      <c r="H184" s="29"/>
      <c r="I184" s="30" t="str">
        <f aca="true">IF($H184="","",DATEDIF($H184,TODAY(),"Y"))</f>
        <v/>
      </c>
      <c r="J184" s="28"/>
      <c r="K184" s="27"/>
      <c r="L184" s="27"/>
      <c r="M184" s="27"/>
      <c r="N184" s="28"/>
      <c r="O184" s="27"/>
      <c r="P184" s="29"/>
      <c r="Q184" s="28"/>
      <c r="R184" s="27"/>
      <c r="S184" s="29"/>
      <c r="T184" s="29"/>
      <c r="U184" s="30" t="str">
        <f aca="true">IF($P184="","",TODAY()-$P184)</f>
        <v/>
      </c>
      <c r="V184" s="31" t="str">
        <f aca="false">IF($A184="","",IF(COUNTIF(Consultation!$B$4:$B$1003,$A184)&gt;0,"Yes","No"))</f>
        <v/>
      </c>
      <c r="W184" s="31" t="str">
        <f aca="false">IF($A184="","",IF(COUNTIF(Customers!$B$4:$B$1003,$A184)&gt;0,"Yes","No"))</f>
        <v/>
      </c>
      <c r="X184" s="32"/>
    </row>
    <row r="185" customFormat="false" ht="15.75" hidden="false" customHeight="true" outlineLevel="0" collapsed="false">
      <c r="A185" s="27"/>
      <c r="B185" s="28"/>
      <c r="C185" s="28"/>
      <c r="D185" s="28"/>
      <c r="E185" s="28"/>
      <c r="F185" s="28"/>
      <c r="G185" s="27"/>
      <c r="H185" s="29"/>
      <c r="I185" s="30" t="str">
        <f aca="true">IF($H185="","",DATEDIF($H185,TODAY(),"Y"))</f>
        <v/>
      </c>
      <c r="J185" s="28"/>
      <c r="K185" s="27"/>
      <c r="L185" s="27"/>
      <c r="M185" s="27"/>
      <c r="N185" s="28"/>
      <c r="O185" s="27"/>
      <c r="P185" s="29"/>
      <c r="Q185" s="28"/>
      <c r="R185" s="27"/>
      <c r="S185" s="29"/>
      <c r="T185" s="29"/>
      <c r="U185" s="30" t="str">
        <f aca="true">IF($P185="","",TODAY()-$P185)</f>
        <v/>
      </c>
      <c r="V185" s="31" t="str">
        <f aca="false">IF($A185="","",IF(COUNTIF(Consultation!$B$4:$B$1003,$A185)&gt;0,"Yes","No"))</f>
        <v/>
      </c>
      <c r="W185" s="31" t="str">
        <f aca="false">IF($A185="","",IF(COUNTIF(Customers!$B$4:$B$1003,$A185)&gt;0,"Yes","No"))</f>
        <v/>
      </c>
      <c r="X185" s="32"/>
    </row>
    <row r="186" customFormat="false" ht="15.75" hidden="false" customHeight="true" outlineLevel="0" collapsed="false">
      <c r="A186" s="27"/>
      <c r="B186" s="28"/>
      <c r="C186" s="28"/>
      <c r="D186" s="28"/>
      <c r="E186" s="28"/>
      <c r="F186" s="28"/>
      <c r="G186" s="27"/>
      <c r="H186" s="29"/>
      <c r="I186" s="30" t="str">
        <f aca="true">IF($H186="","",DATEDIF($H186,TODAY(),"Y"))</f>
        <v/>
      </c>
      <c r="J186" s="28"/>
      <c r="K186" s="27"/>
      <c r="L186" s="27"/>
      <c r="M186" s="27"/>
      <c r="N186" s="28"/>
      <c r="O186" s="27"/>
      <c r="P186" s="29"/>
      <c r="Q186" s="28"/>
      <c r="R186" s="27"/>
      <c r="S186" s="29"/>
      <c r="T186" s="29"/>
      <c r="U186" s="30" t="str">
        <f aca="true">IF($P186="","",TODAY()-$P186)</f>
        <v/>
      </c>
      <c r="V186" s="31" t="str">
        <f aca="false">IF($A186="","",IF(COUNTIF(Consultation!$B$4:$B$1003,$A186)&gt;0,"Yes","No"))</f>
        <v/>
      </c>
      <c r="W186" s="31" t="str">
        <f aca="false">IF($A186="","",IF(COUNTIF(Customers!$B$4:$B$1003,$A186)&gt;0,"Yes","No"))</f>
        <v/>
      </c>
      <c r="X186" s="32"/>
    </row>
    <row r="187" customFormat="false" ht="15.75" hidden="false" customHeight="true" outlineLevel="0" collapsed="false">
      <c r="A187" s="27"/>
      <c r="B187" s="28"/>
      <c r="C187" s="28"/>
      <c r="D187" s="28"/>
      <c r="E187" s="28"/>
      <c r="F187" s="28"/>
      <c r="G187" s="27"/>
      <c r="H187" s="29"/>
      <c r="I187" s="30" t="str">
        <f aca="true">IF($H187="","",DATEDIF($H187,TODAY(),"Y"))</f>
        <v/>
      </c>
      <c r="J187" s="28"/>
      <c r="K187" s="27"/>
      <c r="L187" s="27"/>
      <c r="M187" s="27"/>
      <c r="N187" s="28"/>
      <c r="O187" s="27"/>
      <c r="P187" s="29"/>
      <c r="Q187" s="28"/>
      <c r="R187" s="27"/>
      <c r="S187" s="29"/>
      <c r="T187" s="29"/>
      <c r="U187" s="30" t="str">
        <f aca="true">IF($P187="","",TODAY()-$P187)</f>
        <v/>
      </c>
      <c r="V187" s="31" t="str">
        <f aca="false">IF($A187="","",IF(COUNTIF(Consultation!$B$4:$B$1003,$A187)&gt;0,"Yes","No"))</f>
        <v/>
      </c>
      <c r="W187" s="31" t="str">
        <f aca="false">IF($A187="","",IF(COUNTIF(Customers!$B$4:$B$1003,$A187)&gt;0,"Yes","No"))</f>
        <v/>
      </c>
      <c r="X187" s="32"/>
    </row>
    <row r="188" customFormat="false" ht="15.75" hidden="false" customHeight="true" outlineLevel="0" collapsed="false">
      <c r="A188" s="27"/>
      <c r="B188" s="28"/>
      <c r="C188" s="28"/>
      <c r="D188" s="28"/>
      <c r="E188" s="28"/>
      <c r="F188" s="28"/>
      <c r="G188" s="27"/>
      <c r="H188" s="29"/>
      <c r="I188" s="30" t="str">
        <f aca="true">IF($H188="","",DATEDIF($H188,TODAY(),"Y"))</f>
        <v/>
      </c>
      <c r="J188" s="28"/>
      <c r="K188" s="27"/>
      <c r="L188" s="27"/>
      <c r="M188" s="27"/>
      <c r="N188" s="28"/>
      <c r="O188" s="27"/>
      <c r="P188" s="29"/>
      <c r="Q188" s="28"/>
      <c r="R188" s="27"/>
      <c r="S188" s="29"/>
      <c r="T188" s="29"/>
      <c r="U188" s="30" t="str">
        <f aca="true">IF($P188="","",TODAY()-$P188)</f>
        <v/>
      </c>
      <c r="V188" s="31" t="str">
        <f aca="false">IF($A188="","",IF(COUNTIF(Consultation!$B$4:$B$1003,$A188)&gt;0,"Yes","No"))</f>
        <v/>
      </c>
      <c r="W188" s="31" t="str">
        <f aca="false">IF($A188="","",IF(COUNTIF(Customers!$B$4:$B$1003,$A188)&gt;0,"Yes","No"))</f>
        <v/>
      </c>
      <c r="X188" s="32"/>
    </row>
    <row r="189" customFormat="false" ht="15.75" hidden="false" customHeight="true" outlineLevel="0" collapsed="false">
      <c r="A189" s="27"/>
      <c r="B189" s="28"/>
      <c r="C189" s="28"/>
      <c r="D189" s="28"/>
      <c r="E189" s="28"/>
      <c r="F189" s="28"/>
      <c r="G189" s="27"/>
      <c r="H189" s="29"/>
      <c r="I189" s="30" t="str">
        <f aca="true">IF($H189="","",DATEDIF($H189,TODAY(),"Y"))</f>
        <v/>
      </c>
      <c r="J189" s="28"/>
      <c r="K189" s="27"/>
      <c r="L189" s="27"/>
      <c r="M189" s="27"/>
      <c r="N189" s="28"/>
      <c r="O189" s="27"/>
      <c r="P189" s="29"/>
      <c r="Q189" s="28"/>
      <c r="R189" s="27"/>
      <c r="S189" s="29"/>
      <c r="T189" s="29"/>
      <c r="U189" s="30" t="str">
        <f aca="true">IF($P189="","",TODAY()-$P189)</f>
        <v/>
      </c>
      <c r="V189" s="31" t="str">
        <f aca="false">IF($A189="","",IF(COUNTIF(Consultation!$B$4:$B$1003,$A189)&gt;0,"Yes","No"))</f>
        <v/>
      </c>
      <c r="W189" s="31" t="str">
        <f aca="false">IF($A189="","",IF(COUNTIF(Customers!$B$4:$B$1003,$A189)&gt;0,"Yes","No"))</f>
        <v/>
      </c>
      <c r="X189" s="32"/>
    </row>
    <row r="190" customFormat="false" ht="15.75" hidden="false" customHeight="true" outlineLevel="0" collapsed="false">
      <c r="A190" s="27"/>
      <c r="B190" s="28"/>
      <c r="C190" s="28"/>
      <c r="D190" s="28"/>
      <c r="E190" s="28"/>
      <c r="F190" s="28"/>
      <c r="G190" s="27"/>
      <c r="H190" s="29"/>
      <c r="I190" s="30" t="str">
        <f aca="true">IF($H190="","",DATEDIF($H190,TODAY(),"Y"))</f>
        <v/>
      </c>
      <c r="J190" s="28"/>
      <c r="K190" s="27"/>
      <c r="L190" s="27"/>
      <c r="M190" s="27"/>
      <c r="N190" s="28"/>
      <c r="O190" s="27"/>
      <c r="P190" s="29"/>
      <c r="Q190" s="28"/>
      <c r="R190" s="27"/>
      <c r="S190" s="29"/>
      <c r="T190" s="29"/>
      <c r="U190" s="30" t="str">
        <f aca="true">IF($P190="","",TODAY()-$P190)</f>
        <v/>
      </c>
      <c r="V190" s="31" t="str">
        <f aca="false">IF($A190="","",IF(COUNTIF(Consultation!$B$4:$B$1003,$A190)&gt;0,"Yes","No"))</f>
        <v/>
      </c>
      <c r="W190" s="31" t="str">
        <f aca="false">IF($A190="","",IF(COUNTIF(Customers!$B$4:$B$1003,$A190)&gt;0,"Yes","No"))</f>
        <v/>
      </c>
      <c r="X190" s="32"/>
    </row>
    <row r="191" customFormat="false" ht="15.75" hidden="false" customHeight="true" outlineLevel="0" collapsed="false">
      <c r="A191" s="27"/>
      <c r="B191" s="28"/>
      <c r="C191" s="28"/>
      <c r="D191" s="28"/>
      <c r="E191" s="28"/>
      <c r="F191" s="28"/>
      <c r="G191" s="27"/>
      <c r="H191" s="29"/>
      <c r="I191" s="30" t="str">
        <f aca="true">IF($H191="","",DATEDIF($H191,TODAY(),"Y"))</f>
        <v/>
      </c>
      <c r="J191" s="28"/>
      <c r="K191" s="27"/>
      <c r="L191" s="27"/>
      <c r="M191" s="27"/>
      <c r="N191" s="28"/>
      <c r="O191" s="27"/>
      <c r="P191" s="29"/>
      <c r="Q191" s="28"/>
      <c r="R191" s="27"/>
      <c r="S191" s="29"/>
      <c r="T191" s="29"/>
      <c r="U191" s="30" t="str">
        <f aca="true">IF($P191="","",TODAY()-$P191)</f>
        <v/>
      </c>
      <c r="V191" s="31" t="str">
        <f aca="false">IF($A191="","",IF(COUNTIF(Consultation!$B$4:$B$1003,$A191)&gt;0,"Yes","No"))</f>
        <v/>
      </c>
      <c r="W191" s="31" t="str">
        <f aca="false">IF($A191="","",IF(COUNTIF(Customers!$B$4:$B$1003,$A191)&gt;0,"Yes","No"))</f>
        <v/>
      </c>
      <c r="X191" s="32"/>
    </row>
    <row r="192" customFormat="false" ht="15.75" hidden="false" customHeight="true" outlineLevel="0" collapsed="false">
      <c r="A192" s="27"/>
      <c r="B192" s="28"/>
      <c r="C192" s="28"/>
      <c r="D192" s="28"/>
      <c r="E192" s="28"/>
      <c r="F192" s="28"/>
      <c r="G192" s="27"/>
      <c r="H192" s="29"/>
      <c r="I192" s="30" t="str">
        <f aca="true">IF($H192="","",DATEDIF($H192,TODAY(),"Y"))</f>
        <v/>
      </c>
      <c r="J192" s="28"/>
      <c r="K192" s="27"/>
      <c r="L192" s="27"/>
      <c r="M192" s="27"/>
      <c r="N192" s="28"/>
      <c r="O192" s="27"/>
      <c r="P192" s="29"/>
      <c r="Q192" s="28"/>
      <c r="R192" s="27"/>
      <c r="S192" s="29"/>
      <c r="T192" s="29"/>
      <c r="U192" s="30" t="str">
        <f aca="true">IF($P192="","",TODAY()-$P192)</f>
        <v/>
      </c>
      <c r="V192" s="31" t="str">
        <f aca="false">IF($A192="","",IF(COUNTIF(Consultation!$B$4:$B$1003,$A192)&gt;0,"Yes","No"))</f>
        <v/>
      </c>
      <c r="W192" s="31" t="str">
        <f aca="false">IF($A192="","",IF(COUNTIF(Customers!$B$4:$B$1003,$A192)&gt;0,"Yes","No"))</f>
        <v/>
      </c>
      <c r="X192" s="32"/>
    </row>
    <row r="193" customFormat="false" ht="15.75" hidden="false" customHeight="true" outlineLevel="0" collapsed="false">
      <c r="A193" s="27"/>
      <c r="B193" s="28"/>
      <c r="C193" s="28"/>
      <c r="D193" s="28"/>
      <c r="E193" s="28"/>
      <c r="F193" s="28"/>
      <c r="G193" s="27"/>
      <c r="H193" s="29"/>
      <c r="I193" s="30" t="str">
        <f aca="true">IF($H193="","",DATEDIF($H193,TODAY(),"Y"))</f>
        <v/>
      </c>
      <c r="J193" s="28"/>
      <c r="K193" s="27"/>
      <c r="L193" s="27"/>
      <c r="M193" s="27"/>
      <c r="N193" s="28"/>
      <c r="O193" s="27"/>
      <c r="P193" s="29"/>
      <c r="Q193" s="28"/>
      <c r="R193" s="27"/>
      <c r="S193" s="29"/>
      <c r="T193" s="29"/>
      <c r="U193" s="30" t="str">
        <f aca="true">IF($P193="","",TODAY()-$P193)</f>
        <v/>
      </c>
      <c r="V193" s="31" t="str">
        <f aca="false">IF($A193="","",IF(COUNTIF(Consultation!$B$4:$B$1003,$A193)&gt;0,"Yes","No"))</f>
        <v/>
      </c>
      <c r="W193" s="31" t="str">
        <f aca="false">IF($A193="","",IF(COUNTIF(Customers!$B$4:$B$1003,$A193)&gt;0,"Yes","No"))</f>
        <v/>
      </c>
      <c r="X193" s="32"/>
    </row>
    <row r="194" customFormat="false" ht="15.75" hidden="false" customHeight="true" outlineLevel="0" collapsed="false">
      <c r="A194" s="27"/>
      <c r="B194" s="28"/>
      <c r="C194" s="28"/>
      <c r="D194" s="28"/>
      <c r="E194" s="28"/>
      <c r="F194" s="28"/>
      <c r="G194" s="27"/>
      <c r="H194" s="29"/>
      <c r="I194" s="30" t="str">
        <f aca="true">IF($H194="","",DATEDIF($H194,TODAY(),"Y"))</f>
        <v/>
      </c>
      <c r="J194" s="28"/>
      <c r="K194" s="27"/>
      <c r="L194" s="27"/>
      <c r="M194" s="27"/>
      <c r="N194" s="28"/>
      <c r="O194" s="27"/>
      <c r="P194" s="29"/>
      <c r="Q194" s="28"/>
      <c r="R194" s="27"/>
      <c r="S194" s="29"/>
      <c r="T194" s="29"/>
      <c r="U194" s="30" t="str">
        <f aca="true">IF($P194="","",TODAY()-$P194)</f>
        <v/>
      </c>
      <c r="V194" s="31" t="str">
        <f aca="false">IF($A194="","",IF(COUNTIF(Consultation!$B$4:$B$1003,$A194)&gt;0,"Yes","No"))</f>
        <v/>
      </c>
      <c r="W194" s="31" t="str">
        <f aca="false">IF($A194="","",IF(COUNTIF(Customers!$B$4:$B$1003,$A194)&gt;0,"Yes","No"))</f>
        <v/>
      </c>
      <c r="X194" s="32"/>
    </row>
    <row r="195" customFormat="false" ht="15.75" hidden="false" customHeight="true" outlineLevel="0" collapsed="false">
      <c r="A195" s="27"/>
      <c r="B195" s="28"/>
      <c r="C195" s="28"/>
      <c r="D195" s="28"/>
      <c r="E195" s="28"/>
      <c r="F195" s="28"/>
      <c r="G195" s="27"/>
      <c r="H195" s="29"/>
      <c r="I195" s="30" t="str">
        <f aca="true">IF($H195="","",DATEDIF($H195,TODAY(),"Y"))</f>
        <v/>
      </c>
      <c r="J195" s="28"/>
      <c r="K195" s="27"/>
      <c r="L195" s="27"/>
      <c r="M195" s="27"/>
      <c r="N195" s="28"/>
      <c r="O195" s="27"/>
      <c r="P195" s="29"/>
      <c r="Q195" s="28"/>
      <c r="R195" s="27"/>
      <c r="S195" s="29"/>
      <c r="T195" s="29"/>
      <c r="U195" s="30" t="str">
        <f aca="true">IF($P195="","",TODAY()-$P195)</f>
        <v/>
      </c>
      <c r="V195" s="31" t="str">
        <f aca="false">IF($A195="","",IF(COUNTIF(Consultation!$B$4:$B$1003,$A195)&gt;0,"Yes","No"))</f>
        <v/>
      </c>
      <c r="W195" s="31" t="str">
        <f aca="false">IF($A195="","",IF(COUNTIF(Customers!$B$4:$B$1003,$A195)&gt;0,"Yes","No"))</f>
        <v/>
      </c>
      <c r="X195" s="32"/>
    </row>
    <row r="196" customFormat="false" ht="15.75" hidden="false" customHeight="true" outlineLevel="0" collapsed="false">
      <c r="A196" s="27"/>
      <c r="B196" s="28"/>
      <c r="C196" s="28"/>
      <c r="D196" s="28"/>
      <c r="E196" s="28"/>
      <c r="F196" s="28"/>
      <c r="G196" s="27"/>
      <c r="H196" s="29"/>
      <c r="I196" s="30" t="str">
        <f aca="true">IF($H196="","",DATEDIF($H196,TODAY(),"Y"))</f>
        <v/>
      </c>
      <c r="J196" s="28"/>
      <c r="K196" s="27"/>
      <c r="L196" s="27"/>
      <c r="M196" s="27"/>
      <c r="N196" s="28"/>
      <c r="O196" s="27"/>
      <c r="P196" s="29"/>
      <c r="Q196" s="28"/>
      <c r="R196" s="27"/>
      <c r="S196" s="29"/>
      <c r="T196" s="29"/>
      <c r="U196" s="30" t="str">
        <f aca="true">IF($P196="","",TODAY()-$P196)</f>
        <v/>
      </c>
      <c r="V196" s="31" t="str">
        <f aca="false">IF($A196="","",IF(COUNTIF(Consultation!$B$4:$B$1003,$A196)&gt;0,"Yes","No"))</f>
        <v/>
      </c>
      <c r="W196" s="31" t="str">
        <f aca="false">IF($A196="","",IF(COUNTIF(Customers!$B$4:$B$1003,$A196)&gt;0,"Yes","No"))</f>
        <v/>
      </c>
      <c r="X196" s="32"/>
    </row>
    <row r="197" customFormat="false" ht="15.75" hidden="false" customHeight="true" outlineLevel="0" collapsed="false">
      <c r="A197" s="27"/>
      <c r="B197" s="28"/>
      <c r="C197" s="28"/>
      <c r="D197" s="28"/>
      <c r="E197" s="28"/>
      <c r="F197" s="28"/>
      <c r="G197" s="27"/>
      <c r="H197" s="29"/>
      <c r="I197" s="30" t="str">
        <f aca="true">IF($H197="","",DATEDIF($H197,TODAY(),"Y"))</f>
        <v/>
      </c>
      <c r="J197" s="28"/>
      <c r="K197" s="27"/>
      <c r="L197" s="27"/>
      <c r="M197" s="27"/>
      <c r="N197" s="28"/>
      <c r="O197" s="27"/>
      <c r="P197" s="29"/>
      <c r="Q197" s="28"/>
      <c r="R197" s="27"/>
      <c r="S197" s="29"/>
      <c r="T197" s="29"/>
      <c r="U197" s="30" t="str">
        <f aca="true">IF($P197="","",TODAY()-$P197)</f>
        <v/>
      </c>
      <c r="V197" s="31" t="str">
        <f aca="false">IF($A197="","",IF(COUNTIF(Consultation!$B$4:$B$1003,$A197)&gt;0,"Yes","No"))</f>
        <v/>
      </c>
      <c r="W197" s="31" t="str">
        <f aca="false">IF($A197="","",IF(COUNTIF(Customers!$B$4:$B$1003,$A197)&gt;0,"Yes","No"))</f>
        <v/>
      </c>
      <c r="X197" s="32"/>
    </row>
    <row r="198" customFormat="false" ht="15.75" hidden="false" customHeight="true" outlineLevel="0" collapsed="false">
      <c r="A198" s="27"/>
      <c r="B198" s="28"/>
      <c r="C198" s="28"/>
      <c r="D198" s="28"/>
      <c r="E198" s="28"/>
      <c r="F198" s="28"/>
      <c r="G198" s="27"/>
      <c r="H198" s="29"/>
      <c r="I198" s="30" t="str">
        <f aca="true">IF($H198="","",DATEDIF($H198,TODAY(),"Y"))</f>
        <v/>
      </c>
      <c r="J198" s="28"/>
      <c r="K198" s="27"/>
      <c r="L198" s="27"/>
      <c r="M198" s="27"/>
      <c r="N198" s="28"/>
      <c r="O198" s="27"/>
      <c r="P198" s="29"/>
      <c r="Q198" s="28"/>
      <c r="R198" s="27"/>
      <c r="S198" s="29"/>
      <c r="T198" s="29"/>
      <c r="U198" s="30" t="str">
        <f aca="true">IF($P198="","",TODAY()-$P198)</f>
        <v/>
      </c>
      <c r="V198" s="31" t="str">
        <f aca="false">IF($A198="","",IF(COUNTIF(Consultation!$B$4:$B$1003,$A198)&gt;0,"Yes","No"))</f>
        <v/>
      </c>
      <c r="W198" s="31" t="str">
        <f aca="false">IF($A198="","",IF(COUNTIF(Customers!$B$4:$B$1003,$A198)&gt;0,"Yes","No"))</f>
        <v/>
      </c>
      <c r="X198" s="32"/>
    </row>
    <row r="199" customFormat="false" ht="15.75" hidden="false" customHeight="true" outlineLevel="0" collapsed="false">
      <c r="A199" s="27"/>
      <c r="B199" s="28"/>
      <c r="C199" s="28"/>
      <c r="D199" s="28"/>
      <c r="E199" s="28"/>
      <c r="F199" s="28"/>
      <c r="G199" s="27"/>
      <c r="H199" s="29"/>
      <c r="I199" s="30" t="str">
        <f aca="true">IF($H199="","",DATEDIF($H199,TODAY(),"Y"))</f>
        <v/>
      </c>
      <c r="J199" s="28"/>
      <c r="K199" s="27"/>
      <c r="L199" s="27"/>
      <c r="M199" s="27"/>
      <c r="N199" s="28"/>
      <c r="O199" s="27"/>
      <c r="P199" s="29"/>
      <c r="Q199" s="28"/>
      <c r="R199" s="27"/>
      <c r="S199" s="29"/>
      <c r="T199" s="29"/>
      <c r="U199" s="30" t="str">
        <f aca="true">IF($P199="","",TODAY()-$P199)</f>
        <v/>
      </c>
      <c r="V199" s="31" t="str">
        <f aca="false">IF($A199="","",IF(COUNTIF(Consultation!$B$4:$B$1003,$A199)&gt;0,"Yes","No"))</f>
        <v/>
      </c>
      <c r="W199" s="31" t="str">
        <f aca="false">IF($A199="","",IF(COUNTIF(Customers!$B$4:$B$1003,$A199)&gt;0,"Yes","No"))</f>
        <v/>
      </c>
      <c r="X199" s="32"/>
    </row>
    <row r="200" customFormat="false" ht="15.75" hidden="false" customHeight="true" outlineLevel="0" collapsed="false">
      <c r="A200" s="27"/>
      <c r="B200" s="28"/>
      <c r="C200" s="28"/>
      <c r="D200" s="28"/>
      <c r="E200" s="28"/>
      <c r="F200" s="28"/>
      <c r="G200" s="27"/>
      <c r="H200" s="29"/>
      <c r="I200" s="30" t="str">
        <f aca="true">IF($H200="","",DATEDIF($H200,TODAY(),"Y"))</f>
        <v/>
      </c>
      <c r="J200" s="28"/>
      <c r="K200" s="27"/>
      <c r="L200" s="27"/>
      <c r="M200" s="27"/>
      <c r="N200" s="28"/>
      <c r="O200" s="27"/>
      <c r="P200" s="29"/>
      <c r="Q200" s="28"/>
      <c r="R200" s="27"/>
      <c r="S200" s="29"/>
      <c r="T200" s="29"/>
      <c r="U200" s="30" t="str">
        <f aca="true">IF($P200="","",TODAY()-$P200)</f>
        <v/>
      </c>
      <c r="V200" s="31" t="str">
        <f aca="false">IF($A200="","",IF(COUNTIF(Consultation!$B$4:$B$1003,$A200)&gt;0,"Yes","No"))</f>
        <v/>
      </c>
      <c r="W200" s="31" t="str">
        <f aca="false">IF($A200="","",IF(COUNTIF(Customers!$B$4:$B$1003,$A200)&gt;0,"Yes","No"))</f>
        <v/>
      </c>
      <c r="X200" s="32"/>
    </row>
    <row r="201" customFormat="false" ht="15.75" hidden="false" customHeight="true" outlineLevel="0" collapsed="false">
      <c r="A201" s="27"/>
      <c r="B201" s="28"/>
      <c r="C201" s="28"/>
      <c r="D201" s="28"/>
      <c r="E201" s="28"/>
      <c r="F201" s="28"/>
      <c r="G201" s="27"/>
      <c r="H201" s="29"/>
      <c r="I201" s="30" t="str">
        <f aca="true">IF($H201="","",DATEDIF($H201,TODAY(),"Y"))</f>
        <v/>
      </c>
      <c r="J201" s="28"/>
      <c r="K201" s="27"/>
      <c r="L201" s="27"/>
      <c r="M201" s="27"/>
      <c r="N201" s="28"/>
      <c r="O201" s="27"/>
      <c r="P201" s="29"/>
      <c r="Q201" s="28"/>
      <c r="R201" s="27"/>
      <c r="S201" s="29"/>
      <c r="T201" s="29"/>
      <c r="U201" s="30" t="str">
        <f aca="true">IF($P201="","",TODAY()-$P201)</f>
        <v/>
      </c>
      <c r="V201" s="31" t="str">
        <f aca="false">IF($A201="","",IF(COUNTIF(Consultation!$B$4:$B$1003,$A201)&gt;0,"Yes","No"))</f>
        <v/>
      </c>
      <c r="W201" s="31" t="str">
        <f aca="false">IF($A201="","",IF(COUNTIF(Customers!$B$4:$B$1003,$A201)&gt;0,"Yes","No"))</f>
        <v/>
      </c>
      <c r="X201" s="32"/>
    </row>
    <row r="202" customFormat="false" ht="15.75" hidden="false" customHeight="true" outlineLevel="0" collapsed="false">
      <c r="A202" s="27"/>
      <c r="B202" s="28"/>
      <c r="C202" s="28"/>
      <c r="D202" s="28"/>
      <c r="E202" s="28"/>
      <c r="F202" s="28"/>
      <c r="G202" s="27"/>
      <c r="H202" s="29"/>
      <c r="I202" s="30" t="str">
        <f aca="true">IF($H202="","",DATEDIF($H202,TODAY(),"Y"))</f>
        <v/>
      </c>
      <c r="J202" s="28"/>
      <c r="K202" s="27"/>
      <c r="L202" s="27"/>
      <c r="M202" s="27"/>
      <c r="N202" s="28"/>
      <c r="O202" s="27"/>
      <c r="P202" s="29"/>
      <c r="Q202" s="28"/>
      <c r="R202" s="27"/>
      <c r="S202" s="29"/>
      <c r="T202" s="29"/>
      <c r="U202" s="30" t="str">
        <f aca="true">IF($P202="","",TODAY()-$P202)</f>
        <v/>
      </c>
      <c r="V202" s="31" t="str">
        <f aca="false">IF($A202="","",IF(COUNTIF(Consultation!$B$4:$B$1003,$A202)&gt;0,"Yes","No"))</f>
        <v/>
      </c>
      <c r="W202" s="31" t="str">
        <f aca="false">IF($A202="","",IF(COUNTIF(Customers!$B$4:$B$1003,$A202)&gt;0,"Yes","No"))</f>
        <v/>
      </c>
      <c r="X202" s="32"/>
    </row>
    <row r="203" customFormat="false" ht="15.75" hidden="false" customHeight="true" outlineLevel="0" collapsed="false">
      <c r="A203" s="27"/>
      <c r="B203" s="28"/>
      <c r="C203" s="28"/>
      <c r="D203" s="28"/>
      <c r="E203" s="28"/>
      <c r="F203" s="28"/>
      <c r="G203" s="27"/>
      <c r="H203" s="29"/>
      <c r="I203" s="30" t="str">
        <f aca="true">IF($H203="","",DATEDIF($H203,TODAY(),"Y"))</f>
        <v/>
      </c>
      <c r="J203" s="28"/>
      <c r="K203" s="27"/>
      <c r="L203" s="27"/>
      <c r="M203" s="27"/>
      <c r="N203" s="28"/>
      <c r="O203" s="27"/>
      <c r="P203" s="29"/>
      <c r="Q203" s="28"/>
      <c r="R203" s="27"/>
      <c r="S203" s="29"/>
      <c r="T203" s="29"/>
      <c r="U203" s="30" t="str">
        <f aca="true">IF($P203="","",TODAY()-$P203)</f>
        <v/>
      </c>
      <c r="V203" s="31" t="str">
        <f aca="false">IF($A203="","",IF(COUNTIF(Consultation!$B$4:$B$1003,$A203)&gt;0,"Yes","No"))</f>
        <v/>
      </c>
      <c r="W203" s="31" t="str">
        <f aca="false">IF($A203="","",IF(COUNTIF(Customers!$B$4:$B$1003,$A203)&gt;0,"Yes","No"))</f>
        <v/>
      </c>
      <c r="X203" s="32"/>
    </row>
  </sheetData>
  <autoFilter ref="A3:X203"/>
  <mergeCells count="2">
    <mergeCell ref="A1:X1"/>
    <mergeCell ref="A2:X2"/>
  </mergeCells>
  <conditionalFormatting sqref="A4:X203">
    <cfRule type="expression" priority="2" aboveAverage="0" equalAverage="0" bottom="0" percent="0" rank="0" text="" dxfId="17">
      <formula>MOD(ROW(),2)=0</formula>
    </cfRule>
  </conditionalFormatting>
  <conditionalFormatting sqref="R4:R203">
    <cfRule type="cellIs" priority="3" operator="equal" aboveAverage="0" equalAverage="0" bottom="0" percent="0" rank="0" text="" dxfId="18">
      <formula>"New Lead"</formula>
    </cfRule>
    <cfRule type="cellIs" priority="4" operator="equal" aboveAverage="0" equalAverage="0" bottom="0" percent="0" rank="0" text="" dxfId="19">
      <formula>"Contacted"</formula>
    </cfRule>
    <cfRule type="cellIs" priority="5" operator="equal" aboveAverage="0" equalAverage="0" bottom="0" percent="0" rank="0" text="" dxfId="20">
      <formula>"No Answer"</formula>
    </cfRule>
    <cfRule type="cellIs" priority="6" operator="equal" aboveAverage="0" equalAverage="0" bottom="0" percent="0" rank="0" text="" dxfId="20">
      <formula>"Follow-up Required"</formula>
    </cfRule>
    <cfRule type="cellIs" priority="7" operator="equal" aboveAverage="0" equalAverage="0" bottom="0" percent="0" rank="0" text="" dxfId="21">
      <formula>"Consultation Scheduled"</formula>
    </cfRule>
    <cfRule type="cellIs" priority="8" operator="equal" aboveAverage="0" equalAverage="0" bottom="0" percent="0" rank="0" text="" dxfId="19">
      <formula>"Consultation Completed"</formula>
    </cfRule>
    <cfRule type="cellIs" priority="9" operator="equal" aboveAverage="0" equalAverage="0" bottom="0" percent="0" rank="0" text="" dxfId="22">
      <formula>"Not Interested"</formula>
    </cfRule>
    <cfRule type="cellIs" priority="10" operator="equal" aboveAverage="0" equalAverage="0" bottom="0" percent="0" rank="0" text="" dxfId="23">
      <formula>"On Hold"</formula>
    </cfRule>
  </conditionalFormatting>
  <conditionalFormatting sqref="V4:W203">
    <cfRule type="cellIs" priority="11" operator="equal" aboveAverage="0" equalAverage="0" bottom="0" percent="0" rank="0" text="" dxfId="19">
      <formula>"Yes"</formula>
    </cfRule>
    <cfRule type="cellIs" priority="12" operator="equal" aboveAverage="0" equalAverage="0" bottom="0" percent="0" rank="0" text="" dxfId="22">
      <formula>"No"</formula>
    </cfRule>
    <cfRule type="cellIs" priority="13" operator="equal" aboveAverage="0" equalAverage="0" bottom="0" percent="0" rank="0" text="" dxfId="23">
      <formula>"N/A"</formula>
    </cfRule>
  </conditionalFormatting>
  <conditionalFormatting sqref="T4:T203">
    <cfRule type="expression" priority="14" aboveAverage="0" equalAverage="0" bottom="0" percent="0" rank="0" text="" dxfId="22">
      <formula>AND($T4&lt;&gt;"",$T4&lt;TODAY())</formula>
    </cfRule>
  </conditionalFormatting>
  <dataValidations count="13">
    <dataValidation allowBlank="true" error="Please choose one of the values from the drop-down list." errorStyle="stop" errorTitle="Invalid entry" operator="between" showDropDown="false" showErrorMessage="false" showInputMessage="false" sqref="G4:G203" type="list">
      <formula1>Settings!$D$32:$D$35</formula1>
      <formula2>0</formula2>
    </dataValidation>
    <dataValidation allowBlank="true" error="Please choose one of the values from the drop-down list." errorStyle="stop" errorTitle="Invalid entry" operator="between" showDropDown="false" showErrorMessage="false" showInputMessage="false" sqref="K4:K203" type="list">
      <formula1>Settings!$E$32:$E$35</formula1>
      <formula2>0</formula2>
    </dataValidation>
    <dataValidation allowBlank="true" error="Please choose one of the values from the drop-down list." errorStyle="stop" errorTitle="Invalid entry" operator="between" showDropDown="false" showErrorMessage="false" showInputMessage="false" sqref="L4:L203" type="list">
      <formula1>Settings!$F$32:$F$36</formula1>
      <formula2>0</formula2>
    </dataValidation>
    <dataValidation allowBlank="true" error="Please choose one of the values from the drop-down list." errorStyle="stop" errorTitle="Invalid entry" operator="between" showDropDown="false" showErrorMessage="false" showInputMessage="false" sqref="M4:M203" type="list">
      <formula1>Settings!$F$32:$F$36</formula1>
      <formula2>0</formula2>
    </dataValidation>
    <dataValidation allowBlank="true" error="Please choose one of the values from the drop-down list." errorStyle="stop" errorTitle="Invalid entry" operator="between" showDropDown="false" showErrorMessage="false" showInputMessage="false" sqref="N4:N203" type="list">
      <formula1>Settings!$C$32:$C$41</formula1>
      <formula2>0</formula2>
    </dataValidation>
    <dataValidation allowBlank="true" error="Please choose one of the values from the drop-down list." errorStyle="stop" errorTitle="Invalid entry" operator="between" showDropDown="false" showErrorMessage="false" showInputMessage="false" sqref="O4:O203" type="list">
      <formula1>Settings!$B$32:$B$36</formula1>
      <formula2>0</formula2>
    </dataValidation>
    <dataValidation allowBlank="true" error="Please choose one of the values from the drop-down list." errorStyle="stop" errorTitle="Invalid entry" operator="between" showDropDown="false" showErrorMessage="false" showInputMessage="false" sqref="J4:J203" type="list">
      <formula1>Settings!$S$32:$S$46</formula1>
      <formula2>0</formula2>
    </dataValidation>
    <dataValidation allowBlank="true" error="Please choose one of the values from the drop-down list." errorStyle="stop" errorTitle="Invalid entry" operator="between" showDropDown="false" showErrorMessage="false" showInputMessage="false" sqref="Q4:Q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R4:R203" type="list">
      <formula1>Settings!$A$32:$A$39</formula1>
      <formula2>0</formula2>
    </dataValidation>
    <dataValidation allowBlank="true" error="Enter a valid date (dd/mm/yyyy)." errorStyle="stop" errorTitle="Invalid date" operator="between" showDropDown="false" showErrorMessage="false" showInputMessage="false" sqref="H4:H203" type="date">
      <formula1>DATE(2020,1,1)</formula1>
      <formula2>DATE(2100,12,31)</formula2>
    </dataValidation>
    <dataValidation allowBlank="true" error="Enter a valid date (dd/mm/yyyy)." errorStyle="stop" errorTitle="Invalid date" operator="between" showDropDown="false" showErrorMessage="false" showInputMessage="false" sqref="P4:P203" type="date">
      <formula1>DATE(2020,1,1)</formula1>
      <formula2>DATE(2100,12,31)</formula2>
    </dataValidation>
    <dataValidation allowBlank="true" error="Enter a valid date (dd/mm/yyyy)." errorStyle="stop" errorTitle="Invalid date" operator="between" showDropDown="false" showErrorMessage="false" showInputMessage="false" sqref="S4:S203" type="date">
      <formula1>DATE(2020,1,1)</formula1>
      <formula2>DATE(2100,12,31)</formula2>
    </dataValidation>
    <dataValidation allowBlank="true" error="Enter a valid date (dd/mm/yyyy)." errorStyle="stop" errorTitle="Invalid date" operator="between" showDropDown="false" showErrorMessage="false" showInputMessage="false" sqref="T4:T203"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Q2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2734375" defaultRowHeight="15" customHeight="false"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3" min="3" style="0" width="22"/>
    <col collapsed="false" customWidth="true" hidden="false" outlineLevel="0" max="4" min="4" style="0" width="17"/>
    <col collapsed="false" customWidth="true" hidden="false" outlineLevel="0" max="5" min="5" style="0" width="15"/>
    <col collapsed="false" customWidth="true" hidden="false" outlineLevel="0" max="6" min="6" style="0" width="8"/>
    <col collapsed="false" customWidth="true" hidden="false" outlineLevel="0" max="7" min="7" style="0" width="20"/>
    <col collapsed="false" customWidth="true" hidden="false" outlineLevel="0" max="8" min="8" style="0" width="14"/>
    <col collapsed="false" customWidth="true" hidden="false" outlineLevel="0" max="9" min="9" style="0" width="13"/>
    <col collapsed="false" customWidth="true" hidden="false" outlineLevel="0" max="10" min="10" style="0" width="15"/>
    <col collapsed="false" customWidth="true" hidden="false" outlineLevel="0" max="12" min="11" style="0" width="18"/>
    <col collapsed="false" customWidth="true" hidden="false" outlineLevel="0" max="14" min="13" style="0" width="20"/>
    <col collapsed="false" customWidth="true" hidden="false" outlineLevel="0" max="15" min="15" style="0" width="46"/>
    <col collapsed="false" customWidth="true" hidden="false" outlineLevel="0" max="16" min="16" style="0" width="13"/>
    <col collapsed="false" customWidth="true" hidden="false" outlineLevel="0" max="17" min="17" style="0" width="12"/>
  </cols>
  <sheetData>
    <row r="1" customFormat="false" ht="30" hidden="false" customHeight="true" outlineLevel="0" collapsed="false">
      <c r="A1" s="1" t="s">
        <v>255</v>
      </c>
      <c r="B1" s="1"/>
      <c r="C1" s="1"/>
      <c r="D1" s="1"/>
      <c r="E1" s="1"/>
      <c r="F1" s="1"/>
      <c r="G1" s="1"/>
      <c r="H1" s="1"/>
      <c r="I1" s="1"/>
      <c r="J1" s="1"/>
      <c r="K1" s="1"/>
      <c r="L1" s="1"/>
      <c r="M1" s="1"/>
      <c r="N1" s="1"/>
      <c r="O1" s="1"/>
      <c r="P1" s="1"/>
      <c r="Q1" s="1"/>
    </row>
    <row r="2" customFormat="false" ht="15.75" hidden="false" customHeight="true" outlineLevel="0" collapsed="false">
      <c r="A2" s="2" t="s">
        <v>256</v>
      </c>
      <c r="B2" s="2"/>
      <c r="C2" s="2"/>
      <c r="D2" s="2"/>
      <c r="E2" s="2"/>
      <c r="F2" s="2"/>
      <c r="G2" s="2"/>
      <c r="H2" s="2"/>
      <c r="I2" s="2"/>
      <c r="J2" s="2"/>
      <c r="K2" s="2"/>
      <c r="L2" s="2"/>
      <c r="M2" s="2"/>
      <c r="N2" s="2"/>
      <c r="O2" s="2"/>
      <c r="P2" s="2"/>
      <c r="Q2" s="2"/>
    </row>
    <row r="3" customFormat="false" ht="31.5" hidden="false" customHeight="true" outlineLevel="0" collapsed="false">
      <c r="A3" s="26" t="s">
        <v>257</v>
      </c>
      <c r="B3" s="26" t="s">
        <v>31</v>
      </c>
      <c r="C3" s="26" t="s">
        <v>32</v>
      </c>
      <c r="D3" s="26" t="s">
        <v>258</v>
      </c>
      <c r="E3" s="26" t="s">
        <v>259</v>
      </c>
      <c r="F3" s="26" t="s">
        <v>260</v>
      </c>
      <c r="G3" s="26" t="s">
        <v>261</v>
      </c>
      <c r="H3" s="26" t="s">
        <v>262</v>
      </c>
      <c r="I3" s="26" t="s">
        <v>263</v>
      </c>
      <c r="J3" s="26" t="s">
        <v>264</v>
      </c>
      <c r="K3" s="26" t="s">
        <v>265</v>
      </c>
      <c r="L3" s="26" t="s">
        <v>266</v>
      </c>
      <c r="M3" s="26" t="s">
        <v>267</v>
      </c>
      <c r="N3" s="26" t="s">
        <v>268</v>
      </c>
      <c r="O3" s="26" t="s">
        <v>269</v>
      </c>
      <c r="P3" s="26" t="s">
        <v>53</v>
      </c>
      <c r="Q3" s="26" t="s">
        <v>270</v>
      </c>
    </row>
    <row r="4" customFormat="false" ht="15.75" hidden="false" customHeight="true" outlineLevel="0" collapsed="false">
      <c r="A4" s="27" t="s">
        <v>271</v>
      </c>
      <c r="B4" s="28" t="s">
        <v>55</v>
      </c>
      <c r="C4" s="33" t="str">
        <f aca="false">IFERROR(INDEX('Lead Management'!$B$4:$B$1003,MATCH($B4,'Lead Management'!$A$4:$A$1003,0)),"")</f>
        <v>Firdavs Rahmonov</v>
      </c>
      <c r="D4" s="33" t="str">
        <f aca="false">IFERROR(INDEX('Lead Management'!$C$4:$C$1003,MATCH($B4,'Lead Management'!$A$4:$A$1003,0)),"")</f>
        <v>+992 91 203 1137</v>
      </c>
      <c r="E4" s="29" t="n">
        <v>46035</v>
      </c>
      <c r="F4" s="27" t="s">
        <v>272</v>
      </c>
      <c r="G4" s="28" t="s">
        <v>273</v>
      </c>
      <c r="H4" s="34" t="n">
        <f aca="false">IF($A4="","",Settings!$B$8)</f>
        <v>50</v>
      </c>
      <c r="I4" s="27" t="s">
        <v>274</v>
      </c>
      <c r="J4" s="27" t="s">
        <v>275</v>
      </c>
      <c r="K4" s="27" t="s">
        <v>276</v>
      </c>
      <c r="L4" s="27" t="s">
        <v>65</v>
      </c>
      <c r="M4" s="28" t="s">
        <v>105</v>
      </c>
      <c r="N4" s="28" t="s">
        <v>277</v>
      </c>
      <c r="O4" s="32"/>
      <c r="P4" s="31" t="str">
        <f aca="false">IF($B4="","",IF(COUNTIF(Customers!$B$4:$B$1003,$B4)&gt;0,"Yes","No"))</f>
        <v>Yes</v>
      </c>
      <c r="Q4" s="31" t="n">
        <f aca="true">IF($E4="","",IF($E4&gt;TODAY(),"Scheduled",TODAY()-$E4))</f>
        <v>198</v>
      </c>
    </row>
    <row r="5" customFormat="false" ht="15.75" hidden="false" customHeight="true" outlineLevel="0" collapsed="false">
      <c r="A5" s="27" t="s">
        <v>278</v>
      </c>
      <c r="B5" s="28" t="s">
        <v>70</v>
      </c>
      <c r="C5" s="33" t="str">
        <f aca="false">IFERROR(INDEX('Lead Management'!$B$4:$B$1003,MATCH($B5,'Lead Management'!$A$4:$A$1003,0)),"")</f>
        <v>Nilufar Sharipova</v>
      </c>
      <c r="D5" s="33" t="str">
        <f aca="false">IFERROR(INDEX('Lead Management'!$C$4:$C$1003,MATCH($B5,'Lead Management'!$A$4:$A$1003,0)),"")</f>
        <v>+992 92 206 1274</v>
      </c>
      <c r="E5" s="29" t="n">
        <v>46042</v>
      </c>
      <c r="F5" s="27" t="s">
        <v>279</v>
      </c>
      <c r="G5" s="28" t="s">
        <v>90</v>
      </c>
      <c r="H5" s="34" t="n">
        <f aca="false">IF($A5="","",Settings!$B$8)</f>
        <v>50</v>
      </c>
      <c r="I5" s="27" t="s">
        <v>274</v>
      </c>
      <c r="J5" s="27" t="s">
        <v>275</v>
      </c>
      <c r="K5" s="27" t="s">
        <v>276</v>
      </c>
      <c r="L5" s="27" t="s">
        <v>78</v>
      </c>
      <c r="M5" s="28" t="s">
        <v>280</v>
      </c>
      <c r="N5" s="28" t="s">
        <v>277</v>
      </c>
      <c r="O5" s="32"/>
      <c r="P5" s="31" t="str">
        <f aca="false">IF($B5="","",IF(COUNTIF(Customers!$B$4:$B$1003,$B5)&gt;0,"Yes","No"))</f>
        <v>Yes</v>
      </c>
      <c r="Q5" s="31" t="n">
        <f aca="true">IF($E5="","",IF($E5&gt;TODAY(),"Scheduled",TODAY()-$E5))</f>
        <v>191</v>
      </c>
    </row>
    <row r="6" customFormat="false" ht="15.75" hidden="false" customHeight="true" outlineLevel="0" collapsed="false">
      <c r="A6" s="27" t="s">
        <v>281</v>
      </c>
      <c r="B6" s="28" t="s">
        <v>80</v>
      </c>
      <c r="C6" s="33" t="str">
        <f aca="false">IFERROR(INDEX('Lead Management'!$B$4:$B$1003,MATCH($B6,'Lead Management'!$A$4:$A$1003,0)),"")</f>
        <v>Jamshed Karimov</v>
      </c>
      <c r="D6" s="33" t="str">
        <f aca="false">IFERROR(INDEX('Lead Management'!$C$4:$C$1003,MATCH($B6,'Lead Management'!$A$4:$A$1003,0)),"")</f>
        <v>+992 93 209 1411</v>
      </c>
      <c r="E6" s="29" t="n">
        <v>46063</v>
      </c>
      <c r="F6" s="27" t="s">
        <v>282</v>
      </c>
      <c r="G6" s="28" t="s">
        <v>273</v>
      </c>
      <c r="H6" s="34" t="n">
        <f aca="false">IF($A6="","",Settings!$B$8)</f>
        <v>50</v>
      </c>
      <c r="I6" s="27" t="s">
        <v>274</v>
      </c>
      <c r="J6" s="27" t="s">
        <v>275</v>
      </c>
      <c r="K6" s="27" t="s">
        <v>283</v>
      </c>
      <c r="L6" s="27" t="s">
        <v>88</v>
      </c>
      <c r="M6" s="28" t="s">
        <v>284</v>
      </c>
      <c r="N6" s="28" t="s">
        <v>277</v>
      </c>
      <c r="O6" s="32"/>
      <c r="P6" s="31" t="str">
        <f aca="false">IF($B6="","",IF(COUNTIF(Customers!$B$4:$B$1003,$B6)&gt;0,"Yes","No"))</f>
        <v>Yes</v>
      </c>
      <c r="Q6" s="31" t="n">
        <f aca="true">IF($E6="","",IF($E6&gt;TODAY(),"Scheduled",TODAY()-$E6))</f>
        <v>170</v>
      </c>
    </row>
    <row r="7" customFormat="false" ht="15.75" hidden="false" customHeight="true" outlineLevel="0" collapsed="false">
      <c r="A7" s="27" t="s">
        <v>285</v>
      </c>
      <c r="B7" s="28" t="s">
        <v>92</v>
      </c>
      <c r="C7" s="33" t="str">
        <f aca="false">IFERROR(INDEX('Lead Management'!$B$4:$B$1003,MATCH($B7,'Lead Management'!$A$4:$A$1003,0)),"")</f>
        <v>Zarina Nazriyeva</v>
      </c>
      <c r="D7" s="33" t="str">
        <f aca="false">IFERROR(INDEX('Lead Management'!$C$4:$C$1003,MATCH($B7,'Lead Management'!$A$4:$A$1003,0)),"")</f>
        <v>+992 94 212 1548</v>
      </c>
      <c r="E7" s="29" t="n">
        <v>46070</v>
      </c>
      <c r="F7" s="27" t="s">
        <v>286</v>
      </c>
      <c r="G7" s="28" t="s">
        <v>90</v>
      </c>
      <c r="H7" s="34" t="n">
        <f aca="false">IF($A7="","",Settings!$B$8)</f>
        <v>50</v>
      </c>
      <c r="I7" s="27" t="s">
        <v>274</v>
      </c>
      <c r="J7" s="27" t="s">
        <v>275</v>
      </c>
      <c r="K7" s="27" t="s">
        <v>276</v>
      </c>
      <c r="L7" s="27" t="s">
        <v>65</v>
      </c>
      <c r="M7" s="28" t="s">
        <v>287</v>
      </c>
      <c r="N7" s="28" t="s">
        <v>277</v>
      </c>
      <c r="O7" s="32"/>
      <c r="P7" s="31" t="str">
        <f aca="false">IF($B7="","",IF(COUNTIF(Customers!$B$4:$B$1003,$B7)&gt;0,"Yes","No"))</f>
        <v>Yes</v>
      </c>
      <c r="Q7" s="31" t="n">
        <f aca="true">IF($E7="","",IF($E7&gt;TODAY(),"Scheduled",TODAY()-$E7))</f>
        <v>163</v>
      </c>
    </row>
    <row r="8" customFormat="false" ht="15.75" hidden="false" customHeight="true" outlineLevel="0" collapsed="false">
      <c r="A8" s="27" t="s">
        <v>288</v>
      </c>
      <c r="B8" s="28" t="s">
        <v>100</v>
      </c>
      <c r="C8" s="33" t="str">
        <f aca="false">IFERROR(INDEX('Lead Management'!$B$4:$B$1003,MATCH($B8,'Lead Management'!$A$4:$A$1003,0)),"")</f>
        <v>Bakhtiyor Umarov</v>
      </c>
      <c r="D8" s="33" t="str">
        <f aca="false">IFERROR(INDEX('Lead Management'!$C$4:$C$1003,MATCH($B8,'Lead Management'!$A$4:$A$1003,0)),"")</f>
        <v>+992 95 215 1685</v>
      </c>
      <c r="E8" s="29" t="n">
        <v>46049</v>
      </c>
      <c r="F8" s="27" t="s">
        <v>289</v>
      </c>
      <c r="G8" s="28" t="s">
        <v>273</v>
      </c>
      <c r="H8" s="34" t="n">
        <f aca="false">IF($A8="","",Settings!$B$8)</f>
        <v>50</v>
      </c>
      <c r="I8" s="27" t="s">
        <v>274</v>
      </c>
      <c r="J8" s="27" t="s">
        <v>275</v>
      </c>
      <c r="K8" s="27" t="s">
        <v>283</v>
      </c>
      <c r="L8" s="27" t="s">
        <v>106</v>
      </c>
      <c r="M8" s="28" t="s">
        <v>61</v>
      </c>
      <c r="N8" s="28" t="s">
        <v>277</v>
      </c>
      <c r="O8" s="32"/>
      <c r="P8" s="31" t="str">
        <f aca="false">IF($B8="","",IF(COUNTIF(Customers!$B$4:$B$1003,$B8)&gt;0,"Yes","No"))</f>
        <v>Yes</v>
      </c>
      <c r="Q8" s="31" t="n">
        <f aca="true">IF($E8="","",IF($E8&gt;TODAY(),"Scheduled",TODAY()-$E8))</f>
        <v>184</v>
      </c>
    </row>
    <row r="9" customFormat="false" ht="15.75" hidden="false" customHeight="true" outlineLevel="0" collapsed="false">
      <c r="A9" s="27" t="s">
        <v>290</v>
      </c>
      <c r="B9" s="28" t="s">
        <v>109</v>
      </c>
      <c r="C9" s="33" t="str">
        <f aca="false">IFERROR(INDEX('Lead Management'!$B$4:$B$1003,MATCH($B9,'Lead Management'!$A$4:$A$1003,0)),"")</f>
        <v>Manizha Qodirova</v>
      </c>
      <c r="D9" s="33" t="str">
        <f aca="false">IFERROR(INDEX('Lead Management'!$C$4:$C$1003,MATCH($B9,'Lead Management'!$A$4:$A$1003,0)),"")</f>
        <v>+992 96 218 1822</v>
      </c>
      <c r="E9" s="29" t="n">
        <v>46076</v>
      </c>
      <c r="F9" s="27" t="s">
        <v>291</v>
      </c>
      <c r="G9" s="28" t="s">
        <v>90</v>
      </c>
      <c r="H9" s="34" t="n">
        <f aca="false">IF($A9="","",Settings!$B$8)</f>
        <v>50</v>
      </c>
      <c r="I9" s="27" t="s">
        <v>274</v>
      </c>
      <c r="J9" s="27" t="s">
        <v>275</v>
      </c>
      <c r="K9" s="27" t="s">
        <v>276</v>
      </c>
      <c r="L9" s="27" t="s">
        <v>78</v>
      </c>
      <c r="M9" s="28" t="s">
        <v>292</v>
      </c>
      <c r="N9" s="28" t="s">
        <v>277</v>
      </c>
      <c r="O9" s="32"/>
      <c r="P9" s="31" t="str">
        <f aca="false">IF($B9="","",IF(COUNTIF(Customers!$B$4:$B$1003,$B9)&gt;0,"Yes","No"))</f>
        <v>Yes</v>
      </c>
      <c r="Q9" s="31" t="n">
        <f aca="true">IF($E9="","",IF($E9&gt;TODAY(),"Scheduled",TODAY()-$E9))</f>
        <v>157</v>
      </c>
    </row>
    <row r="10" customFormat="false" ht="15.75" hidden="false" customHeight="true" outlineLevel="0" collapsed="false">
      <c r="A10" s="27" t="s">
        <v>293</v>
      </c>
      <c r="B10" s="28" t="s">
        <v>115</v>
      </c>
      <c r="C10" s="33" t="str">
        <f aca="false">IFERROR(INDEX('Lead Management'!$B$4:$B$1003,MATCH($B10,'Lead Management'!$A$4:$A$1003,0)),"")</f>
        <v>Rustam Sattorov</v>
      </c>
      <c r="D10" s="33" t="str">
        <f aca="false">IFERROR(INDEX('Lead Management'!$C$4:$C$1003,MATCH($B10,'Lead Management'!$A$4:$A$1003,0)),"")</f>
        <v>+992 97 221 1959</v>
      </c>
      <c r="E10" s="29" t="n">
        <v>46090</v>
      </c>
      <c r="F10" s="27" t="s">
        <v>294</v>
      </c>
      <c r="G10" s="28" t="s">
        <v>273</v>
      </c>
      <c r="H10" s="34" t="n">
        <f aca="false">IF($A10="","",Settings!$B$8)</f>
        <v>50</v>
      </c>
      <c r="I10" s="27" t="s">
        <v>274</v>
      </c>
      <c r="J10" s="27" t="s">
        <v>275</v>
      </c>
      <c r="K10" s="27" t="s">
        <v>283</v>
      </c>
      <c r="L10" s="27" t="s">
        <v>65</v>
      </c>
      <c r="M10" s="28" t="s">
        <v>284</v>
      </c>
      <c r="N10" s="28" t="s">
        <v>277</v>
      </c>
      <c r="O10" s="32"/>
      <c r="P10" s="31" t="str">
        <f aca="false">IF($B10="","",IF(COUNTIF(Customers!$B$4:$B$1003,$B10)&gt;0,"Yes","No"))</f>
        <v>Yes</v>
      </c>
      <c r="Q10" s="31" t="n">
        <f aca="true">IF($E10="","",IF($E10&gt;TODAY(),"Scheduled",TODAY()-$E10))</f>
        <v>143</v>
      </c>
    </row>
    <row r="11" customFormat="false" ht="15.75" hidden="false" customHeight="true" outlineLevel="0" collapsed="false">
      <c r="A11" s="27" t="s">
        <v>295</v>
      </c>
      <c r="B11" s="28" t="s">
        <v>120</v>
      </c>
      <c r="C11" s="33" t="str">
        <f aca="false">IFERROR(INDEX('Lead Management'!$B$4:$B$1003,MATCH($B11,'Lead Management'!$A$4:$A$1003,0)),"")</f>
        <v>Dilnoza Aliyeva</v>
      </c>
      <c r="D11" s="33" t="str">
        <f aca="false">IFERROR(INDEX('Lead Management'!$C$4:$C$1003,MATCH($B11,'Lead Management'!$A$4:$A$1003,0)),"")</f>
        <v>+992 90 224 2096</v>
      </c>
      <c r="E11" s="29" t="n">
        <v>46097</v>
      </c>
      <c r="F11" s="27" t="s">
        <v>296</v>
      </c>
      <c r="G11" s="28" t="s">
        <v>90</v>
      </c>
      <c r="H11" s="34" t="n">
        <f aca="false">IF($A11="","",Settings!$B$8)</f>
        <v>50</v>
      </c>
      <c r="I11" s="27" t="s">
        <v>274</v>
      </c>
      <c r="J11" s="27" t="s">
        <v>275</v>
      </c>
      <c r="K11" s="27" t="s">
        <v>283</v>
      </c>
      <c r="L11" s="27" t="s">
        <v>124</v>
      </c>
      <c r="M11" s="28" t="s">
        <v>280</v>
      </c>
      <c r="N11" s="28" t="s">
        <v>277</v>
      </c>
      <c r="O11" s="32"/>
      <c r="P11" s="31" t="str">
        <f aca="false">IF($B11="","",IF(COUNTIF(Customers!$B$4:$B$1003,$B11)&gt;0,"Yes","No"))</f>
        <v>Yes</v>
      </c>
      <c r="Q11" s="31" t="n">
        <f aca="true">IF($E11="","",IF($E11&gt;TODAY(),"Scheduled",TODAY()-$E11))</f>
        <v>136</v>
      </c>
    </row>
    <row r="12" customFormat="false" ht="15.75" hidden="false" customHeight="true" outlineLevel="0" collapsed="false">
      <c r="A12" s="27" t="s">
        <v>297</v>
      </c>
      <c r="B12" s="28" t="s">
        <v>126</v>
      </c>
      <c r="C12" s="33" t="str">
        <f aca="false">IFERROR(INDEX('Lead Management'!$B$4:$B$1003,MATCH($B12,'Lead Management'!$A$4:$A$1003,0)),"")</f>
        <v>Sherali Yusupov</v>
      </c>
      <c r="D12" s="33" t="str">
        <f aca="false">IFERROR(INDEX('Lead Management'!$C$4:$C$1003,MATCH($B12,'Lead Management'!$A$4:$A$1003,0)),"")</f>
        <v>+992 91 227 2233</v>
      </c>
      <c r="E12" s="29" t="n">
        <v>46104</v>
      </c>
      <c r="F12" s="27" t="s">
        <v>272</v>
      </c>
      <c r="G12" s="28" t="s">
        <v>273</v>
      </c>
      <c r="H12" s="34" t="n">
        <f aca="false">IF($A12="","",Settings!$B$8)</f>
        <v>50</v>
      </c>
      <c r="I12" s="27" t="s">
        <v>274</v>
      </c>
      <c r="J12" s="27" t="s">
        <v>275</v>
      </c>
      <c r="K12" s="27" t="s">
        <v>298</v>
      </c>
      <c r="L12" s="27" t="s">
        <v>88</v>
      </c>
      <c r="M12" s="28" t="s">
        <v>299</v>
      </c>
      <c r="N12" s="28" t="s">
        <v>277</v>
      </c>
      <c r="O12" s="32"/>
      <c r="P12" s="31" t="str">
        <f aca="false">IF($B12="","",IF(COUNTIF(Customers!$B$4:$B$1003,$B12)&gt;0,"Yes","No"))</f>
        <v>Yes</v>
      </c>
      <c r="Q12" s="31" t="n">
        <f aca="true">IF($E12="","",IF($E12&gt;TODAY(),"Scheduled",TODAY()-$E12))</f>
        <v>129</v>
      </c>
    </row>
    <row r="13" customFormat="false" ht="15.75" hidden="false" customHeight="true" outlineLevel="0" collapsed="false">
      <c r="A13" s="27" t="s">
        <v>300</v>
      </c>
      <c r="B13" s="28" t="s">
        <v>132</v>
      </c>
      <c r="C13" s="33" t="str">
        <f aca="false">IFERROR(INDEX('Lead Management'!$B$4:$B$1003,MATCH($B13,'Lead Management'!$A$4:$A$1003,0)),"")</f>
        <v>Malika Ismoilova</v>
      </c>
      <c r="D13" s="33" t="str">
        <f aca="false">IFERROR(INDEX('Lead Management'!$C$4:$C$1003,MATCH($B13,'Lead Management'!$A$4:$A$1003,0)),"")</f>
        <v>+992 92 230 2370</v>
      </c>
      <c r="E13" s="29" t="n">
        <v>46119</v>
      </c>
      <c r="F13" s="27" t="s">
        <v>279</v>
      </c>
      <c r="G13" s="28" t="s">
        <v>90</v>
      </c>
      <c r="H13" s="34" t="n">
        <f aca="false">IF($A13="","",Settings!$B$8)</f>
        <v>50</v>
      </c>
      <c r="I13" s="27" t="s">
        <v>274</v>
      </c>
      <c r="J13" s="27" t="s">
        <v>275</v>
      </c>
      <c r="K13" s="27" t="s">
        <v>283</v>
      </c>
      <c r="L13" s="27" t="s">
        <v>65</v>
      </c>
      <c r="M13" s="28" t="s">
        <v>301</v>
      </c>
      <c r="N13" s="28" t="s">
        <v>277</v>
      </c>
      <c r="O13" s="32"/>
      <c r="P13" s="31" t="str">
        <f aca="false">IF($B13="","",IF(COUNTIF(Customers!$B$4:$B$1003,$B13)&gt;0,"Yes","No"))</f>
        <v>Yes</v>
      </c>
      <c r="Q13" s="31" t="n">
        <f aca="true">IF($E13="","",IF($E13&gt;TODAY(),"Scheduled",TODAY()-$E13))</f>
        <v>114</v>
      </c>
    </row>
    <row r="14" customFormat="false" ht="15.75" hidden="false" customHeight="true" outlineLevel="0" collapsed="false">
      <c r="A14" s="27" t="s">
        <v>302</v>
      </c>
      <c r="B14" s="28" t="s">
        <v>137</v>
      </c>
      <c r="C14" s="33" t="str">
        <f aca="false">IFERROR(INDEX('Lead Management'!$B$4:$B$1003,MATCH($B14,'Lead Management'!$A$4:$A$1003,0)),"")</f>
        <v>Farrukh Davlatov</v>
      </c>
      <c r="D14" s="33" t="str">
        <f aca="false">IFERROR(INDEX('Lead Management'!$C$4:$C$1003,MATCH($B14,'Lead Management'!$A$4:$A$1003,0)),"")</f>
        <v>+992 93 233 2507</v>
      </c>
      <c r="E14" s="29" t="n">
        <v>46111</v>
      </c>
      <c r="F14" s="27" t="s">
        <v>282</v>
      </c>
      <c r="G14" s="28" t="s">
        <v>273</v>
      </c>
      <c r="H14" s="34" t="n">
        <f aca="false">IF($A14="","",Settings!$B$8)</f>
        <v>50</v>
      </c>
      <c r="I14" s="27" t="s">
        <v>274</v>
      </c>
      <c r="J14" s="27" t="s">
        <v>275</v>
      </c>
      <c r="K14" s="27" t="s">
        <v>298</v>
      </c>
      <c r="L14" s="27" t="s">
        <v>142</v>
      </c>
      <c r="M14" s="28" t="s">
        <v>303</v>
      </c>
      <c r="N14" s="28" t="s">
        <v>277</v>
      </c>
      <c r="O14" s="32"/>
      <c r="P14" s="31" t="str">
        <f aca="false">IF($B14="","",IF(COUNTIF(Customers!$B$4:$B$1003,$B14)&gt;0,"Yes","No"))</f>
        <v>Yes</v>
      </c>
      <c r="Q14" s="31" t="n">
        <f aca="true">IF($E14="","",IF($E14&gt;TODAY(),"Scheduled",TODAY()-$E14))</f>
        <v>122</v>
      </c>
    </row>
    <row r="15" customFormat="false" ht="15.75" hidden="false" customHeight="true" outlineLevel="0" collapsed="false">
      <c r="A15" s="27" t="s">
        <v>304</v>
      </c>
      <c r="B15" s="28" t="s">
        <v>143</v>
      </c>
      <c r="C15" s="33" t="str">
        <f aca="false">IFERROR(INDEX('Lead Management'!$B$4:$B$1003,MATCH($B15,'Lead Management'!$A$4:$A$1003,0)),"")</f>
        <v>Gulnora Safarova</v>
      </c>
      <c r="D15" s="33" t="str">
        <f aca="false">IFERROR(INDEX('Lead Management'!$C$4:$C$1003,MATCH($B15,'Lead Management'!$A$4:$A$1003,0)),"")</f>
        <v>+992 94 236 2644</v>
      </c>
      <c r="E15" s="29" t="n">
        <v>46126</v>
      </c>
      <c r="F15" s="27" t="s">
        <v>286</v>
      </c>
      <c r="G15" s="28" t="s">
        <v>90</v>
      </c>
      <c r="H15" s="34" t="n">
        <f aca="false">IF($A15="","",Settings!$B$8)</f>
        <v>50</v>
      </c>
      <c r="I15" s="27" t="s">
        <v>274</v>
      </c>
      <c r="J15" s="27" t="s">
        <v>275</v>
      </c>
      <c r="K15" s="27" t="s">
        <v>298</v>
      </c>
      <c r="L15" s="27" t="s">
        <v>148</v>
      </c>
      <c r="M15" s="28" t="s">
        <v>305</v>
      </c>
      <c r="N15" s="28" t="s">
        <v>277</v>
      </c>
      <c r="O15" s="32"/>
      <c r="P15" s="31" t="str">
        <f aca="false">IF($B15="","",IF(COUNTIF(Customers!$B$4:$B$1003,$B15)&gt;0,"Yes","No"))</f>
        <v>Yes</v>
      </c>
      <c r="Q15" s="31" t="n">
        <f aca="true">IF($E15="","",IF($E15&gt;TODAY(),"Scheduled",TODAY()-$E15))</f>
        <v>107</v>
      </c>
    </row>
    <row r="16" customFormat="false" ht="15.75" hidden="false" customHeight="true" outlineLevel="0" collapsed="false">
      <c r="A16" s="27" t="s">
        <v>306</v>
      </c>
      <c r="B16" s="28" t="s">
        <v>150</v>
      </c>
      <c r="C16" s="33" t="str">
        <f aca="false">IFERROR(INDEX('Lead Management'!$B$4:$B$1003,MATCH($B16,'Lead Management'!$A$4:$A$1003,0)),"")</f>
        <v>Umed Nazriev</v>
      </c>
      <c r="D16" s="33" t="str">
        <f aca="false">IFERROR(INDEX('Lead Management'!$C$4:$C$1003,MATCH($B16,'Lead Management'!$A$4:$A$1003,0)),"")</f>
        <v>+992 95 239 2781</v>
      </c>
      <c r="E16" s="29" t="n">
        <v>46133</v>
      </c>
      <c r="F16" s="27" t="s">
        <v>289</v>
      </c>
      <c r="G16" s="28" t="s">
        <v>273</v>
      </c>
      <c r="H16" s="34" t="n">
        <f aca="false">IF($A16="","",Settings!$B$8)</f>
        <v>50</v>
      </c>
      <c r="I16" s="27" t="s">
        <v>274</v>
      </c>
      <c r="J16" s="27" t="s">
        <v>275</v>
      </c>
      <c r="K16" s="27" t="s">
        <v>307</v>
      </c>
      <c r="L16" s="27" t="s">
        <v>78</v>
      </c>
      <c r="M16" s="28" t="s">
        <v>308</v>
      </c>
      <c r="N16" s="28" t="s">
        <v>309</v>
      </c>
      <c r="O16" s="32" t="s">
        <v>310</v>
      </c>
      <c r="P16" s="31" t="str">
        <f aca="false">IF($B16="","",IF(COUNTIF(Customers!$B$4:$B$1003,$B16)&gt;0,"Yes","No"))</f>
        <v>No</v>
      </c>
      <c r="Q16" s="31" t="n">
        <f aca="true">IF($E16="","",IF($E16&gt;TODAY(),"Scheduled",TODAY()-$E16))</f>
        <v>100</v>
      </c>
    </row>
    <row r="17" customFormat="false" ht="15.75" hidden="false" customHeight="true" outlineLevel="0" collapsed="false">
      <c r="A17" s="27" t="s">
        <v>311</v>
      </c>
      <c r="B17" s="28" t="s">
        <v>155</v>
      </c>
      <c r="C17" s="33" t="str">
        <f aca="false">IFERROR(INDEX('Lead Management'!$B$4:$B$1003,MATCH($B17,'Lead Management'!$A$4:$A$1003,0)),"")</f>
        <v>Shahnoza Rajabova</v>
      </c>
      <c r="D17" s="33" t="str">
        <f aca="false">IFERROR(INDEX('Lead Management'!$C$4:$C$1003,MATCH($B17,'Lead Management'!$A$4:$A$1003,0)),"")</f>
        <v>+992 96 242 2918</v>
      </c>
      <c r="E17" s="29" t="n">
        <v>46120</v>
      </c>
      <c r="F17" s="27" t="s">
        <v>291</v>
      </c>
      <c r="G17" s="28" t="s">
        <v>90</v>
      </c>
      <c r="H17" s="34" t="n">
        <f aca="false">IF($A17="","",Settings!$B$8)</f>
        <v>50</v>
      </c>
      <c r="I17" s="27" t="s">
        <v>274</v>
      </c>
      <c r="J17" s="27" t="s">
        <v>275</v>
      </c>
      <c r="K17" s="27" t="s">
        <v>298</v>
      </c>
      <c r="L17" s="27" t="s">
        <v>65</v>
      </c>
      <c r="M17" s="28" t="s">
        <v>97</v>
      </c>
      <c r="N17" s="28" t="s">
        <v>312</v>
      </c>
      <c r="O17" s="32" t="s">
        <v>313</v>
      </c>
      <c r="P17" s="31" t="str">
        <f aca="false">IF($B17="","",IF(COUNTIF(Customers!$B$4:$B$1003,$B17)&gt;0,"Yes","No"))</f>
        <v>No</v>
      </c>
      <c r="Q17" s="31" t="n">
        <f aca="true">IF($E17="","",IF($E17&gt;TODAY(),"Scheduled",TODAY()-$E17))</f>
        <v>113</v>
      </c>
    </row>
    <row r="18" customFormat="false" ht="15.75" hidden="false" customHeight="true" outlineLevel="0" collapsed="false">
      <c r="A18" s="27" t="s">
        <v>314</v>
      </c>
      <c r="B18" s="28" t="s">
        <v>160</v>
      </c>
      <c r="C18" s="33" t="str">
        <f aca="false">IFERROR(INDEX('Lead Management'!$B$4:$B$1003,MATCH($B18,'Lead Management'!$A$4:$A$1003,0)),"")</f>
        <v>Iskandar Mirzoev</v>
      </c>
      <c r="D18" s="33" t="str">
        <f aca="false">IFERROR(INDEX('Lead Management'!$C$4:$C$1003,MATCH($B18,'Lead Management'!$A$4:$A$1003,0)),"")</f>
        <v>+992 97 245 3055</v>
      </c>
      <c r="E18" s="29" t="n">
        <v>46237</v>
      </c>
      <c r="F18" s="27" t="s">
        <v>294</v>
      </c>
      <c r="G18" s="28" t="s">
        <v>273</v>
      </c>
      <c r="H18" s="34" t="n">
        <f aca="false">IF($A18="","",Settings!$B$8)</f>
        <v>50</v>
      </c>
      <c r="I18" s="27" t="s">
        <v>315</v>
      </c>
      <c r="J18" s="27" t="s">
        <v>316</v>
      </c>
      <c r="K18" s="27"/>
      <c r="L18" s="27" t="s">
        <v>65</v>
      </c>
      <c r="M18" s="28" t="s">
        <v>105</v>
      </c>
      <c r="N18" s="28" t="s">
        <v>317</v>
      </c>
      <c r="O18" s="32"/>
      <c r="P18" s="31" t="str">
        <f aca="false">IF($B18="","",IF(COUNTIF(Customers!$B$4:$B$1003,$B18)&gt;0,"Yes","No"))</f>
        <v>No</v>
      </c>
      <c r="Q18" s="31" t="str">
        <f aca="true">IF($E18="","",IF($E18&gt;TODAY(),"Scheduled",TODAY()-$E18))</f>
        <v>Scheduled</v>
      </c>
    </row>
    <row r="19" customFormat="false" ht="15.75" hidden="false" customHeight="true" outlineLevel="0" collapsed="false">
      <c r="A19" s="27" t="s">
        <v>318</v>
      </c>
      <c r="B19" s="28" t="s">
        <v>166</v>
      </c>
      <c r="C19" s="33" t="str">
        <f aca="false">IFERROR(INDEX('Lead Management'!$B$4:$B$1003,MATCH($B19,'Lead Management'!$A$4:$A$1003,0)),"")</f>
        <v>Sitora Hakimova</v>
      </c>
      <c r="D19" s="33" t="str">
        <f aca="false">IFERROR(INDEX('Lead Management'!$C$4:$C$1003,MATCH($B19,'Lead Management'!$A$4:$A$1003,0)),"")</f>
        <v>+992 90 248 3192</v>
      </c>
      <c r="E19" s="29" t="n">
        <v>46238</v>
      </c>
      <c r="F19" s="27" t="s">
        <v>296</v>
      </c>
      <c r="G19" s="28" t="s">
        <v>90</v>
      </c>
      <c r="H19" s="34" t="n">
        <f aca="false">IF($A19="","",Settings!$B$8)</f>
        <v>50</v>
      </c>
      <c r="I19" s="27" t="s">
        <v>315</v>
      </c>
      <c r="J19" s="27" t="s">
        <v>316</v>
      </c>
      <c r="K19" s="27"/>
      <c r="L19" s="27" t="s">
        <v>88</v>
      </c>
      <c r="M19" s="28" t="s">
        <v>280</v>
      </c>
      <c r="N19" s="28" t="s">
        <v>317</v>
      </c>
      <c r="O19" s="32"/>
      <c r="P19" s="31" t="str">
        <f aca="false">IF($B19="","",IF(COUNTIF(Customers!$B$4:$B$1003,$B19)&gt;0,"Yes","No"))</f>
        <v>No</v>
      </c>
      <c r="Q19" s="31" t="str">
        <f aca="true">IF($E19="","",IF($E19&gt;TODAY(),"Scheduled",TODAY()-$E19))</f>
        <v>Scheduled</v>
      </c>
    </row>
    <row r="20" customFormat="false" ht="15.75" hidden="false" customHeight="true" outlineLevel="0" collapsed="false">
      <c r="A20" s="27" t="s">
        <v>319</v>
      </c>
      <c r="B20" s="28" t="s">
        <v>171</v>
      </c>
      <c r="C20" s="33" t="str">
        <f aca="false">IFERROR(INDEX('Lead Management'!$B$4:$B$1003,MATCH($B20,'Lead Management'!$A$4:$A$1003,0)),"")</f>
        <v>Daler Ashurov</v>
      </c>
      <c r="D20" s="33" t="str">
        <f aca="false">IFERROR(INDEX('Lead Management'!$C$4:$C$1003,MATCH($B20,'Lead Management'!$A$4:$A$1003,0)),"")</f>
        <v>+992 91 251 3329</v>
      </c>
      <c r="E20" s="29" t="n">
        <v>46168</v>
      </c>
      <c r="F20" s="27" t="s">
        <v>272</v>
      </c>
      <c r="G20" s="28" t="s">
        <v>273</v>
      </c>
      <c r="H20" s="34" t="n">
        <f aca="false">IF($A20="","",Settings!$B$8)</f>
        <v>50</v>
      </c>
      <c r="I20" s="27" t="s">
        <v>320</v>
      </c>
      <c r="J20" s="27" t="s">
        <v>321</v>
      </c>
      <c r="K20" s="27"/>
      <c r="L20" s="27" t="s">
        <v>106</v>
      </c>
      <c r="M20" s="28" t="s">
        <v>284</v>
      </c>
      <c r="N20" s="28" t="s">
        <v>322</v>
      </c>
      <c r="O20" s="32" t="s">
        <v>323</v>
      </c>
      <c r="P20" s="31" t="str">
        <f aca="false">IF($B20="","",IF(COUNTIF(Customers!$B$4:$B$1003,$B20)&gt;0,"Yes","No"))</f>
        <v>No</v>
      </c>
      <c r="Q20" s="31" t="n">
        <f aca="true">IF($E20="","",IF($E20&gt;TODAY(),"Scheduled",TODAY()-$E20))</f>
        <v>65</v>
      </c>
    </row>
    <row r="21" customFormat="false" ht="15.75" hidden="false" customHeight="true" outlineLevel="0" collapsed="false">
      <c r="A21" s="27" t="s">
        <v>324</v>
      </c>
      <c r="B21" s="28" t="s">
        <v>179</v>
      </c>
      <c r="C21" s="33" t="str">
        <f aca="false">IFERROR(INDEX('Lead Management'!$B$4:$B$1003,MATCH($B21,'Lead Management'!$A$4:$A$1003,0)),"")</f>
        <v>Nasiba Kholova</v>
      </c>
      <c r="D21" s="33" t="str">
        <f aca="false">IFERROR(INDEX('Lead Management'!$C$4:$C$1003,MATCH($B21,'Lead Management'!$A$4:$A$1003,0)),"")</f>
        <v>+992 92 254 3466</v>
      </c>
      <c r="E21" s="29" t="n">
        <v>46176</v>
      </c>
      <c r="F21" s="27" t="s">
        <v>279</v>
      </c>
      <c r="G21" s="28" t="s">
        <v>90</v>
      </c>
      <c r="H21" s="34" t="n">
        <f aca="false">IF($A21="","",Settings!$B$8)</f>
        <v>50</v>
      </c>
      <c r="I21" s="27" t="s">
        <v>320</v>
      </c>
      <c r="J21" s="27" t="s">
        <v>320</v>
      </c>
      <c r="K21" s="27"/>
      <c r="L21" s="27" t="s">
        <v>78</v>
      </c>
      <c r="M21" s="28" t="s">
        <v>85</v>
      </c>
      <c r="N21" s="28" t="s">
        <v>309</v>
      </c>
      <c r="O21" s="32" t="s">
        <v>325</v>
      </c>
      <c r="P21" s="31" t="str">
        <f aca="false">IF($B21="","",IF(COUNTIF(Customers!$B$4:$B$1003,$B21)&gt;0,"Yes","No"))</f>
        <v>No</v>
      </c>
      <c r="Q21" s="31" t="n">
        <f aca="true">IF($E21="","",IF($E21&gt;TODAY(),"Scheduled",TODAY()-$E21))</f>
        <v>57</v>
      </c>
    </row>
    <row r="22" customFormat="false" ht="15.75" hidden="false" customHeight="true" outlineLevel="0" collapsed="false">
      <c r="A22" s="27"/>
      <c r="B22" s="28"/>
      <c r="C22" s="33" t="str">
        <f aca="false">IFERROR(INDEX('Lead Management'!$B$4:$B$1003,MATCH($B22,'Lead Management'!$A$4:$A$1003,0)),"")</f>
        <v/>
      </c>
      <c r="D22" s="33" t="str">
        <f aca="false">IFERROR(INDEX('Lead Management'!$C$4:$C$1003,MATCH($B22,'Lead Management'!$A$4:$A$1003,0)),"")</f>
        <v/>
      </c>
      <c r="E22" s="29"/>
      <c r="F22" s="27"/>
      <c r="G22" s="28"/>
      <c r="H22" s="34" t="str">
        <f aca="false">IF($A22="","",Settings!$B$8)</f>
        <v/>
      </c>
      <c r="I22" s="27"/>
      <c r="J22" s="27"/>
      <c r="K22" s="27"/>
      <c r="L22" s="27"/>
      <c r="M22" s="28"/>
      <c r="N22" s="28"/>
      <c r="O22" s="32"/>
      <c r="P22" s="31" t="str">
        <f aca="false">IF($B22="","",IF(COUNTIF(Customers!$B$4:$B$1003,$B22)&gt;0,"Yes","No"))</f>
        <v/>
      </c>
      <c r="Q22" s="31" t="str">
        <f aca="true">IF($E22="","",IF($E22&gt;TODAY(),"Scheduled",TODAY()-$E22))</f>
        <v/>
      </c>
    </row>
    <row r="23" customFormat="false" ht="15.75" hidden="false" customHeight="true" outlineLevel="0" collapsed="false">
      <c r="A23" s="27"/>
      <c r="B23" s="28"/>
      <c r="C23" s="33" t="str">
        <f aca="false">IFERROR(INDEX('Lead Management'!$B$4:$B$1003,MATCH($B23,'Lead Management'!$A$4:$A$1003,0)),"")</f>
        <v/>
      </c>
      <c r="D23" s="33" t="str">
        <f aca="false">IFERROR(INDEX('Lead Management'!$C$4:$C$1003,MATCH($B23,'Lead Management'!$A$4:$A$1003,0)),"")</f>
        <v/>
      </c>
      <c r="E23" s="29"/>
      <c r="F23" s="27"/>
      <c r="G23" s="28"/>
      <c r="H23" s="34" t="str">
        <f aca="false">IF($A23="","",Settings!$B$8)</f>
        <v/>
      </c>
      <c r="I23" s="27"/>
      <c r="J23" s="27"/>
      <c r="K23" s="27"/>
      <c r="L23" s="27"/>
      <c r="M23" s="28"/>
      <c r="N23" s="28"/>
      <c r="O23" s="32"/>
      <c r="P23" s="31" t="str">
        <f aca="false">IF($B23="","",IF(COUNTIF(Customers!$B$4:$B$1003,$B23)&gt;0,"Yes","No"))</f>
        <v/>
      </c>
      <c r="Q23" s="31" t="str">
        <f aca="true">IF($E23="","",IF($E23&gt;TODAY(),"Scheduled",TODAY()-$E23))</f>
        <v/>
      </c>
    </row>
    <row r="24" customFormat="false" ht="15.75" hidden="false" customHeight="true" outlineLevel="0" collapsed="false">
      <c r="A24" s="27"/>
      <c r="B24" s="28"/>
      <c r="C24" s="33" t="str">
        <f aca="false">IFERROR(INDEX('Lead Management'!$B$4:$B$1003,MATCH($B24,'Lead Management'!$A$4:$A$1003,0)),"")</f>
        <v/>
      </c>
      <c r="D24" s="33" t="str">
        <f aca="false">IFERROR(INDEX('Lead Management'!$C$4:$C$1003,MATCH($B24,'Lead Management'!$A$4:$A$1003,0)),"")</f>
        <v/>
      </c>
      <c r="E24" s="29"/>
      <c r="F24" s="27"/>
      <c r="G24" s="28"/>
      <c r="H24" s="34" t="str">
        <f aca="false">IF($A24="","",Settings!$B$8)</f>
        <v/>
      </c>
      <c r="I24" s="27"/>
      <c r="J24" s="27"/>
      <c r="K24" s="27"/>
      <c r="L24" s="27"/>
      <c r="M24" s="28"/>
      <c r="N24" s="28"/>
      <c r="O24" s="32"/>
      <c r="P24" s="31" t="str">
        <f aca="false">IF($B24="","",IF(COUNTIF(Customers!$B$4:$B$1003,$B24)&gt;0,"Yes","No"))</f>
        <v/>
      </c>
      <c r="Q24" s="31" t="str">
        <f aca="true">IF($E24="","",IF($E24&gt;TODAY(),"Scheduled",TODAY()-$E24))</f>
        <v/>
      </c>
    </row>
    <row r="25" customFormat="false" ht="15.75" hidden="false" customHeight="true" outlineLevel="0" collapsed="false">
      <c r="A25" s="27"/>
      <c r="B25" s="28"/>
      <c r="C25" s="33" t="str">
        <f aca="false">IFERROR(INDEX('Lead Management'!$B$4:$B$1003,MATCH($B25,'Lead Management'!$A$4:$A$1003,0)),"")</f>
        <v/>
      </c>
      <c r="D25" s="33" t="str">
        <f aca="false">IFERROR(INDEX('Lead Management'!$C$4:$C$1003,MATCH($B25,'Lead Management'!$A$4:$A$1003,0)),"")</f>
        <v/>
      </c>
      <c r="E25" s="29"/>
      <c r="F25" s="27"/>
      <c r="G25" s="28"/>
      <c r="H25" s="34" t="str">
        <f aca="false">IF($A25="","",Settings!$B$8)</f>
        <v/>
      </c>
      <c r="I25" s="27"/>
      <c r="J25" s="27"/>
      <c r="K25" s="27"/>
      <c r="L25" s="27"/>
      <c r="M25" s="28"/>
      <c r="N25" s="28"/>
      <c r="O25" s="32"/>
      <c r="P25" s="31" t="str">
        <f aca="false">IF($B25="","",IF(COUNTIF(Customers!$B$4:$B$1003,$B25)&gt;0,"Yes","No"))</f>
        <v/>
      </c>
      <c r="Q25" s="31" t="str">
        <f aca="true">IF($E25="","",IF($E25&gt;TODAY(),"Scheduled",TODAY()-$E25))</f>
        <v/>
      </c>
    </row>
    <row r="26" customFormat="false" ht="15.75" hidden="false" customHeight="true" outlineLevel="0" collapsed="false">
      <c r="A26" s="27"/>
      <c r="B26" s="28"/>
      <c r="C26" s="33" t="str">
        <f aca="false">IFERROR(INDEX('Lead Management'!$B$4:$B$1003,MATCH($B26,'Lead Management'!$A$4:$A$1003,0)),"")</f>
        <v/>
      </c>
      <c r="D26" s="33" t="str">
        <f aca="false">IFERROR(INDEX('Lead Management'!$C$4:$C$1003,MATCH($B26,'Lead Management'!$A$4:$A$1003,0)),"")</f>
        <v/>
      </c>
      <c r="E26" s="29"/>
      <c r="F26" s="27"/>
      <c r="G26" s="28"/>
      <c r="H26" s="34" t="str">
        <f aca="false">IF($A26="","",Settings!$B$8)</f>
        <v/>
      </c>
      <c r="I26" s="27"/>
      <c r="J26" s="27"/>
      <c r="K26" s="27"/>
      <c r="L26" s="27"/>
      <c r="M26" s="28"/>
      <c r="N26" s="28"/>
      <c r="O26" s="32"/>
      <c r="P26" s="31" t="str">
        <f aca="false">IF($B26="","",IF(COUNTIF(Customers!$B$4:$B$1003,$B26)&gt;0,"Yes","No"))</f>
        <v/>
      </c>
      <c r="Q26" s="31" t="str">
        <f aca="true">IF($E26="","",IF($E26&gt;TODAY(),"Scheduled",TODAY()-$E26))</f>
        <v/>
      </c>
    </row>
    <row r="27" customFormat="false" ht="15.75" hidden="false" customHeight="true" outlineLevel="0" collapsed="false">
      <c r="A27" s="27"/>
      <c r="B27" s="28"/>
      <c r="C27" s="33" t="str">
        <f aca="false">IFERROR(INDEX('Lead Management'!$B$4:$B$1003,MATCH($B27,'Lead Management'!$A$4:$A$1003,0)),"")</f>
        <v/>
      </c>
      <c r="D27" s="33" t="str">
        <f aca="false">IFERROR(INDEX('Lead Management'!$C$4:$C$1003,MATCH($B27,'Lead Management'!$A$4:$A$1003,0)),"")</f>
        <v/>
      </c>
      <c r="E27" s="29"/>
      <c r="F27" s="27"/>
      <c r="G27" s="28"/>
      <c r="H27" s="34" t="str">
        <f aca="false">IF($A27="","",Settings!$B$8)</f>
        <v/>
      </c>
      <c r="I27" s="27"/>
      <c r="J27" s="27"/>
      <c r="K27" s="27"/>
      <c r="L27" s="27"/>
      <c r="M27" s="28"/>
      <c r="N27" s="28"/>
      <c r="O27" s="32"/>
      <c r="P27" s="31" t="str">
        <f aca="false">IF($B27="","",IF(COUNTIF(Customers!$B$4:$B$1003,$B27)&gt;0,"Yes","No"))</f>
        <v/>
      </c>
      <c r="Q27" s="31" t="str">
        <f aca="true">IF($E27="","",IF($E27&gt;TODAY(),"Scheduled",TODAY()-$E27))</f>
        <v/>
      </c>
    </row>
    <row r="28" customFormat="false" ht="15.75" hidden="false" customHeight="true" outlineLevel="0" collapsed="false">
      <c r="A28" s="27"/>
      <c r="B28" s="28"/>
      <c r="C28" s="33" t="str">
        <f aca="false">IFERROR(INDEX('Lead Management'!$B$4:$B$1003,MATCH($B28,'Lead Management'!$A$4:$A$1003,0)),"")</f>
        <v/>
      </c>
      <c r="D28" s="33" t="str">
        <f aca="false">IFERROR(INDEX('Lead Management'!$C$4:$C$1003,MATCH($B28,'Lead Management'!$A$4:$A$1003,0)),"")</f>
        <v/>
      </c>
      <c r="E28" s="29"/>
      <c r="F28" s="27"/>
      <c r="G28" s="28"/>
      <c r="H28" s="34" t="str">
        <f aca="false">IF($A28="","",Settings!$B$8)</f>
        <v/>
      </c>
      <c r="I28" s="27"/>
      <c r="J28" s="27"/>
      <c r="K28" s="27"/>
      <c r="L28" s="27"/>
      <c r="M28" s="28"/>
      <c r="N28" s="28"/>
      <c r="O28" s="32"/>
      <c r="P28" s="31" t="str">
        <f aca="false">IF($B28="","",IF(COUNTIF(Customers!$B$4:$B$1003,$B28)&gt;0,"Yes","No"))</f>
        <v/>
      </c>
      <c r="Q28" s="31" t="str">
        <f aca="true">IF($E28="","",IF($E28&gt;TODAY(),"Scheduled",TODAY()-$E28))</f>
        <v/>
      </c>
    </row>
    <row r="29" customFormat="false" ht="15.75" hidden="false" customHeight="true" outlineLevel="0" collapsed="false">
      <c r="A29" s="27"/>
      <c r="B29" s="28"/>
      <c r="C29" s="33" t="str">
        <f aca="false">IFERROR(INDEX('Lead Management'!$B$4:$B$1003,MATCH($B29,'Lead Management'!$A$4:$A$1003,0)),"")</f>
        <v/>
      </c>
      <c r="D29" s="33" t="str">
        <f aca="false">IFERROR(INDEX('Lead Management'!$C$4:$C$1003,MATCH($B29,'Lead Management'!$A$4:$A$1003,0)),"")</f>
        <v/>
      </c>
      <c r="E29" s="29"/>
      <c r="F29" s="27"/>
      <c r="G29" s="28"/>
      <c r="H29" s="34" t="str">
        <f aca="false">IF($A29="","",Settings!$B$8)</f>
        <v/>
      </c>
      <c r="I29" s="27"/>
      <c r="J29" s="27"/>
      <c r="K29" s="27"/>
      <c r="L29" s="27"/>
      <c r="M29" s="28"/>
      <c r="N29" s="28"/>
      <c r="O29" s="32"/>
      <c r="P29" s="31" t="str">
        <f aca="false">IF($B29="","",IF(COUNTIF(Customers!$B$4:$B$1003,$B29)&gt;0,"Yes","No"))</f>
        <v/>
      </c>
      <c r="Q29" s="31" t="str">
        <f aca="true">IF($E29="","",IF($E29&gt;TODAY(),"Scheduled",TODAY()-$E29))</f>
        <v/>
      </c>
    </row>
    <row r="30" customFormat="false" ht="15.75" hidden="false" customHeight="true" outlineLevel="0" collapsed="false">
      <c r="A30" s="27"/>
      <c r="B30" s="28"/>
      <c r="C30" s="33" t="str">
        <f aca="false">IFERROR(INDEX('Lead Management'!$B$4:$B$1003,MATCH($B30,'Lead Management'!$A$4:$A$1003,0)),"")</f>
        <v/>
      </c>
      <c r="D30" s="33" t="str">
        <f aca="false">IFERROR(INDEX('Lead Management'!$C$4:$C$1003,MATCH($B30,'Lead Management'!$A$4:$A$1003,0)),"")</f>
        <v/>
      </c>
      <c r="E30" s="29"/>
      <c r="F30" s="27"/>
      <c r="G30" s="28"/>
      <c r="H30" s="34" t="str">
        <f aca="false">IF($A30="","",Settings!$B$8)</f>
        <v/>
      </c>
      <c r="I30" s="27"/>
      <c r="J30" s="27"/>
      <c r="K30" s="27"/>
      <c r="L30" s="27"/>
      <c r="M30" s="28"/>
      <c r="N30" s="28"/>
      <c r="O30" s="32"/>
      <c r="P30" s="31" t="str">
        <f aca="false">IF($B30="","",IF(COUNTIF(Customers!$B$4:$B$1003,$B30)&gt;0,"Yes","No"))</f>
        <v/>
      </c>
      <c r="Q30" s="31" t="str">
        <f aca="true">IF($E30="","",IF($E30&gt;TODAY(),"Scheduled",TODAY()-$E30))</f>
        <v/>
      </c>
    </row>
    <row r="31" customFormat="false" ht="15.75" hidden="false" customHeight="true" outlineLevel="0" collapsed="false">
      <c r="A31" s="27"/>
      <c r="B31" s="28"/>
      <c r="C31" s="33" t="str">
        <f aca="false">IFERROR(INDEX('Lead Management'!$B$4:$B$1003,MATCH($B31,'Lead Management'!$A$4:$A$1003,0)),"")</f>
        <v/>
      </c>
      <c r="D31" s="33" t="str">
        <f aca="false">IFERROR(INDEX('Lead Management'!$C$4:$C$1003,MATCH($B31,'Lead Management'!$A$4:$A$1003,0)),"")</f>
        <v/>
      </c>
      <c r="E31" s="29"/>
      <c r="F31" s="27"/>
      <c r="G31" s="28"/>
      <c r="H31" s="34" t="str">
        <f aca="false">IF($A31="","",Settings!$B$8)</f>
        <v/>
      </c>
      <c r="I31" s="27"/>
      <c r="J31" s="27"/>
      <c r="K31" s="27"/>
      <c r="L31" s="27"/>
      <c r="M31" s="28"/>
      <c r="N31" s="28"/>
      <c r="O31" s="32"/>
      <c r="P31" s="31" t="str">
        <f aca="false">IF($B31="","",IF(COUNTIF(Customers!$B$4:$B$1003,$B31)&gt;0,"Yes","No"))</f>
        <v/>
      </c>
      <c r="Q31" s="31" t="str">
        <f aca="true">IF($E31="","",IF($E31&gt;TODAY(),"Scheduled",TODAY()-$E31))</f>
        <v/>
      </c>
    </row>
    <row r="32" customFormat="false" ht="15.75" hidden="false" customHeight="true" outlineLevel="0" collapsed="false">
      <c r="A32" s="27"/>
      <c r="B32" s="28"/>
      <c r="C32" s="33" t="str">
        <f aca="false">IFERROR(INDEX('Lead Management'!$B$4:$B$1003,MATCH($B32,'Lead Management'!$A$4:$A$1003,0)),"")</f>
        <v/>
      </c>
      <c r="D32" s="33" t="str">
        <f aca="false">IFERROR(INDEX('Lead Management'!$C$4:$C$1003,MATCH($B32,'Lead Management'!$A$4:$A$1003,0)),"")</f>
        <v/>
      </c>
      <c r="E32" s="29"/>
      <c r="F32" s="27"/>
      <c r="G32" s="28"/>
      <c r="H32" s="34" t="str">
        <f aca="false">IF($A32="","",Settings!$B$8)</f>
        <v/>
      </c>
      <c r="I32" s="27"/>
      <c r="J32" s="27"/>
      <c r="K32" s="27"/>
      <c r="L32" s="27"/>
      <c r="M32" s="28"/>
      <c r="N32" s="28"/>
      <c r="O32" s="32"/>
      <c r="P32" s="31" t="str">
        <f aca="false">IF($B32="","",IF(COUNTIF(Customers!$B$4:$B$1003,$B32)&gt;0,"Yes","No"))</f>
        <v/>
      </c>
      <c r="Q32" s="31" t="str">
        <f aca="true">IF($E32="","",IF($E32&gt;TODAY(),"Scheduled",TODAY()-$E32))</f>
        <v/>
      </c>
    </row>
    <row r="33" customFormat="false" ht="15.75" hidden="false" customHeight="true" outlineLevel="0" collapsed="false">
      <c r="A33" s="27"/>
      <c r="B33" s="28"/>
      <c r="C33" s="33" t="str">
        <f aca="false">IFERROR(INDEX('Lead Management'!$B$4:$B$1003,MATCH($B33,'Lead Management'!$A$4:$A$1003,0)),"")</f>
        <v/>
      </c>
      <c r="D33" s="33" t="str">
        <f aca="false">IFERROR(INDEX('Lead Management'!$C$4:$C$1003,MATCH($B33,'Lead Management'!$A$4:$A$1003,0)),"")</f>
        <v/>
      </c>
      <c r="E33" s="29"/>
      <c r="F33" s="27"/>
      <c r="G33" s="28"/>
      <c r="H33" s="34" t="str">
        <f aca="false">IF($A33="","",Settings!$B$8)</f>
        <v/>
      </c>
      <c r="I33" s="27"/>
      <c r="J33" s="27"/>
      <c r="K33" s="27"/>
      <c r="L33" s="27"/>
      <c r="M33" s="28"/>
      <c r="N33" s="28"/>
      <c r="O33" s="32"/>
      <c r="P33" s="31" t="str">
        <f aca="false">IF($B33="","",IF(COUNTIF(Customers!$B$4:$B$1003,$B33)&gt;0,"Yes","No"))</f>
        <v/>
      </c>
      <c r="Q33" s="31" t="str">
        <f aca="true">IF($E33="","",IF($E33&gt;TODAY(),"Scheduled",TODAY()-$E33))</f>
        <v/>
      </c>
    </row>
    <row r="34" customFormat="false" ht="15.75" hidden="false" customHeight="true" outlineLevel="0" collapsed="false">
      <c r="A34" s="27"/>
      <c r="B34" s="28"/>
      <c r="C34" s="33" t="str">
        <f aca="false">IFERROR(INDEX('Lead Management'!$B$4:$B$1003,MATCH($B34,'Lead Management'!$A$4:$A$1003,0)),"")</f>
        <v/>
      </c>
      <c r="D34" s="33" t="str">
        <f aca="false">IFERROR(INDEX('Lead Management'!$C$4:$C$1003,MATCH($B34,'Lead Management'!$A$4:$A$1003,0)),"")</f>
        <v/>
      </c>
      <c r="E34" s="29"/>
      <c r="F34" s="27"/>
      <c r="G34" s="28"/>
      <c r="H34" s="34" t="str">
        <f aca="false">IF($A34="","",Settings!$B$8)</f>
        <v/>
      </c>
      <c r="I34" s="27"/>
      <c r="J34" s="27"/>
      <c r="K34" s="27"/>
      <c r="L34" s="27"/>
      <c r="M34" s="28"/>
      <c r="N34" s="28"/>
      <c r="O34" s="32"/>
      <c r="P34" s="31" t="str">
        <f aca="false">IF($B34="","",IF(COUNTIF(Customers!$B$4:$B$1003,$B34)&gt;0,"Yes","No"))</f>
        <v/>
      </c>
      <c r="Q34" s="31" t="str">
        <f aca="true">IF($E34="","",IF($E34&gt;TODAY(),"Scheduled",TODAY()-$E34))</f>
        <v/>
      </c>
    </row>
    <row r="35" customFormat="false" ht="15.75" hidden="false" customHeight="true" outlineLevel="0" collapsed="false">
      <c r="A35" s="27"/>
      <c r="B35" s="28"/>
      <c r="C35" s="33" t="str">
        <f aca="false">IFERROR(INDEX('Lead Management'!$B$4:$B$1003,MATCH($B35,'Lead Management'!$A$4:$A$1003,0)),"")</f>
        <v/>
      </c>
      <c r="D35" s="33" t="str">
        <f aca="false">IFERROR(INDEX('Lead Management'!$C$4:$C$1003,MATCH($B35,'Lead Management'!$A$4:$A$1003,0)),"")</f>
        <v/>
      </c>
      <c r="E35" s="29"/>
      <c r="F35" s="27"/>
      <c r="G35" s="28"/>
      <c r="H35" s="34" t="str">
        <f aca="false">IF($A35="","",Settings!$B$8)</f>
        <v/>
      </c>
      <c r="I35" s="27"/>
      <c r="J35" s="27"/>
      <c r="K35" s="27"/>
      <c r="L35" s="27"/>
      <c r="M35" s="28"/>
      <c r="N35" s="28"/>
      <c r="O35" s="32"/>
      <c r="P35" s="31" t="str">
        <f aca="false">IF($B35="","",IF(COUNTIF(Customers!$B$4:$B$1003,$B35)&gt;0,"Yes","No"))</f>
        <v/>
      </c>
      <c r="Q35" s="31" t="str">
        <f aca="true">IF($E35="","",IF($E35&gt;TODAY(),"Scheduled",TODAY()-$E35))</f>
        <v/>
      </c>
    </row>
    <row r="36" customFormat="false" ht="15.75" hidden="false" customHeight="true" outlineLevel="0" collapsed="false">
      <c r="A36" s="27"/>
      <c r="B36" s="28"/>
      <c r="C36" s="33" t="str">
        <f aca="false">IFERROR(INDEX('Lead Management'!$B$4:$B$1003,MATCH($B36,'Lead Management'!$A$4:$A$1003,0)),"")</f>
        <v/>
      </c>
      <c r="D36" s="33" t="str">
        <f aca="false">IFERROR(INDEX('Lead Management'!$C$4:$C$1003,MATCH($B36,'Lead Management'!$A$4:$A$1003,0)),"")</f>
        <v/>
      </c>
      <c r="E36" s="29"/>
      <c r="F36" s="27"/>
      <c r="G36" s="28"/>
      <c r="H36" s="34" t="str">
        <f aca="false">IF($A36="","",Settings!$B$8)</f>
        <v/>
      </c>
      <c r="I36" s="27"/>
      <c r="J36" s="27"/>
      <c r="K36" s="27"/>
      <c r="L36" s="27"/>
      <c r="M36" s="28"/>
      <c r="N36" s="28"/>
      <c r="O36" s="32"/>
      <c r="P36" s="31" t="str">
        <f aca="false">IF($B36="","",IF(COUNTIF(Customers!$B$4:$B$1003,$B36)&gt;0,"Yes","No"))</f>
        <v/>
      </c>
      <c r="Q36" s="31" t="str">
        <f aca="true">IF($E36="","",IF($E36&gt;TODAY(),"Scheduled",TODAY()-$E36))</f>
        <v/>
      </c>
    </row>
    <row r="37" customFormat="false" ht="15.75" hidden="false" customHeight="true" outlineLevel="0" collapsed="false">
      <c r="A37" s="27"/>
      <c r="B37" s="28"/>
      <c r="C37" s="33" t="str">
        <f aca="false">IFERROR(INDEX('Lead Management'!$B$4:$B$1003,MATCH($B37,'Lead Management'!$A$4:$A$1003,0)),"")</f>
        <v/>
      </c>
      <c r="D37" s="33" t="str">
        <f aca="false">IFERROR(INDEX('Lead Management'!$C$4:$C$1003,MATCH($B37,'Lead Management'!$A$4:$A$1003,0)),"")</f>
        <v/>
      </c>
      <c r="E37" s="29"/>
      <c r="F37" s="27"/>
      <c r="G37" s="28"/>
      <c r="H37" s="34" t="str">
        <f aca="false">IF($A37="","",Settings!$B$8)</f>
        <v/>
      </c>
      <c r="I37" s="27"/>
      <c r="J37" s="27"/>
      <c r="K37" s="27"/>
      <c r="L37" s="27"/>
      <c r="M37" s="28"/>
      <c r="N37" s="28"/>
      <c r="O37" s="32"/>
      <c r="P37" s="31" t="str">
        <f aca="false">IF($B37="","",IF(COUNTIF(Customers!$B$4:$B$1003,$B37)&gt;0,"Yes","No"))</f>
        <v/>
      </c>
      <c r="Q37" s="31" t="str">
        <f aca="true">IF($E37="","",IF($E37&gt;TODAY(),"Scheduled",TODAY()-$E37))</f>
        <v/>
      </c>
    </row>
    <row r="38" customFormat="false" ht="15.75" hidden="false" customHeight="true" outlineLevel="0" collapsed="false">
      <c r="A38" s="27"/>
      <c r="B38" s="28"/>
      <c r="C38" s="33" t="str">
        <f aca="false">IFERROR(INDEX('Lead Management'!$B$4:$B$1003,MATCH($B38,'Lead Management'!$A$4:$A$1003,0)),"")</f>
        <v/>
      </c>
      <c r="D38" s="33" t="str">
        <f aca="false">IFERROR(INDEX('Lead Management'!$C$4:$C$1003,MATCH($B38,'Lead Management'!$A$4:$A$1003,0)),"")</f>
        <v/>
      </c>
      <c r="E38" s="29"/>
      <c r="F38" s="27"/>
      <c r="G38" s="28"/>
      <c r="H38" s="34" t="str">
        <f aca="false">IF($A38="","",Settings!$B$8)</f>
        <v/>
      </c>
      <c r="I38" s="27"/>
      <c r="J38" s="27"/>
      <c r="K38" s="27"/>
      <c r="L38" s="27"/>
      <c r="M38" s="28"/>
      <c r="N38" s="28"/>
      <c r="O38" s="32"/>
      <c r="P38" s="31" t="str">
        <f aca="false">IF($B38="","",IF(COUNTIF(Customers!$B$4:$B$1003,$B38)&gt;0,"Yes","No"))</f>
        <v/>
      </c>
      <c r="Q38" s="31" t="str">
        <f aca="true">IF($E38="","",IF($E38&gt;TODAY(),"Scheduled",TODAY()-$E38))</f>
        <v/>
      </c>
    </row>
    <row r="39" customFormat="false" ht="15.75" hidden="false" customHeight="true" outlineLevel="0" collapsed="false">
      <c r="A39" s="27"/>
      <c r="B39" s="28"/>
      <c r="C39" s="33" t="str">
        <f aca="false">IFERROR(INDEX('Lead Management'!$B$4:$B$1003,MATCH($B39,'Lead Management'!$A$4:$A$1003,0)),"")</f>
        <v/>
      </c>
      <c r="D39" s="33" t="str">
        <f aca="false">IFERROR(INDEX('Lead Management'!$C$4:$C$1003,MATCH($B39,'Lead Management'!$A$4:$A$1003,0)),"")</f>
        <v/>
      </c>
      <c r="E39" s="29"/>
      <c r="F39" s="27"/>
      <c r="G39" s="28"/>
      <c r="H39" s="34" t="str">
        <f aca="false">IF($A39="","",Settings!$B$8)</f>
        <v/>
      </c>
      <c r="I39" s="27"/>
      <c r="J39" s="27"/>
      <c r="K39" s="27"/>
      <c r="L39" s="27"/>
      <c r="M39" s="28"/>
      <c r="N39" s="28"/>
      <c r="O39" s="32"/>
      <c r="P39" s="31" t="str">
        <f aca="false">IF($B39="","",IF(COUNTIF(Customers!$B$4:$B$1003,$B39)&gt;0,"Yes","No"))</f>
        <v/>
      </c>
      <c r="Q39" s="31" t="str">
        <f aca="true">IF($E39="","",IF($E39&gt;TODAY(),"Scheduled",TODAY()-$E39))</f>
        <v/>
      </c>
    </row>
    <row r="40" customFormat="false" ht="15.75" hidden="false" customHeight="true" outlineLevel="0" collapsed="false">
      <c r="A40" s="27"/>
      <c r="B40" s="28"/>
      <c r="C40" s="33" t="str">
        <f aca="false">IFERROR(INDEX('Lead Management'!$B$4:$B$1003,MATCH($B40,'Lead Management'!$A$4:$A$1003,0)),"")</f>
        <v/>
      </c>
      <c r="D40" s="33" t="str">
        <f aca="false">IFERROR(INDEX('Lead Management'!$C$4:$C$1003,MATCH($B40,'Lead Management'!$A$4:$A$1003,0)),"")</f>
        <v/>
      </c>
      <c r="E40" s="29"/>
      <c r="F40" s="27"/>
      <c r="G40" s="28"/>
      <c r="H40" s="34" t="str">
        <f aca="false">IF($A40="","",Settings!$B$8)</f>
        <v/>
      </c>
      <c r="I40" s="27"/>
      <c r="J40" s="27"/>
      <c r="K40" s="27"/>
      <c r="L40" s="27"/>
      <c r="M40" s="28"/>
      <c r="N40" s="28"/>
      <c r="O40" s="32"/>
      <c r="P40" s="31" t="str">
        <f aca="false">IF($B40="","",IF(COUNTIF(Customers!$B$4:$B$1003,$B40)&gt;0,"Yes","No"))</f>
        <v/>
      </c>
      <c r="Q40" s="31" t="str">
        <f aca="true">IF($E40="","",IF($E40&gt;TODAY(),"Scheduled",TODAY()-$E40))</f>
        <v/>
      </c>
    </row>
    <row r="41" customFormat="false" ht="15.75" hidden="false" customHeight="true" outlineLevel="0" collapsed="false">
      <c r="A41" s="27"/>
      <c r="B41" s="28"/>
      <c r="C41" s="33" t="str">
        <f aca="false">IFERROR(INDEX('Lead Management'!$B$4:$B$1003,MATCH($B41,'Lead Management'!$A$4:$A$1003,0)),"")</f>
        <v/>
      </c>
      <c r="D41" s="33" t="str">
        <f aca="false">IFERROR(INDEX('Lead Management'!$C$4:$C$1003,MATCH($B41,'Lead Management'!$A$4:$A$1003,0)),"")</f>
        <v/>
      </c>
      <c r="E41" s="29"/>
      <c r="F41" s="27"/>
      <c r="G41" s="28"/>
      <c r="H41" s="34" t="str">
        <f aca="false">IF($A41="","",Settings!$B$8)</f>
        <v/>
      </c>
      <c r="I41" s="27"/>
      <c r="J41" s="27"/>
      <c r="K41" s="27"/>
      <c r="L41" s="27"/>
      <c r="M41" s="28"/>
      <c r="N41" s="28"/>
      <c r="O41" s="32"/>
      <c r="P41" s="31" t="str">
        <f aca="false">IF($B41="","",IF(COUNTIF(Customers!$B$4:$B$1003,$B41)&gt;0,"Yes","No"))</f>
        <v/>
      </c>
      <c r="Q41" s="31" t="str">
        <f aca="true">IF($E41="","",IF($E41&gt;TODAY(),"Scheduled",TODAY()-$E41))</f>
        <v/>
      </c>
    </row>
    <row r="42" customFormat="false" ht="15.75" hidden="false" customHeight="true" outlineLevel="0" collapsed="false">
      <c r="A42" s="27"/>
      <c r="B42" s="28"/>
      <c r="C42" s="33" t="str">
        <f aca="false">IFERROR(INDEX('Lead Management'!$B$4:$B$1003,MATCH($B42,'Lead Management'!$A$4:$A$1003,0)),"")</f>
        <v/>
      </c>
      <c r="D42" s="33" t="str">
        <f aca="false">IFERROR(INDEX('Lead Management'!$C$4:$C$1003,MATCH($B42,'Lead Management'!$A$4:$A$1003,0)),"")</f>
        <v/>
      </c>
      <c r="E42" s="29"/>
      <c r="F42" s="27"/>
      <c r="G42" s="28"/>
      <c r="H42" s="34" t="str">
        <f aca="false">IF($A42="","",Settings!$B$8)</f>
        <v/>
      </c>
      <c r="I42" s="27"/>
      <c r="J42" s="27"/>
      <c r="K42" s="27"/>
      <c r="L42" s="27"/>
      <c r="M42" s="28"/>
      <c r="N42" s="28"/>
      <c r="O42" s="32"/>
      <c r="P42" s="31" t="str">
        <f aca="false">IF($B42="","",IF(COUNTIF(Customers!$B$4:$B$1003,$B42)&gt;0,"Yes","No"))</f>
        <v/>
      </c>
      <c r="Q42" s="31" t="str">
        <f aca="true">IF($E42="","",IF($E42&gt;TODAY(),"Scheduled",TODAY()-$E42))</f>
        <v/>
      </c>
    </row>
    <row r="43" customFormat="false" ht="15.75" hidden="false" customHeight="true" outlineLevel="0" collapsed="false">
      <c r="A43" s="27"/>
      <c r="B43" s="28"/>
      <c r="C43" s="33" t="str">
        <f aca="false">IFERROR(INDEX('Lead Management'!$B$4:$B$1003,MATCH($B43,'Lead Management'!$A$4:$A$1003,0)),"")</f>
        <v/>
      </c>
      <c r="D43" s="33" t="str">
        <f aca="false">IFERROR(INDEX('Lead Management'!$C$4:$C$1003,MATCH($B43,'Lead Management'!$A$4:$A$1003,0)),"")</f>
        <v/>
      </c>
      <c r="E43" s="29"/>
      <c r="F43" s="27"/>
      <c r="G43" s="28"/>
      <c r="H43" s="34" t="str">
        <f aca="false">IF($A43="","",Settings!$B$8)</f>
        <v/>
      </c>
      <c r="I43" s="27"/>
      <c r="J43" s="27"/>
      <c r="K43" s="27"/>
      <c r="L43" s="27"/>
      <c r="M43" s="28"/>
      <c r="N43" s="28"/>
      <c r="O43" s="32"/>
      <c r="P43" s="31" t="str">
        <f aca="false">IF($B43="","",IF(COUNTIF(Customers!$B$4:$B$1003,$B43)&gt;0,"Yes","No"))</f>
        <v/>
      </c>
      <c r="Q43" s="31" t="str">
        <f aca="true">IF($E43="","",IF($E43&gt;TODAY(),"Scheduled",TODAY()-$E43))</f>
        <v/>
      </c>
    </row>
    <row r="44" customFormat="false" ht="15.75" hidden="false" customHeight="true" outlineLevel="0" collapsed="false">
      <c r="A44" s="27"/>
      <c r="B44" s="28"/>
      <c r="C44" s="33" t="str">
        <f aca="false">IFERROR(INDEX('Lead Management'!$B$4:$B$1003,MATCH($B44,'Lead Management'!$A$4:$A$1003,0)),"")</f>
        <v/>
      </c>
      <c r="D44" s="33" t="str">
        <f aca="false">IFERROR(INDEX('Lead Management'!$C$4:$C$1003,MATCH($B44,'Lead Management'!$A$4:$A$1003,0)),"")</f>
        <v/>
      </c>
      <c r="E44" s="29"/>
      <c r="F44" s="27"/>
      <c r="G44" s="28"/>
      <c r="H44" s="34" t="str">
        <f aca="false">IF($A44="","",Settings!$B$8)</f>
        <v/>
      </c>
      <c r="I44" s="27"/>
      <c r="J44" s="27"/>
      <c r="K44" s="27"/>
      <c r="L44" s="27"/>
      <c r="M44" s="28"/>
      <c r="N44" s="28"/>
      <c r="O44" s="32"/>
      <c r="P44" s="31" t="str">
        <f aca="false">IF($B44="","",IF(COUNTIF(Customers!$B$4:$B$1003,$B44)&gt;0,"Yes","No"))</f>
        <v/>
      </c>
      <c r="Q44" s="31" t="str">
        <f aca="true">IF($E44="","",IF($E44&gt;TODAY(),"Scheduled",TODAY()-$E44))</f>
        <v/>
      </c>
    </row>
    <row r="45" customFormat="false" ht="15.75" hidden="false" customHeight="true" outlineLevel="0" collapsed="false">
      <c r="A45" s="27"/>
      <c r="B45" s="28"/>
      <c r="C45" s="33" t="str">
        <f aca="false">IFERROR(INDEX('Lead Management'!$B$4:$B$1003,MATCH($B45,'Lead Management'!$A$4:$A$1003,0)),"")</f>
        <v/>
      </c>
      <c r="D45" s="33" t="str">
        <f aca="false">IFERROR(INDEX('Lead Management'!$C$4:$C$1003,MATCH($B45,'Lead Management'!$A$4:$A$1003,0)),"")</f>
        <v/>
      </c>
      <c r="E45" s="29"/>
      <c r="F45" s="27"/>
      <c r="G45" s="28"/>
      <c r="H45" s="34" t="str">
        <f aca="false">IF($A45="","",Settings!$B$8)</f>
        <v/>
      </c>
      <c r="I45" s="27"/>
      <c r="J45" s="27"/>
      <c r="K45" s="27"/>
      <c r="L45" s="27"/>
      <c r="M45" s="28"/>
      <c r="N45" s="28"/>
      <c r="O45" s="32"/>
      <c r="P45" s="31" t="str">
        <f aca="false">IF($B45="","",IF(COUNTIF(Customers!$B$4:$B$1003,$B45)&gt;0,"Yes","No"))</f>
        <v/>
      </c>
      <c r="Q45" s="31" t="str">
        <f aca="true">IF($E45="","",IF($E45&gt;TODAY(),"Scheduled",TODAY()-$E45))</f>
        <v/>
      </c>
    </row>
    <row r="46" customFormat="false" ht="15.75" hidden="false" customHeight="true" outlineLevel="0" collapsed="false">
      <c r="A46" s="27"/>
      <c r="B46" s="28"/>
      <c r="C46" s="33" t="str">
        <f aca="false">IFERROR(INDEX('Lead Management'!$B$4:$B$1003,MATCH($B46,'Lead Management'!$A$4:$A$1003,0)),"")</f>
        <v/>
      </c>
      <c r="D46" s="33" t="str">
        <f aca="false">IFERROR(INDEX('Lead Management'!$C$4:$C$1003,MATCH($B46,'Lead Management'!$A$4:$A$1003,0)),"")</f>
        <v/>
      </c>
      <c r="E46" s="29"/>
      <c r="F46" s="27"/>
      <c r="G46" s="28"/>
      <c r="H46" s="34" t="str">
        <f aca="false">IF($A46="","",Settings!$B$8)</f>
        <v/>
      </c>
      <c r="I46" s="27"/>
      <c r="J46" s="27"/>
      <c r="K46" s="27"/>
      <c r="L46" s="27"/>
      <c r="M46" s="28"/>
      <c r="N46" s="28"/>
      <c r="O46" s="32"/>
      <c r="P46" s="31" t="str">
        <f aca="false">IF($B46="","",IF(COUNTIF(Customers!$B$4:$B$1003,$B46)&gt;0,"Yes","No"))</f>
        <v/>
      </c>
      <c r="Q46" s="31" t="str">
        <f aca="true">IF($E46="","",IF($E46&gt;TODAY(),"Scheduled",TODAY()-$E46))</f>
        <v/>
      </c>
    </row>
    <row r="47" customFormat="false" ht="15.75" hidden="false" customHeight="true" outlineLevel="0" collapsed="false">
      <c r="A47" s="27"/>
      <c r="B47" s="28"/>
      <c r="C47" s="33" t="str">
        <f aca="false">IFERROR(INDEX('Lead Management'!$B$4:$B$1003,MATCH($B47,'Lead Management'!$A$4:$A$1003,0)),"")</f>
        <v/>
      </c>
      <c r="D47" s="33" t="str">
        <f aca="false">IFERROR(INDEX('Lead Management'!$C$4:$C$1003,MATCH($B47,'Lead Management'!$A$4:$A$1003,0)),"")</f>
        <v/>
      </c>
      <c r="E47" s="29"/>
      <c r="F47" s="27"/>
      <c r="G47" s="28"/>
      <c r="H47" s="34" t="str">
        <f aca="false">IF($A47="","",Settings!$B$8)</f>
        <v/>
      </c>
      <c r="I47" s="27"/>
      <c r="J47" s="27"/>
      <c r="K47" s="27"/>
      <c r="L47" s="27"/>
      <c r="M47" s="28"/>
      <c r="N47" s="28"/>
      <c r="O47" s="32"/>
      <c r="P47" s="31" t="str">
        <f aca="false">IF($B47="","",IF(COUNTIF(Customers!$B$4:$B$1003,$B47)&gt;0,"Yes","No"))</f>
        <v/>
      </c>
      <c r="Q47" s="31" t="str">
        <f aca="true">IF($E47="","",IF($E47&gt;TODAY(),"Scheduled",TODAY()-$E47))</f>
        <v/>
      </c>
    </row>
    <row r="48" customFormat="false" ht="15.75" hidden="false" customHeight="true" outlineLevel="0" collapsed="false">
      <c r="A48" s="27"/>
      <c r="B48" s="28"/>
      <c r="C48" s="33" t="str">
        <f aca="false">IFERROR(INDEX('Lead Management'!$B$4:$B$1003,MATCH($B48,'Lead Management'!$A$4:$A$1003,0)),"")</f>
        <v/>
      </c>
      <c r="D48" s="33" t="str">
        <f aca="false">IFERROR(INDEX('Lead Management'!$C$4:$C$1003,MATCH($B48,'Lead Management'!$A$4:$A$1003,0)),"")</f>
        <v/>
      </c>
      <c r="E48" s="29"/>
      <c r="F48" s="27"/>
      <c r="G48" s="28"/>
      <c r="H48" s="34" t="str">
        <f aca="false">IF($A48="","",Settings!$B$8)</f>
        <v/>
      </c>
      <c r="I48" s="27"/>
      <c r="J48" s="27"/>
      <c r="K48" s="27"/>
      <c r="L48" s="27"/>
      <c r="M48" s="28"/>
      <c r="N48" s="28"/>
      <c r="O48" s="32"/>
      <c r="P48" s="31" t="str">
        <f aca="false">IF($B48="","",IF(COUNTIF(Customers!$B$4:$B$1003,$B48)&gt;0,"Yes","No"))</f>
        <v/>
      </c>
      <c r="Q48" s="31" t="str">
        <f aca="true">IF($E48="","",IF($E48&gt;TODAY(),"Scheduled",TODAY()-$E48))</f>
        <v/>
      </c>
    </row>
    <row r="49" customFormat="false" ht="15.75" hidden="false" customHeight="true" outlineLevel="0" collapsed="false">
      <c r="A49" s="27"/>
      <c r="B49" s="28"/>
      <c r="C49" s="33" t="str">
        <f aca="false">IFERROR(INDEX('Lead Management'!$B$4:$B$1003,MATCH($B49,'Lead Management'!$A$4:$A$1003,0)),"")</f>
        <v/>
      </c>
      <c r="D49" s="33" t="str">
        <f aca="false">IFERROR(INDEX('Lead Management'!$C$4:$C$1003,MATCH($B49,'Lead Management'!$A$4:$A$1003,0)),"")</f>
        <v/>
      </c>
      <c r="E49" s="29"/>
      <c r="F49" s="27"/>
      <c r="G49" s="28"/>
      <c r="H49" s="34" t="str">
        <f aca="false">IF($A49="","",Settings!$B$8)</f>
        <v/>
      </c>
      <c r="I49" s="27"/>
      <c r="J49" s="27"/>
      <c r="K49" s="27"/>
      <c r="L49" s="27"/>
      <c r="M49" s="28"/>
      <c r="N49" s="28"/>
      <c r="O49" s="32"/>
      <c r="P49" s="31" t="str">
        <f aca="false">IF($B49="","",IF(COUNTIF(Customers!$B$4:$B$1003,$B49)&gt;0,"Yes","No"))</f>
        <v/>
      </c>
      <c r="Q49" s="31" t="str">
        <f aca="true">IF($E49="","",IF($E49&gt;TODAY(),"Scheduled",TODAY()-$E49))</f>
        <v/>
      </c>
    </row>
    <row r="50" customFormat="false" ht="15.75" hidden="false" customHeight="true" outlineLevel="0" collapsed="false">
      <c r="A50" s="27"/>
      <c r="B50" s="28"/>
      <c r="C50" s="33" t="str">
        <f aca="false">IFERROR(INDEX('Lead Management'!$B$4:$B$1003,MATCH($B50,'Lead Management'!$A$4:$A$1003,0)),"")</f>
        <v/>
      </c>
      <c r="D50" s="33" t="str">
        <f aca="false">IFERROR(INDEX('Lead Management'!$C$4:$C$1003,MATCH($B50,'Lead Management'!$A$4:$A$1003,0)),"")</f>
        <v/>
      </c>
      <c r="E50" s="29"/>
      <c r="F50" s="27"/>
      <c r="G50" s="28"/>
      <c r="H50" s="34" t="str">
        <f aca="false">IF($A50="","",Settings!$B$8)</f>
        <v/>
      </c>
      <c r="I50" s="27"/>
      <c r="J50" s="27"/>
      <c r="K50" s="27"/>
      <c r="L50" s="27"/>
      <c r="M50" s="28"/>
      <c r="N50" s="28"/>
      <c r="O50" s="32"/>
      <c r="P50" s="31" t="str">
        <f aca="false">IF($B50="","",IF(COUNTIF(Customers!$B$4:$B$1003,$B50)&gt;0,"Yes","No"))</f>
        <v/>
      </c>
      <c r="Q50" s="31" t="str">
        <f aca="true">IF($E50="","",IF($E50&gt;TODAY(),"Scheduled",TODAY()-$E50))</f>
        <v/>
      </c>
    </row>
    <row r="51" customFormat="false" ht="15.75" hidden="false" customHeight="true" outlineLevel="0" collapsed="false">
      <c r="A51" s="27"/>
      <c r="B51" s="28"/>
      <c r="C51" s="33" t="str">
        <f aca="false">IFERROR(INDEX('Lead Management'!$B$4:$B$1003,MATCH($B51,'Lead Management'!$A$4:$A$1003,0)),"")</f>
        <v/>
      </c>
      <c r="D51" s="33" t="str">
        <f aca="false">IFERROR(INDEX('Lead Management'!$C$4:$C$1003,MATCH($B51,'Lead Management'!$A$4:$A$1003,0)),"")</f>
        <v/>
      </c>
      <c r="E51" s="29"/>
      <c r="F51" s="27"/>
      <c r="G51" s="28"/>
      <c r="H51" s="34" t="str">
        <f aca="false">IF($A51="","",Settings!$B$8)</f>
        <v/>
      </c>
      <c r="I51" s="27"/>
      <c r="J51" s="27"/>
      <c r="K51" s="27"/>
      <c r="L51" s="27"/>
      <c r="M51" s="28"/>
      <c r="N51" s="28"/>
      <c r="O51" s="32"/>
      <c r="P51" s="31" t="str">
        <f aca="false">IF($B51="","",IF(COUNTIF(Customers!$B$4:$B$1003,$B51)&gt;0,"Yes","No"))</f>
        <v/>
      </c>
      <c r="Q51" s="31" t="str">
        <f aca="true">IF($E51="","",IF($E51&gt;TODAY(),"Scheduled",TODAY()-$E51))</f>
        <v/>
      </c>
    </row>
    <row r="52" customFormat="false" ht="15.75" hidden="false" customHeight="true" outlineLevel="0" collapsed="false">
      <c r="A52" s="27"/>
      <c r="B52" s="28"/>
      <c r="C52" s="33" t="str">
        <f aca="false">IFERROR(INDEX('Lead Management'!$B$4:$B$1003,MATCH($B52,'Lead Management'!$A$4:$A$1003,0)),"")</f>
        <v/>
      </c>
      <c r="D52" s="33" t="str">
        <f aca="false">IFERROR(INDEX('Lead Management'!$C$4:$C$1003,MATCH($B52,'Lead Management'!$A$4:$A$1003,0)),"")</f>
        <v/>
      </c>
      <c r="E52" s="29"/>
      <c r="F52" s="27"/>
      <c r="G52" s="28"/>
      <c r="H52" s="34" t="str">
        <f aca="false">IF($A52="","",Settings!$B$8)</f>
        <v/>
      </c>
      <c r="I52" s="27"/>
      <c r="J52" s="27"/>
      <c r="K52" s="27"/>
      <c r="L52" s="27"/>
      <c r="M52" s="28"/>
      <c r="N52" s="28"/>
      <c r="O52" s="32"/>
      <c r="P52" s="31" t="str">
        <f aca="false">IF($B52="","",IF(COUNTIF(Customers!$B$4:$B$1003,$B52)&gt;0,"Yes","No"))</f>
        <v/>
      </c>
      <c r="Q52" s="31" t="str">
        <f aca="true">IF($E52="","",IF($E52&gt;TODAY(),"Scheduled",TODAY()-$E52))</f>
        <v/>
      </c>
    </row>
    <row r="53" customFormat="false" ht="15.75" hidden="false" customHeight="true" outlineLevel="0" collapsed="false">
      <c r="A53" s="27"/>
      <c r="B53" s="28"/>
      <c r="C53" s="33" t="str">
        <f aca="false">IFERROR(INDEX('Lead Management'!$B$4:$B$1003,MATCH($B53,'Lead Management'!$A$4:$A$1003,0)),"")</f>
        <v/>
      </c>
      <c r="D53" s="33" t="str">
        <f aca="false">IFERROR(INDEX('Lead Management'!$C$4:$C$1003,MATCH($B53,'Lead Management'!$A$4:$A$1003,0)),"")</f>
        <v/>
      </c>
      <c r="E53" s="29"/>
      <c r="F53" s="27"/>
      <c r="G53" s="28"/>
      <c r="H53" s="34" t="str">
        <f aca="false">IF($A53="","",Settings!$B$8)</f>
        <v/>
      </c>
      <c r="I53" s="27"/>
      <c r="J53" s="27"/>
      <c r="K53" s="27"/>
      <c r="L53" s="27"/>
      <c r="M53" s="28"/>
      <c r="N53" s="28"/>
      <c r="O53" s="32"/>
      <c r="P53" s="31" t="str">
        <f aca="false">IF($B53="","",IF(COUNTIF(Customers!$B$4:$B$1003,$B53)&gt;0,"Yes","No"))</f>
        <v/>
      </c>
      <c r="Q53" s="31" t="str">
        <f aca="true">IF($E53="","",IF($E53&gt;TODAY(),"Scheduled",TODAY()-$E53))</f>
        <v/>
      </c>
    </row>
    <row r="54" customFormat="false" ht="15.75" hidden="false" customHeight="true" outlineLevel="0" collapsed="false">
      <c r="A54" s="27"/>
      <c r="B54" s="28"/>
      <c r="C54" s="33" t="str">
        <f aca="false">IFERROR(INDEX('Lead Management'!$B$4:$B$1003,MATCH($B54,'Lead Management'!$A$4:$A$1003,0)),"")</f>
        <v/>
      </c>
      <c r="D54" s="33" t="str">
        <f aca="false">IFERROR(INDEX('Lead Management'!$C$4:$C$1003,MATCH($B54,'Lead Management'!$A$4:$A$1003,0)),"")</f>
        <v/>
      </c>
      <c r="E54" s="29"/>
      <c r="F54" s="27"/>
      <c r="G54" s="28"/>
      <c r="H54" s="34" t="str">
        <f aca="false">IF($A54="","",Settings!$B$8)</f>
        <v/>
      </c>
      <c r="I54" s="27"/>
      <c r="J54" s="27"/>
      <c r="K54" s="27"/>
      <c r="L54" s="27"/>
      <c r="M54" s="28"/>
      <c r="N54" s="28"/>
      <c r="O54" s="32"/>
      <c r="P54" s="31" t="str">
        <f aca="false">IF($B54="","",IF(COUNTIF(Customers!$B$4:$B$1003,$B54)&gt;0,"Yes","No"))</f>
        <v/>
      </c>
      <c r="Q54" s="31" t="str">
        <f aca="true">IF($E54="","",IF($E54&gt;TODAY(),"Scheduled",TODAY()-$E54))</f>
        <v/>
      </c>
    </row>
    <row r="55" customFormat="false" ht="15.75" hidden="false" customHeight="true" outlineLevel="0" collapsed="false">
      <c r="A55" s="27"/>
      <c r="B55" s="28"/>
      <c r="C55" s="33" t="str">
        <f aca="false">IFERROR(INDEX('Lead Management'!$B$4:$B$1003,MATCH($B55,'Lead Management'!$A$4:$A$1003,0)),"")</f>
        <v/>
      </c>
      <c r="D55" s="33" t="str">
        <f aca="false">IFERROR(INDEX('Lead Management'!$C$4:$C$1003,MATCH($B55,'Lead Management'!$A$4:$A$1003,0)),"")</f>
        <v/>
      </c>
      <c r="E55" s="29"/>
      <c r="F55" s="27"/>
      <c r="G55" s="28"/>
      <c r="H55" s="34" t="str">
        <f aca="false">IF($A55="","",Settings!$B$8)</f>
        <v/>
      </c>
      <c r="I55" s="27"/>
      <c r="J55" s="27"/>
      <c r="K55" s="27"/>
      <c r="L55" s="27"/>
      <c r="M55" s="28"/>
      <c r="N55" s="28"/>
      <c r="O55" s="32"/>
      <c r="P55" s="31" t="str">
        <f aca="false">IF($B55="","",IF(COUNTIF(Customers!$B$4:$B$1003,$B55)&gt;0,"Yes","No"))</f>
        <v/>
      </c>
      <c r="Q55" s="31" t="str">
        <f aca="true">IF($E55="","",IF($E55&gt;TODAY(),"Scheduled",TODAY()-$E55))</f>
        <v/>
      </c>
    </row>
    <row r="56" customFormat="false" ht="15.75" hidden="false" customHeight="true" outlineLevel="0" collapsed="false">
      <c r="A56" s="27"/>
      <c r="B56" s="28"/>
      <c r="C56" s="33" t="str">
        <f aca="false">IFERROR(INDEX('Lead Management'!$B$4:$B$1003,MATCH($B56,'Lead Management'!$A$4:$A$1003,0)),"")</f>
        <v/>
      </c>
      <c r="D56" s="33" t="str">
        <f aca="false">IFERROR(INDEX('Lead Management'!$C$4:$C$1003,MATCH($B56,'Lead Management'!$A$4:$A$1003,0)),"")</f>
        <v/>
      </c>
      <c r="E56" s="29"/>
      <c r="F56" s="27"/>
      <c r="G56" s="28"/>
      <c r="H56" s="34" t="str">
        <f aca="false">IF($A56="","",Settings!$B$8)</f>
        <v/>
      </c>
      <c r="I56" s="27"/>
      <c r="J56" s="27"/>
      <c r="K56" s="27"/>
      <c r="L56" s="27"/>
      <c r="M56" s="28"/>
      <c r="N56" s="28"/>
      <c r="O56" s="32"/>
      <c r="P56" s="31" t="str">
        <f aca="false">IF($B56="","",IF(COUNTIF(Customers!$B$4:$B$1003,$B56)&gt;0,"Yes","No"))</f>
        <v/>
      </c>
      <c r="Q56" s="31" t="str">
        <f aca="true">IF($E56="","",IF($E56&gt;TODAY(),"Scheduled",TODAY()-$E56))</f>
        <v/>
      </c>
    </row>
    <row r="57" customFormat="false" ht="15.75" hidden="false" customHeight="true" outlineLevel="0" collapsed="false">
      <c r="A57" s="27"/>
      <c r="B57" s="28"/>
      <c r="C57" s="33" t="str">
        <f aca="false">IFERROR(INDEX('Lead Management'!$B$4:$B$1003,MATCH($B57,'Lead Management'!$A$4:$A$1003,0)),"")</f>
        <v/>
      </c>
      <c r="D57" s="33" t="str">
        <f aca="false">IFERROR(INDEX('Lead Management'!$C$4:$C$1003,MATCH($B57,'Lead Management'!$A$4:$A$1003,0)),"")</f>
        <v/>
      </c>
      <c r="E57" s="29"/>
      <c r="F57" s="27"/>
      <c r="G57" s="28"/>
      <c r="H57" s="34" t="str">
        <f aca="false">IF($A57="","",Settings!$B$8)</f>
        <v/>
      </c>
      <c r="I57" s="27"/>
      <c r="J57" s="27"/>
      <c r="K57" s="27"/>
      <c r="L57" s="27"/>
      <c r="M57" s="28"/>
      <c r="N57" s="28"/>
      <c r="O57" s="32"/>
      <c r="P57" s="31" t="str">
        <f aca="false">IF($B57="","",IF(COUNTIF(Customers!$B$4:$B$1003,$B57)&gt;0,"Yes","No"))</f>
        <v/>
      </c>
      <c r="Q57" s="31" t="str">
        <f aca="true">IF($E57="","",IF($E57&gt;TODAY(),"Scheduled",TODAY()-$E57))</f>
        <v/>
      </c>
    </row>
    <row r="58" customFormat="false" ht="15.75" hidden="false" customHeight="true" outlineLevel="0" collapsed="false">
      <c r="A58" s="27"/>
      <c r="B58" s="28"/>
      <c r="C58" s="33" t="str">
        <f aca="false">IFERROR(INDEX('Lead Management'!$B$4:$B$1003,MATCH($B58,'Lead Management'!$A$4:$A$1003,0)),"")</f>
        <v/>
      </c>
      <c r="D58" s="33" t="str">
        <f aca="false">IFERROR(INDEX('Lead Management'!$C$4:$C$1003,MATCH($B58,'Lead Management'!$A$4:$A$1003,0)),"")</f>
        <v/>
      </c>
      <c r="E58" s="29"/>
      <c r="F58" s="27"/>
      <c r="G58" s="28"/>
      <c r="H58" s="34" t="str">
        <f aca="false">IF($A58="","",Settings!$B$8)</f>
        <v/>
      </c>
      <c r="I58" s="27"/>
      <c r="J58" s="27"/>
      <c r="K58" s="27"/>
      <c r="L58" s="27"/>
      <c r="M58" s="28"/>
      <c r="N58" s="28"/>
      <c r="O58" s="32"/>
      <c r="P58" s="31" t="str">
        <f aca="false">IF($B58="","",IF(COUNTIF(Customers!$B$4:$B$1003,$B58)&gt;0,"Yes","No"))</f>
        <v/>
      </c>
      <c r="Q58" s="31" t="str">
        <f aca="true">IF($E58="","",IF($E58&gt;TODAY(),"Scheduled",TODAY()-$E58))</f>
        <v/>
      </c>
    </row>
    <row r="59" customFormat="false" ht="15.75" hidden="false" customHeight="true" outlineLevel="0" collapsed="false">
      <c r="A59" s="27"/>
      <c r="B59" s="28"/>
      <c r="C59" s="33" t="str">
        <f aca="false">IFERROR(INDEX('Lead Management'!$B$4:$B$1003,MATCH($B59,'Lead Management'!$A$4:$A$1003,0)),"")</f>
        <v/>
      </c>
      <c r="D59" s="33" t="str">
        <f aca="false">IFERROR(INDEX('Lead Management'!$C$4:$C$1003,MATCH($B59,'Lead Management'!$A$4:$A$1003,0)),"")</f>
        <v/>
      </c>
      <c r="E59" s="29"/>
      <c r="F59" s="27"/>
      <c r="G59" s="28"/>
      <c r="H59" s="34" t="str">
        <f aca="false">IF($A59="","",Settings!$B$8)</f>
        <v/>
      </c>
      <c r="I59" s="27"/>
      <c r="J59" s="27"/>
      <c r="K59" s="27"/>
      <c r="L59" s="27"/>
      <c r="M59" s="28"/>
      <c r="N59" s="28"/>
      <c r="O59" s="32"/>
      <c r="P59" s="31" t="str">
        <f aca="false">IF($B59="","",IF(COUNTIF(Customers!$B$4:$B$1003,$B59)&gt;0,"Yes","No"))</f>
        <v/>
      </c>
      <c r="Q59" s="31" t="str">
        <f aca="true">IF($E59="","",IF($E59&gt;TODAY(),"Scheduled",TODAY()-$E59))</f>
        <v/>
      </c>
    </row>
    <row r="60" customFormat="false" ht="15.75" hidden="false" customHeight="true" outlineLevel="0" collapsed="false">
      <c r="A60" s="27"/>
      <c r="B60" s="28"/>
      <c r="C60" s="33" t="str">
        <f aca="false">IFERROR(INDEX('Lead Management'!$B$4:$B$1003,MATCH($B60,'Lead Management'!$A$4:$A$1003,0)),"")</f>
        <v/>
      </c>
      <c r="D60" s="33" t="str">
        <f aca="false">IFERROR(INDEX('Lead Management'!$C$4:$C$1003,MATCH($B60,'Lead Management'!$A$4:$A$1003,0)),"")</f>
        <v/>
      </c>
      <c r="E60" s="29"/>
      <c r="F60" s="27"/>
      <c r="G60" s="28"/>
      <c r="H60" s="34" t="str">
        <f aca="false">IF($A60="","",Settings!$B$8)</f>
        <v/>
      </c>
      <c r="I60" s="27"/>
      <c r="J60" s="27"/>
      <c r="K60" s="27"/>
      <c r="L60" s="27"/>
      <c r="M60" s="28"/>
      <c r="N60" s="28"/>
      <c r="O60" s="32"/>
      <c r="P60" s="31" t="str">
        <f aca="false">IF($B60="","",IF(COUNTIF(Customers!$B$4:$B$1003,$B60)&gt;0,"Yes","No"))</f>
        <v/>
      </c>
      <c r="Q60" s="31" t="str">
        <f aca="true">IF($E60="","",IF($E60&gt;TODAY(),"Scheduled",TODAY()-$E60))</f>
        <v/>
      </c>
    </row>
    <row r="61" customFormat="false" ht="15.75" hidden="false" customHeight="true" outlineLevel="0" collapsed="false">
      <c r="A61" s="27"/>
      <c r="B61" s="28"/>
      <c r="C61" s="33" t="str">
        <f aca="false">IFERROR(INDEX('Lead Management'!$B$4:$B$1003,MATCH($B61,'Lead Management'!$A$4:$A$1003,0)),"")</f>
        <v/>
      </c>
      <c r="D61" s="33" t="str">
        <f aca="false">IFERROR(INDEX('Lead Management'!$C$4:$C$1003,MATCH($B61,'Lead Management'!$A$4:$A$1003,0)),"")</f>
        <v/>
      </c>
      <c r="E61" s="29"/>
      <c r="F61" s="27"/>
      <c r="G61" s="28"/>
      <c r="H61" s="34" t="str">
        <f aca="false">IF($A61="","",Settings!$B$8)</f>
        <v/>
      </c>
      <c r="I61" s="27"/>
      <c r="J61" s="27"/>
      <c r="K61" s="27"/>
      <c r="L61" s="27"/>
      <c r="M61" s="28"/>
      <c r="N61" s="28"/>
      <c r="O61" s="32"/>
      <c r="P61" s="31" t="str">
        <f aca="false">IF($B61="","",IF(COUNTIF(Customers!$B$4:$B$1003,$B61)&gt;0,"Yes","No"))</f>
        <v/>
      </c>
      <c r="Q61" s="31" t="str">
        <f aca="true">IF($E61="","",IF($E61&gt;TODAY(),"Scheduled",TODAY()-$E61))</f>
        <v/>
      </c>
    </row>
    <row r="62" customFormat="false" ht="15.75" hidden="false" customHeight="true" outlineLevel="0" collapsed="false">
      <c r="A62" s="27"/>
      <c r="B62" s="28"/>
      <c r="C62" s="33" t="str">
        <f aca="false">IFERROR(INDEX('Lead Management'!$B$4:$B$1003,MATCH($B62,'Lead Management'!$A$4:$A$1003,0)),"")</f>
        <v/>
      </c>
      <c r="D62" s="33" t="str">
        <f aca="false">IFERROR(INDEX('Lead Management'!$C$4:$C$1003,MATCH($B62,'Lead Management'!$A$4:$A$1003,0)),"")</f>
        <v/>
      </c>
      <c r="E62" s="29"/>
      <c r="F62" s="27"/>
      <c r="G62" s="28"/>
      <c r="H62" s="34" t="str">
        <f aca="false">IF($A62="","",Settings!$B$8)</f>
        <v/>
      </c>
      <c r="I62" s="27"/>
      <c r="J62" s="27"/>
      <c r="K62" s="27"/>
      <c r="L62" s="27"/>
      <c r="M62" s="28"/>
      <c r="N62" s="28"/>
      <c r="O62" s="32"/>
      <c r="P62" s="31" t="str">
        <f aca="false">IF($B62="","",IF(COUNTIF(Customers!$B$4:$B$1003,$B62)&gt;0,"Yes","No"))</f>
        <v/>
      </c>
      <c r="Q62" s="31" t="str">
        <f aca="true">IF($E62="","",IF($E62&gt;TODAY(),"Scheduled",TODAY()-$E62))</f>
        <v/>
      </c>
    </row>
    <row r="63" customFormat="false" ht="15.75" hidden="false" customHeight="true" outlineLevel="0" collapsed="false">
      <c r="A63" s="27"/>
      <c r="B63" s="28"/>
      <c r="C63" s="33" t="str">
        <f aca="false">IFERROR(INDEX('Lead Management'!$B$4:$B$1003,MATCH($B63,'Lead Management'!$A$4:$A$1003,0)),"")</f>
        <v/>
      </c>
      <c r="D63" s="33" t="str">
        <f aca="false">IFERROR(INDEX('Lead Management'!$C$4:$C$1003,MATCH($B63,'Lead Management'!$A$4:$A$1003,0)),"")</f>
        <v/>
      </c>
      <c r="E63" s="29"/>
      <c r="F63" s="27"/>
      <c r="G63" s="28"/>
      <c r="H63" s="34" t="str">
        <f aca="false">IF($A63="","",Settings!$B$8)</f>
        <v/>
      </c>
      <c r="I63" s="27"/>
      <c r="J63" s="27"/>
      <c r="K63" s="27"/>
      <c r="L63" s="27"/>
      <c r="M63" s="28"/>
      <c r="N63" s="28"/>
      <c r="O63" s="32"/>
      <c r="P63" s="31" t="str">
        <f aca="false">IF($B63="","",IF(COUNTIF(Customers!$B$4:$B$1003,$B63)&gt;0,"Yes","No"))</f>
        <v/>
      </c>
      <c r="Q63" s="31" t="str">
        <f aca="true">IF($E63="","",IF($E63&gt;TODAY(),"Scheduled",TODAY()-$E63))</f>
        <v/>
      </c>
    </row>
    <row r="64" customFormat="false" ht="15.75" hidden="false" customHeight="true" outlineLevel="0" collapsed="false">
      <c r="A64" s="27"/>
      <c r="B64" s="28"/>
      <c r="C64" s="33" t="str">
        <f aca="false">IFERROR(INDEX('Lead Management'!$B$4:$B$1003,MATCH($B64,'Lead Management'!$A$4:$A$1003,0)),"")</f>
        <v/>
      </c>
      <c r="D64" s="33" t="str">
        <f aca="false">IFERROR(INDEX('Lead Management'!$C$4:$C$1003,MATCH($B64,'Lead Management'!$A$4:$A$1003,0)),"")</f>
        <v/>
      </c>
      <c r="E64" s="29"/>
      <c r="F64" s="27"/>
      <c r="G64" s="28"/>
      <c r="H64" s="34" t="str">
        <f aca="false">IF($A64="","",Settings!$B$8)</f>
        <v/>
      </c>
      <c r="I64" s="27"/>
      <c r="J64" s="27"/>
      <c r="K64" s="27"/>
      <c r="L64" s="27"/>
      <c r="M64" s="28"/>
      <c r="N64" s="28"/>
      <c r="O64" s="32"/>
      <c r="P64" s="31" t="str">
        <f aca="false">IF($B64="","",IF(COUNTIF(Customers!$B$4:$B$1003,$B64)&gt;0,"Yes","No"))</f>
        <v/>
      </c>
      <c r="Q64" s="31" t="str">
        <f aca="true">IF($E64="","",IF($E64&gt;TODAY(),"Scheduled",TODAY()-$E64))</f>
        <v/>
      </c>
    </row>
    <row r="65" customFormat="false" ht="15.75" hidden="false" customHeight="true" outlineLevel="0" collapsed="false">
      <c r="A65" s="27"/>
      <c r="B65" s="28"/>
      <c r="C65" s="33" t="str">
        <f aca="false">IFERROR(INDEX('Lead Management'!$B$4:$B$1003,MATCH($B65,'Lead Management'!$A$4:$A$1003,0)),"")</f>
        <v/>
      </c>
      <c r="D65" s="33" t="str">
        <f aca="false">IFERROR(INDEX('Lead Management'!$C$4:$C$1003,MATCH($B65,'Lead Management'!$A$4:$A$1003,0)),"")</f>
        <v/>
      </c>
      <c r="E65" s="29"/>
      <c r="F65" s="27"/>
      <c r="G65" s="28"/>
      <c r="H65" s="34" t="str">
        <f aca="false">IF($A65="","",Settings!$B$8)</f>
        <v/>
      </c>
      <c r="I65" s="27"/>
      <c r="J65" s="27"/>
      <c r="K65" s="27"/>
      <c r="L65" s="27"/>
      <c r="M65" s="28"/>
      <c r="N65" s="28"/>
      <c r="O65" s="32"/>
      <c r="P65" s="31" t="str">
        <f aca="false">IF($B65="","",IF(COUNTIF(Customers!$B$4:$B$1003,$B65)&gt;0,"Yes","No"))</f>
        <v/>
      </c>
      <c r="Q65" s="31" t="str">
        <f aca="true">IF($E65="","",IF($E65&gt;TODAY(),"Scheduled",TODAY()-$E65))</f>
        <v/>
      </c>
    </row>
    <row r="66" customFormat="false" ht="15.75" hidden="false" customHeight="true" outlineLevel="0" collapsed="false">
      <c r="A66" s="27"/>
      <c r="B66" s="28"/>
      <c r="C66" s="33" t="str">
        <f aca="false">IFERROR(INDEX('Lead Management'!$B$4:$B$1003,MATCH($B66,'Lead Management'!$A$4:$A$1003,0)),"")</f>
        <v/>
      </c>
      <c r="D66" s="33" t="str">
        <f aca="false">IFERROR(INDEX('Lead Management'!$C$4:$C$1003,MATCH($B66,'Lead Management'!$A$4:$A$1003,0)),"")</f>
        <v/>
      </c>
      <c r="E66" s="29"/>
      <c r="F66" s="27"/>
      <c r="G66" s="28"/>
      <c r="H66" s="34" t="str">
        <f aca="false">IF($A66="","",Settings!$B$8)</f>
        <v/>
      </c>
      <c r="I66" s="27"/>
      <c r="J66" s="27"/>
      <c r="K66" s="27"/>
      <c r="L66" s="27"/>
      <c r="M66" s="28"/>
      <c r="N66" s="28"/>
      <c r="O66" s="32"/>
      <c r="P66" s="31" t="str">
        <f aca="false">IF($B66="","",IF(COUNTIF(Customers!$B$4:$B$1003,$B66)&gt;0,"Yes","No"))</f>
        <v/>
      </c>
      <c r="Q66" s="31" t="str">
        <f aca="true">IF($E66="","",IF($E66&gt;TODAY(),"Scheduled",TODAY()-$E66))</f>
        <v/>
      </c>
    </row>
    <row r="67" customFormat="false" ht="15.75" hidden="false" customHeight="true" outlineLevel="0" collapsed="false">
      <c r="A67" s="27"/>
      <c r="B67" s="28"/>
      <c r="C67" s="33" t="str">
        <f aca="false">IFERROR(INDEX('Lead Management'!$B$4:$B$1003,MATCH($B67,'Lead Management'!$A$4:$A$1003,0)),"")</f>
        <v/>
      </c>
      <c r="D67" s="33" t="str">
        <f aca="false">IFERROR(INDEX('Lead Management'!$C$4:$C$1003,MATCH($B67,'Lead Management'!$A$4:$A$1003,0)),"")</f>
        <v/>
      </c>
      <c r="E67" s="29"/>
      <c r="F67" s="27"/>
      <c r="G67" s="28"/>
      <c r="H67" s="34" t="str">
        <f aca="false">IF($A67="","",Settings!$B$8)</f>
        <v/>
      </c>
      <c r="I67" s="27"/>
      <c r="J67" s="27"/>
      <c r="K67" s="27"/>
      <c r="L67" s="27"/>
      <c r="M67" s="28"/>
      <c r="N67" s="28"/>
      <c r="O67" s="32"/>
      <c r="P67" s="31" t="str">
        <f aca="false">IF($B67="","",IF(COUNTIF(Customers!$B$4:$B$1003,$B67)&gt;0,"Yes","No"))</f>
        <v/>
      </c>
      <c r="Q67" s="31" t="str">
        <f aca="true">IF($E67="","",IF($E67&gt;TODAY(),"Scheduled",TODAY()-$E67))</f>
        <v/>
      </c>
    </row>
    <row r="68" customFormat="false" ht="15.75" hidden="false" customHeight="true" outlineLevel="0" collapsed="false">
      <c r="A68" s="27"/>
      <c r="B68" s="28"/>
      <c r="C68" s="33" t="str">
        <f aca="false">IFERROR(INDEX('Lead Management'!$B$4:$B$1003,MATCH($B68,'Lead Management'!$A$4:$A$1003,0)),"")</f>
        <v/>
      </c>
      <c r="D68" s="33" t="str">
        <f aca="false">IFERROR(INDEX('Lead Management'!$C$4:$C$1003,MATCH($B68,'Lead Management'!$A$4:$A$1003,0)),"")</f>
        <v/>
      </c>
      <c r="E68" s="29"/>
      <c r="F68" s="27"/>
      <c r="G68" s="28"/>
      <c r="H68" s="34" t="str">
        <f aca="false">IF($A68="","",Settings!$B$8)</f>
        <v/>
      </c>
      <c r="I68" s="27"/>
      <c r="J68" s="27"/>
      <c r="K68" s="27"/>
      <c r="L68" s="27"/>
      <c r="M68" s="28"/>
      <c r="N68" s="28"/>
      <c r="O68" s="32"/>
      <c r="P68" s="31" t="str">
        <f aca="false">IF($B68="","",IF(COUNTIF(Customers!$B$4:$B$1003,$B68)&gt;0,"Yes","No"))</f>
        <v/>
      </c>
      <c r="Q68" s="31" t="str">
        <f aca="true">IF($E68="","",IF($E68&gt;TODAY(),"Scheduled",TODAY()-$E68))</f>
        <v/>
      </c>
    </row>
    <row r="69" customFormat="false" ht="15.75" hidden="false" customHeight="true" outlineLevel="0" collapsed="false">
      <c r="A69" s="27"/>
      <c r="B69" s="28"/>
      <c r="C69" s="33" t="str">
        <f aca="false">IFERROR(INDEX('Lead Management'!$B$4:$B$1003,MATCH($B69,'Lead Management'!$A$4:$A$1003,0)),"")</f>
        <v/>
      </c>
      <c r="D69" s="33" t="str">
        <f aca="false">IFERROR(INDEX('Lead Management'!$C$4:$C$1003,MATCH($B69,'Lead Management'!$A$4:$A$1003,0)),"")</f>
        <v/>
      </c>
      <c r="E69" s="29"/>
      <c r="F69" s="27"/>
      <c r="G69" s="28"/>
      <c r="H69" s="34" t="str">
        <f aca="false">IF($A69="","",Settings!$B$8)</f>
        <v/>
      </c>
      <c r="I69" s="27"/>
      <c r="J69" s="27"/>
      <c r="K69" s="27"/>
      <c r="L69" s="27"/>
      <c r="M69" s="28"/>
      <c r="N69" s="28"/>
      <c r="O69" s="32"/>
      <c r="P69" s="31" t="str">
        <f aca="false">IF($B69="","",IF(COUNTIF(Customers!$B$4:$B$1003,$B69)&gt;0,"Yes","No"))</f>
        <v/>
      </c>
      <c r="Q69" s="31" t="str">
        <f aca="true">IF($E69="","",IF($E69&gt;TODAY(),"Scheduled",TODAY()-$E69))</f>
        <v/>
      </c>
    </row>
    <row r="70" customFormat="false" ht="15.75" hidden="false" customHeight="true" outlineLevel="0" collapsed="false">
      <c r="A70" s="27"/>
      <c r="B70" s="28"/>
      <c r="C70" s="33" t="str">
        <f aca="false">IFERROR(INDEX('Lead Management'!$B$4:$B$1003,MATCH($B70,'Lead Management'!$A$4:$A$1003,0)),"")</f>
        <v/>
      </c>
      <c r="D70" s="33" t="str">
        <f aca="false">IFERROR(INDEX('Lead Management'!$C$4:$C$1003,MATCH($B70,'Lead Management'!$A$4:$A$1003,0)),"")</f>
        <v/>
      </c>
      <c r="E70" s="29"/>
      <c r="F70" s="27"/>
      <c r="G70" s="28"/>
      <c r="H70" s="34" t="str">
        <f aca="false">IF($A70="","",Settings!$B$8)</f>
        <v/>
      </c>
      <c r="I70" s="27"/>
      <c r="J70" s="27"/>
      <c r="K70" s="27"/>
      <c r="L70" s="27"/>
      <c r="M70" s="28"/>
      <c r="N70" s="28"/>
      <c r="O70" s="32"/>
      <c r="P70" s="31" t="str">
        <f aca="false">IF($B70="","",IF(COUNTIF(Customers!$B$4:$B$1003,$B70)&gt;0,"Yes","No"))</f>
        <v/>
      </c>
      <c r="Q70" s="31" t="str">
        <f aca="true">IF($E70="","",IF($E70&gt;TODAY(),"Scheduled",TODAY()-$E70))</f>
        <v/>
      </c>
    </row>
    <row r="71" customFormat="false" ht="15.75" hidden="false" customHeight="true" outlineLevel="0" collapsed="false">
      <c r="A71" s="27"/>
      <c r="B71" s="28"/>
      <c r="C71" s="33" t="str">
        <f aca="false">IFERROR(INDEX('Lead Management'!$B$4:$B$1003,MATCH($B71,'Lead Management'!$A$4:$A$1003,0)),"")</f>
        <v/>
      </c>
      <c r="D71" s="33" t="str">
        <f aca="false">IFERROR(INDEX('Lead Management'!$C$4:$C$1003,MATCH($B71,'Lead Management'!$A$4:$A$1003,0)),"")</f>
        <v/>
      </c>
      <c r="E71" s="29"/>
      <c r="F71" s="27"/>
      <c r="G71" s="28"/>
      <c r="H71" s="34" t="str">
        <f aca="false">IF($A71="","",Settings!$B$8)</f>
        <v/>
      </c>
      <c r="I71" s="27"/>
      <c r="J71" s="27"/>
      <c r="K71" s="27"/>
      <c r="L71" s="27"/>
      <c r="M71" s="28"/>
      <c r="N71" s="28"/>
      <c r="O71" s="32"/>
      <c r="P71" s="31" t="str">
        <f aca="false">IF($B71="","",IF(COUNTIF(Customers!$B$4:$B$1003,$B71)&gt;0,"Yes","No"))</f>
        <v/>
      </c>
      <c r="Q71" s="31" t="str">
        <f aca="true">IF($E71="","",IF($E71&gt;TODAY(),"Scheduled",TODAY()-$E71))</f>
        <v/>
      </c>
    </row>
    <row r="72" customFormat="false" ht="15.75" hidden="false" customHeight="true" outlineLevel="0" collapsed="false">
      <c r="A72" s="27"/>
      <c r="B72" s="28"/>
      <c r="C72" s="33" t="str">
        <f aca="false">IFERROR(INDEX('Lead Management'!$B$4:$B$1003,MATCH($B72,'Lead Management'!$A$4:$A$1003,0)),"")</f>
        <v/>
      </c>
      <c r="D72" s="33" t="str">
        <f aca="false">IFERROR(INDEX('Lead Management'!$C$4:$C$1003,MATCH($B72,'Lead Management'!$A$4:$A$1003,0)),"")</f>
        <v/>
      </c>
      <c r="E72" s="29"/>
      <c r="F72" s="27"/>
      <c r="G72" s="28"/>
      <c r="H72" s="34" t="str">
        <f aca="false">IF($A72="","",Settings!$B$8)</f>
        <v/>
      </c>
      <c r="I72" s="27"/>
      <c r="J72" s="27"/>
      <c r="K72" s="27"/>
      <c r="L72" s="27"/>
      <c r="M72" s="28"/>
      <c r="N72" s="28"/>
      <c r="O72" s="32"/>
      <c r="P72" s="31" t="str">
        <f aca="false">IF($B72="","",IF(COUNTIF(Customers!$B$4:$B$1003,$B72)&gt;0,"Yes","No"))</f>
        <v/>
      </c>
      <c r="Q72" s="31" t="str">
        <f aca="true">IF($E72="","",IF($E72&gt;TODAY(),"Scheduled",TODAY()-$E72))</f>
        <v/>
      </c>
    </row>
    <row r="73" customFormat="false" ht="15.75" hidden="false" customHeight="true" outlineLevel="0" collapsed="false">
      <c r="A73" s="27"/>
      <c r="B73" s="28"/>
      <c r="C73" s="33" t="str">
        <f aca="false">IFERROR(INDEX('Lead Management'!$B$4:$B$1003,MATCH($B73,'Lead Management'!$A$4:$A$1003,0)),"")</f>
        <v/>
      </c>
      <c r="D73" s="33" t="str">
        <f aca="false">IFERROR(INDEX('Lead Management'!$C$4:$C$1003,MATCH($B73,'Lead Management'!$A$4:$A$1003,0)),"")</f>
        <v/>
      </c>
      <c r="E73" s="29"/>
      <c r="F73" s="27"/>
      <c r="G73" s="28"/>
      <c r="H73" s="34" t="str">
        <f aca="false">IF($A73="","",Settings!$B$8)</f>
        <v/>
      </c>
      <c r="I73" s="27"/>
      <c r="J73" s="27"/>
      <c r="K73" s="27"/>
      <c r="L73" s="27"/>
      <c r="M73" s="28"/>
      <c r="N73" s="28"/>
      <c r="O73" s="32"/>
      <c r="P73" s="31" t="str">
        <f aca="false">IF($B73="","",IF(COUNTIF(Customers!$B$4:$B$1003,$B73)&gt;0,"Yes","No"))</f>
        <v/>
      </c>
      <c r="Q73" s="31" t="str">
        <f aca="true">IF($E73="","",IF($E73&gt;TODAY(),"Scheduled",TODAY()-$E73))</f>
        <v/>
      </c>
    </row>
    <row r="74" customFormat="false" ht="15.75" hidden="false" customHeight="true" outlineLevel="0" collapsed="false">
      <c r="A74" s="27"/>
      <c r="B74" s="28"/>
      <c r="C74" s="33" t="str">
        <f aca="false">IFERROR(INDEX('Lead Management'!$B$4:$B$1003,MATCH($B74,'Lead Management'!$A$4:$A$1003,0)),"")</f>
        <v/>
      </c>
      <c r="D74" s="33" t="str">
        <f aca="false">IFERROR(INDEX('Lead Management'!$C$4:$C$1003,MATCH($B74,'Lead Management'!$A$4:$A$1003,0)),"")</f>
        <v/>
      </c>
      <c r="E74" s="29"/>
      <c r="F74" s="27"/>
      <c r="G74" s="28"/>
      <c r="H74" s="34" t="str">
        <f aca="false">IF($A74="","",Settings!$B$8)</f>
        <v/>
      </c>
      <c r="I74" s="27"/>
      <c r="J74" s="27"/>
      <c r="K74" s="27"/>
      <c r="L74" s="27"/>
      <c r="M74" s="28"/>
      <c r="N74" s="28"/>
      <c r="O74" s="32"/>
      <c r="P74" s="31" t="str">
        <f aca="false">IF($B74="","",IF(COUNTIF(Customers!$B$4:$B$1003,$B74)&gt;0,"Yes","No"))</f>
        <v/>
      </c>
      <c r="Q74" s="31" t="str">
        <f aca="true">IF($E74="","",IF($E74&gt;TODAY(),"Scheduled",TODAY()-$E74))</f>
        <v/>
      </c>
    </row>
    <row r="75" customFormat="false" ht="15.75" hidden="false" customHeight="true" outlineLevel="0" collapsed="false">
      <c r="A75" s="27"/>
      <c r="B75" s="28"/>
      <c r="C75" s="33" t="str">
        <f aca="false">IFERROR(INDEX('Lead Management'!$B$4:$B$1003,MATCH($B75,'Lead Management'!$A$4:$A$1003,0)),"")</f>
        <v/>
      </c>
      <c r="D75" s="33" t="str">
        <f aca="false">IFERROR(INDEX('Lead Management'!$C$4:$C$1003,MATCH($B75,'Lead Management'!$A$4:$A$1003,0)),"")</f>
        <v/>
      </c>
      <c r="E75" s="29"/>
      <c r="F75" s="27"/>
      <c r="G75" s="28"/>
      <c r="H75" s="34" t="str">
        <f aca="false">IF($A75="","",Settings!$B$8)</f>
        <v/>
      </c>
      <c r="I75" s="27"/>
      <c r="J75" s="27"/>
      <c r="K75" s="27"/>
      <c r="L75" s="27"/>
      <c r="M75" s="28"/>
      <c r="N75" s="28"/>
      <c r="O75" s="32"/>
      <c r="P75" s="31" t="str">
        <f aca="false">IF($B75="","",IF(COUNTIF(Customers!$B$4:$B$1003,$B75)&gt;0,"Yes","No"))</f>
        <v/>
      </c>
      <c r="Q75" s="31" t="str">
        <f aca="true">IF($E75="","",IF($E75&gt;TODAY(),"Scheduled",TODAY()-$E75))</f>
        <v/>
      </c>
    </row>
    <row r="76" customFormat="false" ht="15.75" hidden="false" customHeight="true" outlineLevel="0" collapsed="false">
      <c r="A76" s="27"/>
      <c r="B76" s="28"/>
      <c r="C76" s="33" t="str">
        <f aca="false">IFERROR(INDEX('Lead Management'!$B$4:$B$1003,MATCH($B76,'Lead Management'!$A$4:$A$1003,0)),"")</f>
        <v/>
      </c>
      <c r="D76" s="33" t="str">
        <f aca="false">IFERROR(INDEX('Lead Management'!$C$4:$C$1003,MATCH($B76,'Lead Management'!$A$4:$A$1003,0)),"")</f>
        <v/>
      </c>
      <c r="E76" s="29"/>
      <c r="F76" s="27"/>
      <c r="G76" s="28"/>
      <c r="H76" s="34" t="str">
        <f aca="false">IF($A76="","",Settings!$B$8)</f>
        <v/>
      </c>
      <c r="I76" s="27"/>
      <c r="J76" s="27"/>
      <c r="K76" s="27"/>
      <c r="L76" s="27"/>
      <c r="M76" s="28"/>
      <c r="N76" s="28"/>
      <c r="O76" s="32"/>
      <c r="P76" s="31" t="str">
        <f aca="false">IF($B76="","",IF(COUNTIF(Customers!$B$4:$B$1003,$B76)&gt;0,"Yes","No"))</f>
        <v/>
      </c>
      <c r="Q76" s="31" t="str">
        <f aca="true">IF($E76="","",IF($E76&gt;TODAY(),"Scheduled",TODAY()-$E76))</f>
        <v/>
      </c>
    </row>
    <row r="77" customFormat="false" ht="15.75" hidden="false" customHeight="true" outlineLevel="0" collapsed="false">
      <c r="A77" s="27"/>
      <c r="B77" s="28"/>
      <c r="C77" s="33" t="str">
        <f aca="false">IFERROR(INDEX('Lead Management'!$B$4:$B$1003,MATCH($B77,'Lead Management'!$A$4:$A$1003,0)),"")</f>
        <v/>
      </c>
      <c r="D77" s="33" t="str">
        <f aca="false">IFERROR(INDEX('Lead Management'!$C$4:$C$1003,MATCH($B77,'Lead Management'!$A$4:$A$1003,0)),"")</f>
        <v/>
      </c>
      <c r="E77" s="29"/>
      <c r="F77" s="27"/>
      <c r="G77" s="28"/>
      <c r="H77" s="34" t="str">
        <f aca="false">IF($A77="","",Settings!$B$8)</f>
        <v/>
      </c>
      <c r="I77" s="27"/>
      <c r="J77" s="27"/>
      <c r="K77" s="27"/>
      <c r="L77" s="27"/>
      <c r="M77" s="28"/>
      <c r="N77" s="28"/>
      <c r="O77" s="32"/>
      <c r="P77" s="31" t="str">
        <f aca="false">IF($B77="","",IF(COUNTIF(Customers!$B$4:$B$1003,$B77)&gt;0,"Yes","No"))</f>
        <v/>
      </c>
      <c r="Q77" s="31" t="str">
        <f aca="true">IF($E77="","",IF($E77&gt;TODAY(),"Scheduled",TODAY()-$E77))</f>
        <v/>
      </c>
    </row>
    <row r="78" customFormat="false" ht="15.75" hidden="false" customHeight="true" outlineLevel="0" collapsed="false">
      <c r="A78" s="27"/>
      <c r="B78" s="28"/>
      <c r="C78" s="33" t="str">
        <f aca="false">IFERROR(INDEX('Lead Management'!$B$4:$B$1003,MATCH($B78,'Lead Management'!$A$4:$A$1003,0)),"")</f>
        <v/>
      </c>
      <c r="D78" s="33" t="str">
        <f aca="false">IFERROR(INDEX('Lead Management'!$C$4:$C$1003,MATCH($B78,'Lead Management'!$A$4:$A$1003,0)),"")</f>
        <v/>
      </c>
      <c r="E78" s="29"/>
      <c r="F78" s="27"/>
      <c r="G78" s="28"/>
      <c r="H78" s="34" t="str">
        <f aca="false">IF($A78="","",Settings!$B$8)</f>
        <v/>
      </c>
      <c r="I78" s="27"/>
      <c r="J78" s="27"/>
      <c r="K78" s="27"/>
      <c r="L78" s="27"/>
      <c r="M78" s="28"/>
      <c r="N78" s="28"/>
      <c r="O78" s="32"/>
      <c r="P78" s="31" t="str">
        <f aca="false">IF($B78="","",IF(COUNTIF(Customers!$B$4:$B$1003,$B78)&gt;0,"Yes","No"))</f>
        <v/>
      </c>
      <c r="Q78" s="31" t="str">
        <f aca="true">IF($E78="","",IF($E78&gt;TODAY(),"Scheduled",TODAY()-$E78))</f>
        <v/>
      </c>
    </row>
    <row r="79" customFormat="false" ht="15.75" hidden="false" customHeight="true" outlineLevel="0" collapsed="false">
      <c r="A79" s="27"/>
      <c r="B79" s="28"/>
      <c r="C79" s="33" t="str">
        <f aca="false">IFERROR(INDEX('Lead Management'!$B$4:$B$1003,MATCH($B79,'Lead Management'!$A$4:$A$1003,0)),"")</f>
        <v/>
      </c>
      <c r="D79" s="33" t="str">
        <f aca="false">IFERROR(INDEX('Lead Management'!$C$4:$C$1003,MATCH($B79,'Lead Management'!$A$4:$A$1003,0)),"")</f>
        <v/>
      </c>
      <c r="E79" s="29"/>
      <c r="F79" s="27"/>
      <c r="G79" s="28"/>
      <c r="H79" s="34" t="str">
        <f aca="false">IF($A79="","",Settings!$B$8)</f>
        <v/>
      </c>
      <c r="I79" s="27"/>
      <c r="J79" s="27"/>
      <c r="K79" s="27"/>
      <c r="L79" s="27"/>
      <c r="M79" s="28"/>
      <c r="N79" s="28"/>
      <c r="O79" s="32"/>
      <c r="P79" s="31" t="str">
        <f aca="false">IF($B79="","",IF(COUNTIF(Customers!$B$4:$B$1003,$B79)&gt;0,"Yes","No"))</f>
        <v/>
      </c>
      <c r="Q79" s="31" t="str">
        <f aca="true">IF($E79="","",IF($E79&gt;TODAY(),"Scheduled",TODAY()-$E79))</f>
        <v/>
      </c>
    </row>
    <row r="80" customFormat="false" ht="15.75" hidden="false" customHeight="true" outlineLevel="0" collapsed="false">
      <c r="A80" s="27"/>
      <c r="B80" s="28"/>
      <c r="C80" s="33" t="str">
        <f aca="false">IFERROR(INDEX('Lead Management'!$B$4:$B$1003,MATCH($B80,'Lead Management'!$A$4:$A$1003,0)),"")</f>
        <v/>
      </c>
      <c r="D80" s="33" t="str">
        <f aca="false">IFERROR(INDEX('Lead Management'!$C$4:$C$1003,MATCH($B80,'Lead Management'!$A$4:$A$1003,0)),"")</f>
        <v/>
      </c>
      <c r="E80" s="29"/>
      <c r="F80" s="27"/>
      <c r="G80" s="28"/>
      <c r="H80" s="34" t="str">
        <f aca="false">IF($A80="","",Settings!$B$8)</f>
        <v/>
      </c>
      <c r="I80" s="27"/>
      <c r="J80" s="27"/>
      <c r="K80" s="27"/>
      <c r="L80" s="27"/>
      <c r="M80" s="28"/>
      <c r="N80" s="28"/>
      <c r="O80" s="32"/>
      <c r="P80" s="31" t="str">
        <f aca="false">IF($B80="","",IF(COUNTIF(Customers!$B$4:$B$1003,$B80)&gt;0,"Yes","No"))</f>
        <v/>
      </c>
      <c r="Q80" s="31" t="str">
        <f aca="true">IF($E80="","",IF($E80&gt;TODAY(),"Scheduled",TODAY()-$E80))</f>
        <v/>
      </c>
    </row>
    <row r="81" customFormat="false" ht="15.75" hidden="false" customHeight="true" outlineLevel="0" collapsed="false">
      <c r="A81" s="27"/>
      <c r="B81" s="28"/>
      <c r="C81" s="33" t="str">
        <f aca="false">IFERROR(INDEX('Lead Management'!$B$4:$B$1003,MATCH($B81,'Lead Management'!$A$4:$A$1003,0)),"")</f>
        <v/>
      </c>
      <c r="D81" s="33" t="str">
        <f aca="false">IFERROR(INDEX('Lead Management'!$C$4:$C$1003,MATCH($B81,'Lead Management'!$A$4:$A$1003,0)),"")</f>
        <v/>
      </c>
      <c r="E81" s="29"/>
      <c r="F81" s="27"/>
      <c r="G81" s="28"/>
      <c r="H81" s="34" t="str">
        <f aca="false">IF($A81="","",Settings!$B$8)</f>
        <v/>
      </c>
      <c r="I81" s="27"/>
      <c r="J81" s="27"/>
      <c r="K81" s="27"/>
      <c r="L81" s="27"/>
      <c r="M81" s="28"/>
      <c r="N81" s="28"/>
      <c r="O81" s="32"/>
      <c r="P81" s="31" t="str">
        <f aca="false">IF($B81="","",IF(COUNTIF(Customers!$B$4:$B$1003,$B81)&gt;0,"Yes","No"))</f>
        <v/>
      </c>
      <c r="Q81" s="31" t="str">
        <f aca="true">IF($E81="","",IF($E81&gt;TODAY(),"Scheduled",TODAY()-$E81))</f>
        <v/>
      </c>
    </row>
    <row r="82" customFormat="false" ht="15.75" hidden="false" customHeight="true" outlineLevel="0" collapsed="false">
      <c r="A82" s="27"/>
      <c r="B82" s="28"/>
      <c r="C82" s="33" t="str">
        <f aca="false">IFERROR(INDEX('Lead Management'!$B$4:$B$1003,MATCH($B82,'Lead Management'!$A$4:$A$1003,0)),"")</f>
        <v/>
      </c>
      <c r="D82" s="33" t="str">
        <f aca="false">IFERROR(INDEX('Lead Management'!$C$4:$C$1003,MATCH($B82,'Lead Management'!$A$4:$A$1003,0)),"")</f>
        <v/>
      </c>
      <c r="E82" s="29"/>
      <c r="F82" s="27"/>
      <c r="G82" s="28"/>
      <c r="H82" s="34" t="str">
        <f aca="false">IF($A82="","",Settings!$B$8)</f>
        <v/>
      </c>
      <c r="I82" s="27"/>
      <c r="J82" s="27"/>
      <c r="K82" s="27"/>
      <c r="L82" s="27"/>
      <c r="M82" s="28"/>
      <c r="N82" s="28"/>
      <c r="O82" s="32"/>
      <c r="P82" s="31" t="str">
        <f aca="false">IF($B82="","",IF(COUNTIF(Customers!$B$4:$B$1003,$B82)&gt;0,"Yes","No"))</f>
        <v/>
      </c>
      <c r="Q82" s="31" t="str">
        <f aca="true">IF($E82="","",IF($E82&gt;TODAY(),"Scheduled",TODAY()-$E82))</f>
        <v/>
      </c>
    </row>
    <row r="83" customFormat="false" ht="15.75" hidden="false" customHeight="true" outlineLevel="0" collapsed="false">
      <c r="A83" s="27"/>
      <c r="B83" s="28"/>
      <c r="C83" s="33" t="str">
        <f aca="false">IFERROR(INDEX('Lead Management'!$B$4:$B$1003,MATCH($B83,'Lead Management'!$A$4:$A$1003,0)),"")</f>
        <v/>
      </c>
      <c r="D83" s="33" t="str">
        <f aca="false">IFERROR(INDEX('Lead Management'!$C$4:$C$1003,MATCH($B83,'Lead Management'!$A$4:$A$1003,0)),"")</f>
        <v/>
      </c>
      <c r="E83" s="29"/>
      <c r="F83" s="27"/>
      <c r="G83" s="28"/>
      <c r="H83" s="34" t="str">
        <f aca="false">IF($A83="","",Settings!$B$8)</f>
        <v/>
      </c>
      <c r="I83" s="27"/>
      <c r="J83" s="27"/>
      <c r="K83" s="27"/>
      <c r="L83" s="27"/>
      <c r="M83" s="28"/>
      <c r="N83" s="28"/>
      <c r="O83" s="32"/>
      <c r="P83" s="31" t="str">
        <f aca="false">IF($B83="","",IF(COUNTIF(Customers!$B$4:$B$1003,$B83)&gt;0,"Yes","No"))</f>
        <v/>
      </c>
      <c r="Q83" s="31" t="str">
        <f aca="true">IF($E83="","",IF($E83&gt;TODAY(),"Scheduled",TODAY()-$E83))</f>
        <v/>
      </c>
    </row>
    <row r="84" customFormat="false" ht="15.75" hidden="false" customHeight="true" outlineLevel="0" collapsed="false">
      <c r="A84" s="27"/>
      <c r="B84" s="28"/>
      <c r="C84" s="33" t="str">
        <f aca="false">IFERROR(INDEX('Lead Management'!$B$4:$B$1003,MATCH($B84,'Lead Management'!$A$4:$A$1003,0)),"")</f>
        <v/>
      </c>
      <c r="D84" s="33" t="str">
        <f aca="false">IFERROR(INDEX('Lead Management'!$C$4:$C$1003,MATCH($B84,'Lead Management'!$A$4:$A$1003,0)),"")</f>
        <v/>
      </c>
      <c r="E84" s="29"/>
      <c r="F84" s="27"/>
      <c r="G84" s="28"/>
      <c r="H84" s="34" t="str">
        <f aca="false">IF($A84="","",Settings!$B$8)</f>
        <v/>
      </c>
      <c r="I84" s="27"/>
      <c r="J84" s="27"/>
      <c r="K84" s="27"/>
      <c r="L84" s="27"/>
      <c r="M84" s="28"/>
      <c r="N84" s="28"/>
      <c r="O84" s="32"/>
      <c r="P84" s="31" t="str">
        <f aca="false">IF($B84="","",IF(COUNTIF(Customers!$B$4:$B$1003,$B84)&gt;0,"Yes","No"))</f>
        <v/>
      </c>
      <c r="Q84" s="31" t="str">
        <f aca="true">IF($E84="","",IF($E84&gt;TODAY(),"Scheduled",TODAY()-$E84))</f>
        <v/>
      </c>
    </row>
    <row r="85" customFormat="false" ht="15.75" hidden="false" customHeight="true" outlineLevel="0" collapsed="false">
      <c r="A85" s="27"/>
      <c r="B85" s="28"/>
      <c r="C85" s="33" t="str">
        <f aca="false">IFERROR(INDEX('Lead Management'!$B$4:$B$1003,MATCH($B85,'Lead Management'!$A$4:$A$1003,0)),"")</f>
        <v/>
      </c>
      <c r="D85" s="33" t="str">
        <f aca="false">IFERROR(INDEX('Lead Management'!$C$4:$C$1003,MATCH($B85,'Lead Management'!$A$4:$A$1003,0)),"")</f>
        <v/>
      </c>
      <c r="E85" s="29"/>
      <c r="F85" s="27"/>
      <c r="G85" s="28"/>
      <c r="H85" s="34" t="str">
        <f aca="false">IF($A85="","",Settings!$B$8)</f>
        <v/>
      </c>
      <c r="I85" s="27"/>
      <c r="J85" s="27"/>
      <c r="K85" s="27"/>
      <c r="L85" s="27"/>
      <c r="M85" s="28"/>
      <c r="N85" s="28"/>
      <c r="O85" s="32"/>
      <c r="P85" s="31" t="str">
        <f aca="false">IF($B85="","",IF(COUNTIF(Customers!$B$4:$B$1003,$B85)&gt;0,"Yes","No"))</f>
        <v/>
      </c>
      <c r="Q85" s="31" t="str">
        <f aca="true">IF($E85="","",IF($E85&gt;TODAY(),"Scheduled",TODAY()-$E85))</f>
        <v/>
      </c>
    </row>
    <row r="86" customFormat="false" ht="15.75" hidden="false" customHeight="true" outlineLevel="0" collapsed="false">
      <c r="A86" s="27"/>
      <c r="B86" s="28"/>
      <c r="C86" s="33" t="str">
        <f aca="false">IFERROR(INDEX('Lead Management'!$B$4:$B$1003,MATCH($B86,'Lead Management'!$A$4:$A$1003,0)),"")</f>
        <v/>
      </c>
      <c r="D86" s="33" t="str">
        <f aca="false">IFERROR(INDEX('Lead Management'!$C$4:$C$1003,MATCH($B86,'Lead Management'!$A$4:$A$1003,0)),"")</f>
        <v/>
      </c>
      <c r="E86" s="29"/>
      <c r="F86" s="27"/>
      <c r="G86" s="28"/>
      <c r="H86" s="34" t="str">
        <f aca="false">IF($A86="","",Settings!$B$8)</f>
        <v/>
      </c>
      <c r="I86" s="27"/>
      <c r="J86" s="27"/>
      <c r="K86" s="27"/>
      <c r="L86" s="27"/>
      <c r="M86" s="28"/>
      <c r="N86" s="28"/>
      <c r="O86" s="32"/>
      <c r="P86" s="31" t="str">
        <f aca="false">IF($B86="","",IF(COUNTIF(Customers!$B$4:$B$1003,$B86)&gt;0,"Yes","No"))</f>
        <v/>
      </c>
      <c r="Q86" s="31" t="str">
        <f aca="true">IF($E86="","",IF($E86&gt;TODAY(),"Scheduled",TODAY()-$E86))</f>
        <v/>
      </c>
    </row>
    <row r="87" customFormat="false" ht="15.75" hidden="false" customHeight="true" outlineLevel="0" collapsed="false">
      <c r="A87" s="27"/>
      <c r="B87" s="28"/>
      <c r="C87" s="33" t="str">
        <f aca="false">IFERROR(INDEX('Lead Management'!$B$4:$B$1003,MATCH($B87,'Lead Management'!$A$4:$A$1003,0)),"")</f>
        <v/>
      </c>
      <c r="D87" s="33" t="str">
        <f aca="false">IFERROR(INDEX('Lead Management'!$C$4:$C$1003,MATCH($B87,'Lead Management'!$A$4:$A$1003,0)),"")</f>
        <v/>
      </c>
      <c r="E87" s="29"/>
      <c r="F87" s="27"/>
      <c r="G87" s="28"/>
      <c r="H87" s="34" t="str">
        <f aca="false">IF($A87="","",Settings!$B$8)</f>
        <v/>
      </c>
      <c r="I87" s="27"/>
      <c r="J87" s="27"/>
      <c r="K87" s="27"/>
      <c r="L87" s="27"/>
      <c r="M87" s="28"/>
      <c r="N87" s="28"/>
      <c r="O87" s="32"/>
      <c r="P87" s="31" t="str">
        <f aca="false">IF($B87="","",IF(COUNTIF(Customers!$B$4:$B$1003,$B87)&gt;0,"Yes","No"))</f>
        <v/>
      </c>
      <c r="Q87" s="31" t="str">
        <f aca="true">IF($E87="","",IF($E87&gt;TODAY(),"Scheduled",TODAY()-$E87))</f>
        <v/>
      </c>
    </row>
    <row r="88" customFormat="false" ht="15.75" hidden="false" customHeight="true" outlineLevel="0" collapsed="false">
      <c r="A88" s="27"/>
      <c r="B88" s="28"/>
      <c r="C88" s="33" t="str">
        <f aca="false">IFERROR(INDEX('Lead Management'!$B$4:$B$1003,MATCH($B88,'Lead Management'!$A$4:$A$1003,0)),"")</f>
        <v/>
      </c>
      <c r="D88" s="33" t="str">
        <f aca="false">IFERROR(INDEX('Lead Management'!$C$4:$C$1003,MATCH($B88,'Lead Management'!$A$4:$A$1003,0)),"")</f>
        <v/>
      </c>
      <c r="E88" s="29"/>
      <c r="F88" s="27"/>
      <c r="G88" s="28"/>
      <c r="H88" s="34" t="str">
        <f aca="false">IF($A88="","",Settings!$B$8)</f>
        <v/>
      </c>
      <c r="I88" s="27"/>
      <c r="J88" s="27"/>
      <c r="K88" s="27"/>
      <c r="L88" s="27"/>
      <c r="M88" s="28"/>
      <c r="N88" s="28"/>
      <c r="O88" s="32"/>
      <c r="P88" s="31" t="str">
        <f aca="false">IF($B88="","",IF(COUNTIF(Customers!$B$4:$B$1003,$B88)&gt;0,"Yes","No"))</f>
        <v/>
      </c>
      <c r="Q88" s="31" t="str">
        <f aca="true">IF($E88="","",IF($E88&gt;TODAY(),"Scheduled",TODAY()-$E88))</f>
        <v/>
      </c>
    </row>
    <row r="89" customFormat="false" ht="15.75" hidden="false" customHeight="true" outlineLevel="0" collapsed="false">
      <c r="A89" s="27"/>
      <c r="B89" s="28"/>
      <c r="C89" s="33" t="str">
        <f aca="false">IFERROR(INDEX('Lead Management'!$B$4:$B$1003,MATCH($B89,'Lead Management'!$A$4:$A$1003,0)),"")</f>
        <v/>
      </c>
      <c r="D89" s="33" t="str">
        <f aca="false">IFERROR(INDEX('Lead Management'!$C$4:$C$1003,MATCH($B89,'Lead Management'!$A$4:$A$1003,0)),"")</f>
        <v/>
      </c>
      <c r="E89" s="29"/>
      <c r="F89" s="27"/>
      <c r="G89" s="28"/>
      <c r="H89" s="34" t="str">
        <f aca="false">IF($A89="","",Settings!$B$8)</f>
        <v/>
      </c>
      <c r="I89" s="27"/>
      <c r="J89" s="27"/>
      <c r="K89" s="27"/>
      <c r="L89" s="27"/>
      <c r="M89" s="28"/>
      <c r="N89" s="28"/>
      <c r="O89" s="32"/>
      <c r="P89" s="31" t="str">
        <f aca="false">IF($B89="","",IF(COUNTIF(Customers!$B$4:$B$1003,$B89)&gt;0,"Yes","No"))</f>
        <v/>
      </c>
      <c r="Q89" s="31" t="str">
        <f aca="true">IF($E89="","",IF($E89&gt;TODAY(),"Scheduled",TODAY()-$E89))</f>
        <v/>
      </c>
    </row>
    <row r="90" customFormat="false" ht="15.75" hidden="false" customHeight="true" outlineLevel="0" collapsed="false">
      <c r="A90" s="27"/>
      <c r="B90" s="28"/>
      <c r="C90" s="33" t="str">
        <f aca="false">IFERROR(INDEX('Lead Management'!$B$4:$B$1003,MATCH($B90,'Lead Management'!$A$4:$A$1003,0)),"")</f>
        <v/>
      </c>
      <c r="D90" s="33" t="str">
        <f aca="false">IFERROR(INDEX('Lead Management'!$C$4:$C$1003,MATCH($B90,'Lead Management'!$A$4:$A$1003,0)),"")</f>
        <v/>
      </c>
      <c r="E90" s="29"/>
      <c r="F90" s="27"/>
      <c r="G90" s="28"/>
      <c r="H90" s="34" t="str">
        <f aca="false">IF($A90="","",Settings!$B$8)</f>
        <v/>
      </c>
      <c r="I90" s="27"/>
      <c r="J90" s="27"/>
      <c r="K90" s="27"/>
      <c r="L90" s="27"/>
      <c r="M90" s="28"/>
      <c r="N90" s="28"/>
      <c r="O90" s="32"/>
      <c r="P90" s="31" t="str">
        <f aca="false">IF($B90="","",IF(COUNTIF(Customers!$B$4:$B$1003,$B90)&gt;0,"Yes","No"))</f>
        <v/>
      </c>
      <c r="Q90" s="31" t="str">
        <f aca="true">IF($E90="","",IF($E90&gt;TODAY(),"Scheduled",TODAY()-$E90))</f>
        <v/>
      </c>
    </row>
    <row r="91" customFormat="false" ht="15.75" hidden="false" customHeight="true" outlineLevel="0" collapsed="false">
      <c r="A91" s="27"/>
      <c r="B91" s="28"/>
      <c r="C91" s="33" t="str">
        <f aca="false">IFERROR(INDEX('Lead Management'!$B$4:$B$1003,MATCH($B91,'Lead Management'!$A$4:$A$1003,0)),"")</f>
        <v/>
      </c>
      <c r="D91" s="33" t="str">
        <f aca="false">IFERROR(INDEX('Lead Management'!$C$4:$C$1003,MATCH($B91,'Lead Management'!$A$4:$A$1003,0)),"")</f>
        <v/>
      </c>
      <c r="E91" s="29"/>
      <c r="F91" s="27"/>
      <c r="G91" s="28"/>
      <c r="H91" s="34" t="str">
        <f aca="false">IF($A91="","",Settings!$B$8)</f>
        <v/>
      </c>
      <c r="I91" s="27"/>
      <c r="J91" s="27"/>
      <c r="K91" s="27"/>
      <c r="L91" s="27"/>
      <c r="M91" s="28"/>
      <c r="N91" s="28"/>
      <c r="O91" s="32"/>
      <c r="P91" s="31" t="str">
        <f aca="false">IF($B91="","",IF(COUNTIF(Customers!$B$4:$B$1003,$B91)&gt;0,"Yes","No"))</f>
        <v/>
      </c>
      <c r="Q91" s="31" t="str">
        <f aca="true">IF($E91="","",IF($E91&gt;TODAY(),"Scheduled",TODAY()-$E91))</f>
        <v/>
      </c>
    </row>
    <row r="92" customFormat="false" ht="15.75" hidden="false" customHeight="true" outlineLevel="0" collapsed="false">
      <c r="A92" s="27"/>
      <c r="B92" s="28"/>
      <c r="C92" s="33" t="str">
        <f aca="false">IFERROR(INDEX('Lead Management'!$B$4:$B$1003,MATCH($B92,'Lead Management'!$A$4:$A$1003,0)),"")</f>
        <v/>
      </c>
      <c r="D92" s="33" t="str">
        <f aca="false">IFERROR(INDEX('Lead Management'!$C$4:$C$1003,MATCH($B92,'Lead Management'!$A$4:$A$1003,0)),"")</f>
        <v/>
      </c>
      <c r="E92" s="29"/>
      <c r="F92" s="27"/>
      <c r="G92" s="28"/>
      <c r="H92" s="34" t="str">
        <f aca="false">IF($A92="","",Settings!$B$8)</f>
        <v/>
      </c>
      <c r="I92" s="27"/>
      <c r="J92" s="27"/>
      <c r="K92" s="27"/>
      <c r="L92" s="27"/>
      <c r="M92" s="28"/>
      <c r="N92" s="28"/>
      <c r="O92" s="32"/>
      <c r="P92" s="31" t="str">
        <f aca="false">IF($B92="","",IF(COUNTIF(Customers!$B$4:$B$1003,$B92)&gt;0,"Yes","No"))</f>
        <v/>
      </c>
      <c r="Q92" s="31" t="str">
        <f aca="true">IF($E92="","",IF($E92&gt;TODAY(),"Scheduled",TODAY()-$E92))</f>
        <v/>
      </c>
    </row>
    <row r="93" customFormat="false" ht="15.75" hidden="false" customHeight="true" outlineLevel="0" collapsed="false">
      <c r="A93" s="27"/>
      <c r="B93" s="28"/>
      <c r="C93" s="33" t="str">
        <f aca="false">IFERROR(INDEX('Lead Management'!$B$4:$B$1003,MATCH($B93,'Lead Management'!$A$4:$A$1003,0)),"")</f>
        <v/>
      </c>
      <c r="D93" s="33" t="str">
        <f aca="false">IFERROR(INDEX('Lead Management'!$C$4:$C$1003,MATCH($B93,'Lead Management'!$A$4:$A$1003,0)),"")</f>
        <v/>
      </c>
      <c r="E93" s="29"/>
      <c r="F93" s="27"/>
      <c r="G93" s="28"/>
      <c r="H93" s="34" t="str">
        <f aca="false">IF($A93="","",Settings!$B$8)</f>
        <v/>
      </c>
      <c r="I93" s="27"/>
      <c r="J93" s="27"/>
      <c r="K93" s="27"/>
      <c r="L93" s="27"/>
      <c r="M93" s="28"/>
      <c r="N93" s="28"/>
      <c r="O93" s="32"/>
      <c r="P93" s="31" t="str">
        <f aca="false">IF($B93="","",IF(COUNTIF(Customers!$B$4:$B$1003,$B93)&gt;0,"Yes","No"))</f>
        <v/>
      </c>
      <c r="Q93" s="31" t="str">
        <f aca="true">IF($E93="","",IF($E93&gt;TODAY(),"Scheduled",TODAY()-$E93))</f>
        <v/>
      </c>
    </row>
    <row r="94" customFormat="false" ht="15.75" hidden="false" customHeight="true" outlineLevel="0" collapsed="false">
      <c r="A94" s="27"/>
      <c r="B94" s="28"/>
      <c r="C94" s="33" t="str">
        <f aca="false">IFERROR(INDEX('Lead Management'!$B$4:$B$1003,MATCH($B94,'Lead Management'!$A$4:$A$1003,0)),"")</f>
        <v/>
      </c>
      <c r="D94" s="33" t="str">
        <f aca="false">IFERROR(INDEX('Lead Management'!$C$4:$C$1003,MATCH($B94,'Lead Management'!$A$4:$A$1003,0)),"")</f>
        <v/>
      </c>
      <c r="E94" s="29"/>
      <c r="F94" s="27"/>
      <c r="G94" s="28"/>
      <c r="H94" s="34" t="str">
        <f aca="false">IF($A94="","",Settings!$B$8)</f>
        <v/>
      </c>
      <c r="I94" s="27"/>
      <c r="J94" s="27"/>
      <c r="K94" s="27"/>
      <c r="L94" s="27"/>
      <c r="M94" s="28"/>
      <c r="N94" s="28"/>
      <c r="O94" s="32"/>
      <c r="P94" s="31" t="str">
        <f aca="false">IF($B94="","",IF(COUNTIF(Customers!$B$4:$B$1003,$B94)&gt;0,"Yes","No"))</f>
        <v/>
      </c>
      <c r="Q94" s="31" t="str">
        <f aca="true">IF($E94="","",IF($E94&gt;TODAY(),"Scheduled",TODAY()-$E94))</f>
        <v/>
      </c>
    </row>
    <row r="95" customFormat="false" ht="15.75" hidden="false" customHeight="true" outlineLevel="0" collapsed="false">
      <c r="A95" s="27"/>
      <c r="B95" s="28"/>
      <c r="C95" s="33" t="str">
        <f aca="false">IFERROR(INDEX('Lead Management'!$B$4:$B$1003,MATCH($B95,'Lead Management'!$A$4:$A$1003,0)),"")</f>
        <v/>
      </c>
      <c r="D95" s="33" t="str">
        <f aca="false">IFERROR(INDEX('Lead Management'!$C$4:$C$1003,MATCH($B95,'Lead Management'!$A$4:$A$1003,0)),"")</f>
        <v/>
      </c>
      <c r="E95" s="29"/>
      <c r="F95" s="27"/>
      <c r="G95" s="28"/>
      <c r="H95" s="34" t="str">
        <f aca="false">IF($A95="","",Settings!$B$8)</f>
        <v/>
      </c>
      <c r="I95" s="27"/>
      <c r="J95" s="27"/>
      <c r="K95" s="27"/>
      <c r="L95" s="27"/>
      <c r="M95" s="28"/>
      <c r="N95" s="28"/>
      <c r="O95" s="32"/>
      <c r="P95" s="31" t="str">
        <f aca="false">IF($B95="","",IF(COUNTIF(Customers!$B$4:$B$1003,$B95)&gt;0,"Yes","No"))</f>
        <v/>
      </c>
      <c r="Q95" s="31" t="str">
        <f aca="true">IF($E95="","",IF($E95&gt;TODAY(),"Scheduled",TODAY()-$E95))</f>
        <v/>
      </c>
    </row>
    <row r="96" customFormat="false" ht="15.75" hidden="false" customHeight="true" outlineLevel="0" collapsed="false">
      <c r="A96" s="27"/>
      <c r="B96" s="28"/>
      <c r="C96" s="33" t="str">
        <f aca="false">IFERROR(INDEX('Lead Management'!$B$4:$B$1003,MATCH($B96,'Lead Management'!$A$4:$A$1003,0)),"")</f>
        <v/>
      </c>
      <c r="D96" s="33" t="str">
        <f aca="false">IFERROR(INDEX('Lead Management'!$C$4:$C$1003,MATCH($B96,'Lead Management'!$A$4:$A$1003,0)),"")</f>
        <v/>
      </c>
      <c r="E96" s="29"/>
      <c r="F96" s="27"/>
      <c r="G96" s="28"/>
      <c r="H96" s="34" t="str">
        <f aca="false">IF($A96="","",Settings!$B$8)</f>
        <v/>
      </c>
      <c r="I96" s="27"/>
      <c r="J96" s="27"/>
      <c r="K96" s="27"/>
      <c r="L96" s="27"/>
      <c r="M96" s="28"/>
      <c r="N96" s="28"/>
      <c r="O96" s="32"/>
      <c r="P96" s="31" t="str">
        <f aca="false">IF($B96="","",IF(COUNTIF(Customers!$B$4:$B$1003,$B96)&gt;0,"Yes","No"))</f>
        <v/>
      </c>
      <c r="Q96" s="31" t="str">
        <f aca="true">IF($E96="","",IF($E96&gt;TODAY(),"Scheduled",TODAY()-$E96))</f>
        <v/>
      </c>
    </row>
    <row r="97" customFormat="false" ht="15.75" hidden="false" customHeight="true" outlineLevel="0" collapsed="false">
      <c r="A97" s="27"/>
      <c r="B97" s="28"/>
      <c r="C97" s="33" t="str">
        <f aca="false">IFERROR(INDEX('Lead Management'!$B$4:$B$1003,MATCH($B97,'Lead Management'!$A$4:$A$1003,0)),"")</f>
        <v/>
      </c>
      <c r="D97" s="33" t="str">
        <f aca="false">IFERROR(INDEX('Lead Management'!$C$4:$C$1003,MATCH($B97,'Lead Management'!$A$4:$A$1003,0)),"")</f>
        <v/>
      </c>
      <c r="E97" s="29"/>
      <c r="F97" s="27"/>
      <c r="G97" s="28"/>
      <c r="H97" s="34" t="str">
        <f aca="false">IF($A97="","",Settings!$B$8)</f>
        <v/>
      </c>
      <c r="I97" s="27"/>
      <c r="J97" s="27"/>
      <c r="K97" s="27"/>
      <c r="L97" s="27"/>
      <c r="M97" s="28"/>
      <c r="N97" s="28"/>
      <c r="O97" s="32"/>
      <c r="P97" s="31" t="str">
        <f aca="false">IF($B97="","",IF(COUNTIF(Customers!$B$4:$B$1003,$B97)&gt;0,"Yes","No"))</f>
        <v/>
      </c>
      <c r="Q97" s="31" t="str">
        <f aca="true">IF($E97="","",IF($E97&gt;TODAY(),"Scheduled",TODAY()-$E97))</f>
        <v/>
      </c>
    </row>
    <row r="98" customFormat="false" ht="15.75" hidden="false" customHeight="true" outlineLevel="0" collapsed="false">
      <c r="A98" s="27"/>
      <c r="B98" s="28"/>
      <c r="C98" s="33" t="str">
        <f aca="false">IFERROR(INDEX('Lead Management'!$B$4:$B$1003,MATCH($B98,'Lead Management'!$A$4:$A$1003,0)),"")</f>
        <v/>
      </c>
      <c r="D98" s="33" t="str">
        <f aca="false">IFERROR(INDEX('Lead Management'!$C$4:$C$1003,MATCH($B98,'Lead Management'!$A$4:$A$1003,0)),"")</f>
        <v/>
      </c>
      <c r="E98" s="29"/>
      <c r="F98" s="27"/>
      <c r="G98" s="28"/>
      <c r="H98" s="34" t="str">
        <f aca="false">IF($A98="","",Settings!$B$8)</f>
        <v/>
      </c>
      <c r="I98" s="27"/>
      <c r="J98" s="27"/>
      <c r="K98" s="27"/>
      <c r="L98" s="27"/>
      <c r="M98" s="28"/>
      <c r="N98" s="28"/>
      <c r="O98" s="32"/>
      <c r="P98" s="31" t="str">
        <f aca="false">IF($B98="","",IF(COUNTIF(Customers!$B$4:$B$1003,$B98)&gt;0,"Yes","No"))</f>
        <v/>
      </c>
      <c r="Q98" s="31" t="str">
        <f aca="true">IF($E98="","",IF($E98&gt;TODAY(),"Scheduled",TODAY()-$E98))</f>
        <v/>
      </c>
    </row>
    <row r="99" customFormat="false" ht="15.75" hidden="false" customHeight="true" outlineLevel="0" collapsed="false">
      <c r="A99" s="27"/>
      <c r="B99" s="28"/>
      <c r="C99" s="33" t="str">
        <f aca="false">IFERROR(INDEX('Lead Management'!$B$4:$B$1003,MATCH($B99,'Lead Management'!$A$4:$A$1003,0)),"")</f>
        <v/>
      </c>
      <c r="D99" s="33" t="str">
        <f aca="false">IFERROR(INDEX('Lead Management'!$C$4:$C$1003,MATCH($B99,'Lead Management'!$A$4:$A$1003,0)),"")</f>
        <v/>
      </c>
      <c r="E99" s="29"/>
      <c r="F99" s="27"/>
      <c r="G99" s="28"/>
      <c r="H99" s="34" t="str">
        <f aca="false">IF($A99="","",Settings!$B$8)</f>
        <v/>
      </c>
      <c r="I99" s="27"/>
      <c r="J99" s="27"/>
      <c r="K99" s="27"/>
      <c r="L99" s="27"/>
      <c r="M99" s="28"/>
      <c r="N99" s="28"/>
      <c r="O99" s="32"/>
      <c r="P99" s="31" t="str">
        <f aca="false">IF($B99="","",IF(COUNTIF(Customers!$B$4:$B$1003,$B99)&gt;0,"Yes","No"))</f>
        <v/>
      </c>
      <c r="Q99" s="31" t="str">
        <f aca="true">IF($E99="","",IF($E99&gt;TODAY(),"Scheduled",TODAY()-$E99))</f>
        <v/>
      </c>
    </row>
    <row r="100" customFormat="false" ht="15.75" hidden="false" customHeight="true" outlineLevel="0" collapsed="false">
      <c r="A100" s="27"/>
      <c r="B100" s="28"/>
      <c r="C100" s="33" t="str">
        <f aca="false">IFERROR(INDEX('Lead Management'!$B$4:$B$1003,MATCH($B100,'Lead Management'!$A$4:$A$1003,0)),"")</f>
        <v/>
      </c>
      <c r="D100" s="33" t="str">
        <f aca="false">IFERROR(INDEX('Lead Management'!$C$4:$C$1003,MATCH($B100,'Lead Management'!$A$4:$A$1003,0)),"")</f>
        <v/>
      </c>
      <c r="E100" s="29"/>
      <c r="F100" s="27"/>
      <c r="G100" s="28"/>
      <c r="H100" s="34" t="str">
        <f aca="false">IF($A100="","",Settings!$B$8)</f>
        <v/>
      </c>
      <c r="I100" s="27"/>
      <c r="J100" s="27"/>
      <c r="K100" s="27"/>
      <c r="L100" s="27"/>
      <c r="M100" s="28"/>
      <c r="N100" s="28"/>
      <c r="O100" s="32"/>
      <c r="P100" s="31" t="str">
        <f aca="false">IF($B100="","",IF(COUNTIF(Customers!$B$4:$B$1003,$B100)&gt;0,"Yes","No"))</f>
        <v/>
      </c>
      <c r="Q100" s="31" t="str">
        <f aca="true">IF($E100="","",IF($E100&gt;TODAY(),"Scheduled",TODAY()-$E100))</f>
        <v/>
      </c>
    </row>
    <row r="101" customFormat="false" ht="15.75" hidden="false" customHeight="true" outlineLevel="0" collapsed="false">
      <c r="A101" s="27"/>
      <c r="B101" s="28"/>
      <c r="C101" s="33" t="str">
        <f aca="false">IFERROR(INDEX('Lead Management'!$B$4:$B$1003,MATCH($B101,'Lead Management'!$A$4:$A$1003,0)),"")</f>
        <v/>
      </c>
      <c r="D101" s="33" t="str">
        <f aca="false">IFERROR(INDEX('Lead Management'!$C$4:$C$1003,MATCH($B101,'Lead Management'!$A$4:$A$1003,0)),"")</f>
        <v/>
      </c>
      <c r="E101" s="29"/>
      <c r="F101" s="27"/>
      <c r="G101" s="28"/>
      <c r="H101" s="34" t="str">
        <f aca="false">IF($A101="","",Settings!$B$8)</f>
        <v/>
      </c>
      <c r="I101" s="27"/>
      <c r="J101" s="27"/>
      <c r="K101" s="27"/>
      <c r="L101" s="27"/>
      <c r="M101" s="28"/>
      <c r="N101" s="28"/>
      <c r="O101" s="32"/>
      <c r="P101" s="31" t="str">
        <f aca="false">IF($B101="","",IF(COUNTIF(Customers!$B$4:$B$1003,$B101)&gt;0,"Yes","No"))</f>
        <v/>
      </c>
      <c r="Q101" s="31" t="str">
        <f aca="true">IF($E101="","",IF($E101&gt;TODAY(),"Scheduled",TODAY()-$E101))</f>
        <v/>
      </c>
    </row>
    <row r="102" customFormat="false" ht="15.75" hidden="false" customHeight="true" outlineLevel="0" collapsed="false">
      <c r="A102" s="27"/>
      <c r="B102" s="28"/>
      <c r="C102" s="33" t="str">
        <f aca="false">IFERROR(INDEX('Lead Management'!$B$4:$B$1003,MATCH($B102,'Lead Management'!$A$4:$A$1003,0)),"")</f>
        <v/>
      </c>
      <c r="D102" s="33" t="str">
        <f aca="false">IFERROR(INDEX('Lead Management'!$C$4:$C$1003,MATCH($B102,'Lead Management'!$A$4:$A$1003,0)),"")</f>
        <v/>
      </c>
      <c r="E102" s="29"/>
      <c r="F102" s="27"/>
      <c r="G102" s="28"/>
      <c r="H102" s="34" t="str">
        <f aca="false">IF($A102="","",Settings!$B$8)</f>
        <v/>
      </c>
      <c r="I102" s="27"/>
      <c r="J102" s="27"/>
      <c r="K102" s="27"/>
      <c r="L102" s="27"/>
      <c r="M102" s="28"/>
      <c r="N102" s="28"/>
      <c r="O102" s="32"/>
      <c r="P102" s="31" t="str">
        <f aca="false">IF($B102="","",IF(COUNTIF(Customers!$B$4:$B$1003,$B102)&gt;0,"Yes","No"))</f>
        <v/>
      </c>
      <c r="Q102" s="31" t="str">
        <f aca="true">IF($E102="","",IF($E102&gt;TODAY(),"Scheduled",TODAY()-$E102))</f>
        <v/>
      </c>
    </row>
    <row r="103" customFormat="false" ht="15.75" hidden="false" customHeight="true" outlineLevel="0" collapsed="false">
      <c r="A103" s="27"/>
      <c r="B103" s="28"/>
      <c r="C103" s="33" t="str">
        <f aca="false">IFERROR(INDEX('Lead Management'!$B$4:$B$1003,MATCH($B103,'Lead Management'!$A$4:$A$1003,0)),"")</f>
        <v/>
      </c>
      <c r="D103" s="33" t="str">
        <f aca="false">IFERROR(INDEX('Lead Management'!$C$4:$C$1003,MATCH($B103,'Lead Management'!$A$4:$A$1003,0)),"")</f>
        <v/>
      </c>
      <c r="E103" s="29"/>
      <c r="F103" s="27"/>
      <c r="G103" s="28"/>
      <c r="H103" s="34" t="str">
        <f aca="false">IF($A103="","",Settings!$B$8)</f>
        <v/>
      </c>
      <c r="I103" s="27"/>
      <c r="J103" s="27"/>
      <c r="K103" s="27"/>
      <c r="L103" s="27"/>
      <c r="M103" s="28"/>
      <c r="N103" s="28"/>
      <c r="O103" s="32"/>
      <c r="P103" s="31" t="str">
        <f aca="false">IF($B103="","",IF(COUNTIF(Customers!$B$4:$B$1003,$B103)&gt;0,"Yes","No"))</f>
        <v/>
      </c>
      <c r="Q103" s="31" t="str">
        <f aca="true">IF($E103="","",IF($E103&gt;TODAY(),"Scheduled",TODAY()-$E103))</f>
        <v/>
      </c>
    </row>
    <row r="104" customFormat="false" ht="15.75" hidden="false" customHeight="true" outlineLevel="0" collapsed="false">
      <c r="A104" s="27"/>
      <c r="B104" s="28"/>
      <c r="C104" s="33" t="str">
        <f aca="false">IFERROR(INDEX('Lead Management'!$B$4:$B$1003,MATCH($B104,'Lead Management'!$A$4:$A$1003,0)),"")</f>
        <v/>
      </c>
      <c r="D104" s="33" t="str">
        <f aca="false">IFERROR(INDEX('Lead Management'!$C$4:$C$1003,MATCH($B104,'Lead Management'!$A$4:$A$1003,0)),"")</f>
        <v/>
      </c>
      <c r="E104" s="29"/>
      <c r="F104" s="27"/>
      <c r="G104" s="28"/>
      <c r="H104" s="34" t="str">
        <f aca="false">IF($A104="","",Settings!$B$8)</f>
        <v/>
      </c>
      <c r="I104" s="27"/>
      <c r="J104" s="27"/>
      <c r="K104" s="27"/>
      <c r="L104" s="27"/>
      <c r="M104" s="28"/>
      <c r="N104" s="28"/>
      <c r="O104" s="32"/>
      <c r="P104" s="31" t="str">
        <f aca="false">IF($B104="","",IF(COUNTIF(Customers!$B$4:$B$1003,$B104)&gt;0,"Yes","No"))</f>
        <v/>
      </c>
      <c r="Q104" s="31" t="str">
        <f aca="true">IF($E104="","",IF($E104&gt;TODAY(),"Scheduled",TODAY()-$E104))</f>
        <v/>
      </c>
    </row>
    <row r="105" customFormat="false" ht="15.75" hidden="false" customHeight="true" outlineLevel="0" collapsed="false">
      <c r="A105" s="27"/>
      <c r="B105" s="28"/>
      <c r="C105" s="33" t="str">
        <f aca="false">IFERROR(INDEX('Lead Management'!$B$4:$B$1003,MATCH($B105,'Lead Management'!$A$4:$A$1003,0)),"")</f>
        <v/>
      </c>
      <c r="D105" s="33" t="str">
        <f aca="false">IFERROR(INDEX('Lead Management'!$C$4:$C$1003,MATCH($B105,'Lead Management'!$A$4:$A$1003,0)),"")</f>
        <v/>
      </c>
      <c r="E105" s="29"/>
      <c r="F105" s="27"/>
      <c r="G105" s="28"/>
      <c r="H105" s="34" t="str">
        <f aca="false">IF($A105="","",Settings!$B$8)</f>
        <v/>
      </c>
      <c r="I105" s="27"/>
      <c r="J105" s="27"/>
      <c r="K105" s="27"/>
      <c r="L105" s="27"/>
      <c r="M105" s="28"/>
      <c r="N105" s="28"/>
      <c r="O105" s="32"/>
      <c r="P105" s="31" t="str">
        <f aca="false">IF($B105="","",IF(COUNTIF(Customers!$B$4:$B$1003,$B105)&gt;0,"Yes","No"))</f>
        <v/>
      </c>
      <c r="Q105" s="31" t="str">
        <f aca="true">IF($E105="","",IF($E105&gt;TODAY(),"Scheduled",TODAY()-$E105))</f>
        <v/>
      </c>
    </row>
    <row r="106" customFormat="false" ht="15.75" hidden="false" customHeight="true" outlineLevel="0" collapsed="false">
      <c r="A106" s="27"/>
      <c r="B106" s="28"/>
      <c r="C106" s="33" t="str">
        <f aca="false">IFERROR(INDEX('Lead Management'!$B$4:$B$1003,MATCH($B106,'Lead Management'!$A$4:$A$1003,0)),"")</f>
        <v/>
      </c>
      <c r="D106" s="33" t="str">
        <f aca="false">IFERROR(INDEX('Lead Management'!$C$4:$C$1003,MATCH($B106,'Lead Management'!$A$4:$A$1003,0)),"")</f>
        <v/>
      </c>
      <c r="E106" s="29"/>
      <c r="F106" s="27"/>
      <c r="G106" s="28"/>
      <c r="H106" s="34" t="str">
        <f aca="false">IF($A106="","",Settings!$B$8)</f>
        <v/>
      </c>
      <c r="I106" s="27"/>
      <c r="J106" s="27"/>
      <c r="K106" s="27"/>
      <c r="L106" s="27"/>
      <c r="M106" s="28"/>
      <c r="N106" s="28"/>
      <c r="O106" s="32"/>
      <c r="P106" s="31" t="str">
        <f aca="false">IF($B106="","",IF(COUNTIF(Customers!$B$4:$B$1003,$B106)&gt;0,"Yes","No"))</f>
        <v/>
      </c>
      <c r="Q106" s="31" t="str">
        <f aca="true">IF($E106="","",IF($E106&gt;TODAY(),"Scheduled",TODAY()-$E106))</f>
        <v/>
      </c>
    </row>
    <row r="107" customFormat="false" ht="15.75" hidden="false" customHeight="true" outlineLevel="0" collapsed="false">
      <c r="A107" s="27"/>
      <c r="B107" s="28"/>
      <c r="C107" s="33" t="str">
        <f aca="false">IFERROR(INDEX('Lead Management'!$B$4:$B$1003,MATCH($B107,'Lead Management'!$A$4:$A$1003,0)),"")</f>
        <v/>
      </c>
      <c r="D107" s="33" t="str">
        <f aca="false">IFERROR(INDEX('Lead Management'!$C$4:$C$1003,MATCH($B107,'Lead Management'!$A$4:$A$1003,0)),"")</f>
        <v/>
      </c>
      <c r="E107" s="29"/>
      <c r="F107" s="27"/>
      <c r="G107" s="28"/>
      <c r="H107" s="34" t="str">
        <f aca="false">IF($A107="","",Settings!$B$8)</f>
        <v/>
      </c>
      <c r="I107" s="27"/>
      <c r="J107" s="27"/>
      <c r="K107" s="27"/>
      <c r="L107" s="27"/>
      <c r="M107" s="28"/>
      <c r="N107" s="28"/>
      <c r="O107" s="32"/>
      <c r="P107" s="31" t="str">
        <f aca="false">IF($B107="","",IF(COUNTIF(Customers!$B$4:$B$1003,$B107)&gt;0,"Yes","No"))</f>
        <v/>
      </c>
      <c r="Q107" s="31" t="str">
        <f aca="true">IF($E107="","",IF($E107&gt;TODAY(),"Scheduled",TODAY()-$E107))</f>
        <v/>
      </c>
    </row>
    <row r="108" customFormat="false" ht="15.75" hidden="false" customHeight="true" outlineLevel="0" collapsed="false">
      <c r="A108" s="27"/>
      <c r="B108" s="28"/>
      <c r="C108" s="33" t="str">
        <f aca="false">IFERROR(INDEX('Lead Management'!$B$4:$B$1003,MATCH($B108,'Lead Management'!$A$4:$A$1003,0)),"")</f>
        <v/>
      </c>
      <c r="D108" s="33" t="str">
        <f aca="false">IFERROR(INDEX('Lead Management'!$C$4:$C$1003,MATCH($B108,'Lead Management'!$A$4:$A$1003,0)),"")</f>
        <v/>
      </c>
      <c r="E108" s="29"/>
      <c r="F108" s="27"/>
      <c r="G108" s="28"/>
      <c r="H108" s="34" t="str">
        <f aca="false">IF($A108="","",Settings!$B$8)</f>
        <v/>
      </c>
      <c r="I108" s="27"/>
      <c r="J108" s="27"/>
      <c r="K108" s="27"/>
      <c r="L108" s="27"/>
      <c r="M108" s="28"/>
      <c r="N108" s="28"/>
      <c r="O108" s="32"/>
      <c r="P108" s="31" t="str">
        <f aca="false">IF($B108="","",IF(COUNTIF(Customers!$B$4:$B$1003,$B108)&gt;0,"Yes","No"))</f>
        <v/>
      </c>
      <c r="Q108" s="31" t="str">
        <f aca="true">IF($E108="","",IF($E108&gt;TODAY(),"Scheduled",TODAY()-$E108))</f>
        <v/>
      </c>
    </row>
    <row r="109" customFormat="false" ht="15.75" hidden="false" customHeight="true" outlineLevel="0" collapsed="false">
      <c r="A109" s="27"/>
      <c r="B109" s="28"/>
      <c r="C109" s="33" t="str">
        <f aca="false">IFERROR(INDEX('Lead Management'!$B$4:$B$1003,MATCH($B109,'Lead Management'!$A$4:$A$1003,0)),"")</f>
        <v/>
      </c>
      <c r="D109" s="33" t="str">
        <f aca="false">IFERROR(INDEX('Lead Management'!$C$4:$C$1003,MATCH($B109,'Lead Management'!$A$4:$A$1003,0)),"")</f>
        <v/>
      </c>
      <c r="E109" s="29"/>
      <c r="F109" s="27"/>
      <c r="G109" s="28"/>
      <c r="H109" s="34" t="str">
        <f aca="false">IF($A109="","",Settings!$B$8)</f>
        <v/>
      </c>
      <c r="I109" s="27"/>
      <c r="J109" s="27"/>
      <c r="K109" s="27"/>
      <c r="L109" s="27"/>
      <c r="M109" s="28"/>
      <c r="N109" s="28"/>
      <c r="O109" s="32"/>
      <c r="P109" s="31" t="str">
        <f aca="false">IF($B109="","",IF(COUNTIF(Customers!$B$4:$B$1003,$B109)&gt;0,"Yes","No"))</f>
        <v/>
      </c>
      <c r="Q109" s="31" t="str">
        <f aca="true">IF($E109="","",IF($E109&gt;TODAY(),"Scheduled",TODAY()-$E109))</f>
        <v/>
      </c>
    </row>
    <row r="110" customFormat="false" ht="15.75" hidden="false" customHeight="true" outlineLevel="0" collapsed="false">
      <c r="A110" s="27"/>
      <c r="B110" s="28"/>
      <c r="C110" s="33" t="str">
        <f aca="false">IFERROR(INDEX('Lead Management'!$B$4:$B$1003,MATCH($B110,'Lead Management'!$A$4:$A$1003,0)),"")</f>
        <v/>
      </c>
      <c r="D110" s="33" t="str">
        <f aca="false">IFERROR(INDEX('Lead Management'!$C$4:$C$1003,MATCH($B110,'Lead Management'!$A$4:$A$1003,0)),"")</f>
        <v/>
      </c>
      <c r="E110" s="29"/>
      <c r="F110" s="27"/>
      <c r="G110" s="28"/>
      <c r="H110" s="34" t="str">
        <f aca="false">IF($A110="","",Settings!$B$8)</f>
        <v/>
      </c>
      <c r="I110" s="27"/>
      <c r="J110" s="27"/>
      <c r="K110" s="27"/>
      <c r="L110" s="27"/>
      <c r="M110" s="28"/>
      <c r="N110" s="28"/>
      <c r="O110" s="32"/>
      <c r="P110" s="31" t="str">
        <f aca="false">IF($B110="","",IF(COUNTIF(Customers!$B$4:$B$1003,$B110)&gt;0,"Yes","No"))</f>
        <v/>
      </c>
      <c r="Q110" s="31" t="str">
        <f aca="true">IF($E110="","",IF($E110&gt;TODAY(),"Scheduled",TODAY()-$E110))</f>
        <v/>
      </c>
    </row>
    <row r="111" customFormat="false" ht="15.75" hidden="false" customHeight="true" outlineLevel="0" collapsed="false">
      <c r="A111" s="27"/>
      <c r="B111" s="28"/>
      <c r="C111" s="33" t="str">
        <f aca="false">IFERROR(INDEX('Lead Management'!$B$4:$B$1003,MATCH($B111,'Lead Management'!$A$4:$A$1003,0)),"")</f>
        <v/>
      </c>
      <c r="D111" s="33" t="str">
        <f aca="false">IFERROR(INDEX('Lead Management'!$C$4:$C$1003,MATCH($B111,'Lead Management'!$A$4:$A$1003,0)),"")</f>
        <v/>
      </c>
      <c r="E111" s="29"/>
      <c r="F111" s="27"/>
      <c r="G111" s="28"/>
      <c r="H111" s="34" t="str">
        <f aca="false">IF($A111="","",Settings!$B$8)</f>
        <v/>
      </c>
      <c r="I111" s="27"/>
      <c r="J111" s="27"/>
      <c r="K111" s="27"/>
      <c r="L111" s="27"/>
      <c r="M111" s="28"/>
      <c r="N111" s="28"/>
      <c r="O111" s="32"/>
      <c r="P111" s="31" t="str">
        <f aca="false">IF($B111="","",IF(COUNTIF(Customers!$B$4:$B$1003,$B111)&gt;0,"Yes","No"))</f>
        <v/>
      </c>
      <c r="Q111" s="31" t="str">
        <f aca="true">IF($E111="","",IF($E111&gt;TODAY(),"Scheduled",TODAY()-$E111))</f>
        <v/>
      </c>
    </row>
    <row r="112" customFormat="false" ht="15.75" hidden="false" customHeight="true" outlineLevel="0" collapsed="false">
      <c r="A112" s="27"/>
      <c r="B112" s="28"/>
      <c r="C112" s="33" t="str">
        <f aca="false">IFERROR(INDEX('Lead Management'!$B$4:$B$1003,MATCH($B112,'Lead Management'!$A$4:$A$1003,0)),"")</f>
        <v/>
      </c>
      <c r="D112" s="33" t="str">
        <f aca="false">IFERROR(INDEX('Lead Management'!$C$4:$C$1003,MATCH($B112,'Lead Management'!$A$4:$A$1003,0)),"")</f>
        <v/>
      </c>
      <c r="E112" s="29"/>
      <c r="F112" s="27"/>
      <c r="G112" s="28"/>
      <c r="H112" s="34" t="str">
        <f aca="false">IF($A112="","",Settings!$B$8)</f>
        <v/>
      </c>
      <c r="I112" s="27"/>
      <c r="J112" s="27"/>
      <c r="K112" s="27"/>
      <c r="L112" s="27"/>
      <c r="M112" s="28"/>
      <c r="N112" s="28"/>
      <c r="O112" s="32"/>
      <c r="P112" s="31" t="str">
        <f aca="false">IF($B112="","",IF(COUNTIF(Customers!$B$4:$B$1003,$B112)&gt;0,"Yes","No"))</f>
        <v/>
      </c>
      <c r="Q112" s="31" t="str">
        <f aca="true">IF($E112="","",IF($E112&gt;TODAY(),"Scheduled",TODAY()-$E112))</f>
        <v/>
      </c>
    </row>
    <row r="113" customFormat="false" ht="15.75" hidden="false" customHeight="true" outlineLevel="0" collapsed="false">
      <c r="A113" s="27"/>
      <c r="B113" s="28"/>
      <c r="C113" s="33" t="str">
        <f aca="false">IFERROR(INDEX('Lead Management'!$B$4:$B$1003,MATCH($B113,'Lead Management'!$A$4:$A$1003,0)),"")</f>
        <v/>
      </c>
      <c r="D113" s="33" t="str">
        <f aca="false">IFERROR(INDEX('Lead Management'!$C$4:$C$1003,MATCH($B113,'Lead Management'!$A$4:$A$1003,0)),"")</f>
        <v/>
      </c>
      <c r="E113" s="29"/>
      <c r="F113" s="27"/>
      <c r="G113" s="28"/>
      <c r="H113" s="34" t="str">
        <f aca="false">IF($A113="","",Settings!$B$8)</f>
        <v/>
      </c>
      <c r="I113" s="27"/>
      <c r="J113" s="27"/>
      <c r="K113" s="27"/>
      <c r="L113" s="27"/>
      <c r="M113" s="28"/>
      <c r="N113" s="28"/>
      <c r="O113" s="32"/>
      <c r="P113" s="31" t="str">
        <f aca="false">IF($B113="","",IF(COUNTIF(Customers!$B$4:$B$1003,$B113)&gt;0,"Yes","No"))</f>
        <v/>
      </c>
      <c r="Q113" s="31" t="str">
        <f aca="true">IF($E113="","",IF($E113&gt;TODAY(),"Scheduled",TODAY()-$E113))</f>
        <v/>
      </c>
    </row>
    <row r="114" customFormat="false" ht="15.75" hidden="false" customHeight="true" outlineLevel="0" collapsed="false">
      <c r="A114" s="27"/>
      <c r="B114" s="28"/>
      <c r="C114" s="33" t="str">
        <f aca="false">IFERROR(INDEX('Lead Management'!$B$4:$B$1003,MATCH($B114,'Lead Management'!$A$4:$A$1003,0)),"")</f>
        <v/>
      </c>
      <c r="D114" s="33" t="str">
        <f aca="false">IFERROR(INDEX('Lead Management'!$C$4:$C$1003,MATCH($B114,'Lead Management'!$A$4:$A$1003,0)),"")</f>
        <v/>
      </c>
      <c r="E114" s="29"/>
      <c r="F114" s="27"/>
      <c r="G114" s="28"/>
      <c r="H114" s="34" t="str">
        <f aca="false">IF($A114="","",Settings!$B$8)</f>
        <v/>
      </c>
      <c r="I114" s="27"/>
      <c r="J114" s="27"/>
      <c r="K114" s="27"/>
      <c r="L114" s="27"/>
      <c r="M114" s="28"/>
      <c r="N114" s="28"/>
      <c r="O114" s="32"/>
      <c r="P114" s="31" t="str">
        <f aca="false">IF($B114="","",IF(COUNTIF(Customers!$B$4:$B$1003,$B114)&gt;0,"Yes","No"))</f>
        <v/>
      </c>
      <c r="Q114" s="31" t="str">
        <f aca="true">IF($E114="","",IF($E114&gt;TODAY(),"Scheduled",TODAY()-$E114))</f>
        <v/>
      </c>
    </row>
    <row r="115" customFormat="false" ht="15.75" hidden="false" customHeight="true" outlineLevel="0" collapsed="false">
      <c r="A115" s="27"/>
      <c r="B115" s="28"/>
      <c r="C115" s="33" t="str">
        <f aca="false">IFERROR(INDEX('Lead Management'!$B$4:$B$1003,MATCH($B115,'Lead Management'!$A$4:$A$1003,0)),"")</f>
        <v/>
      </c>
      <c r="D115" s="33" t="str">
        <f aca="false">IFERROR(INDEX('Lead Management'!$C$4:$C$1003,MATCH($B115,'Lead Management'!$A$4:$A$1003,0)),"")</f>
        <v/>
      </c>
      <c r="E115" s="29"/>
      <c r="F115" s="27"/>
      <c r="G115" s="28"/>
      <c r="H115" s="34" t="str">
        <f aca="false">IF($A115="","",Settings!$B$8)</f>
        <v/>
      </c>
      <c r="I115" s="27"/>
      <c r="J115" s="27"/>
      <c r="K115" s="27"/>
      <c r="L115" s="27"/>
      <c r="M115" s="28"/>
      <c r="N115" s="28"/>
      <c r="O115" s="32"/>
      <c r="P115" s="31" t="str">
        <f aca="false">IF($B115="","",IF(COUNTIF(Customers!$B$4:$B$1003,$B115)&gt;0,"Yes","No"))</f>
        <v/>
      </c>
      <c r="Q115" s="31" t="str">
        <f aca="true">IF($E115="","",IF($E115&gt;TODAY(),"Scheduled",TODAY()-$E115))</f>
        <v/>
      </c>
    </row>
    <row r="116" customFormat="false" ht="15.75" hidden="false" customHeight="true" outlineLevel="0" collapsed="false">
      <c r="A116" s="27"/>
      <c r="B116" s="28"/>
      <c r="C116" s="33" t="str">
        <f aca="false">IFERROR(INDEX('Lead Management'!$B$4:$B$1003,MATCH($B116,'Lead Management'!$A$4:$A$1003,0)),"")</f>
        <v/>
      </c>
      <c r="D116" s="33" t="str">
        <f aca="false">IFERROR(INDEX('Lead Management'!$C$4:$C$1003,MATCH($B116,'Lead Management'!$A$4:$A$1003,0)),"")</f>
        <v/>
      </c>
      <c r="E116" s="29"/>
      <c r="F116" s="27"/>
      <c r="G116" s="28"/>
      <c r="H116" s="34" t="str">
        <f aca="false">IF($A116="","",Settings!$B$8)</f>
        <v/>
      </c>
      <c r="I116" s="27"/>
      <c r="J116" s="27"/>
      <c r="K116" s="27"/>
      <c r="L116" s="27"/>
      <c r="M116" s="28"/>
      <c r="N116" s="28"/>
      <c r="O116" s="32"/>
      <c r="P116" s="31" t="str">
        <f aca="false">IF($B116="","",IF(COUNTIF(Customers!$B$4:$B$1003,$B116)&gt;0,"Yes","No"))</f>
        <v/>
      </c>
      <c r="Q116" s="31" t="str">
        <f aca="true">IF($E116="","",IF($E116&gt;TODAY(),"Scheduled",TODAY()-$E116))</f>
        <v/>
      </c>
    </row>
    <row r="117" customFormat="false" ht="15.75" hidden="false" customHeight="true" outlineLevel="0" collapsed="false">
      <c r="A117" s="27"/>
      <c r="B117" s="28"/>
      <c r="C117" s="33" t="str">
        <f aca="false">IFERROR(INDEX('Lead Management'!$B$4:$B$1003,MATCH($B117,'Lead Management'!$A$4:$A$1003,0)),"")</f>
        <v/>
      </c>
      <c r="D117" s="33" t="str">
        <f aca="false">IFERROR(INDEX('Lead Management'!$C$4:$C$1003,MATCH($B117,'Lead Management'!$A$4:$A$1003,0)),"")</f>
        <v/>
      </c>
      <c r="E117" s="29"/>
      <c r="F117" s="27"/>
      <c r="G117" s="28"/>
      <c r="H117" s="34" t="str">
        <f aca="false">IF($A117="","",Settings!$B$8)</f>
        <v/>
      </c>
      <c r="I117" s="27"/>
      <c r="J117" s="27"/>
      <c r="K117" s="27"/>
      <c r="L117" s="27"/>
      <c r="M117" s="28"/>
      <c r="N117" s="28"/>
      <c r="O117" s="32"/>
      <c r="P117" s="31" t="str">
        <f aca="false">IF($B117="","",IF(COUNTIF(Customers!$B$4:$B$1003,$B117)&gt;0,"Yes","No"))</f>
        <v/>
      </c>
      <c r="Q117" s="31" t="str">
        <f aca="true">IF($E117="","",IF($E117&gt;TODAY(),"Scheduled",TODAY()-$E117))</f>
        <v/>
      </c>
    </row>
    <row r="118" customFormat="false" ht="15.75" hidden="false" customHeight="true" outlineLevel="0" collapsed="false">
      <c r="A118" s="27"/>
      <c r="B118" s="28"/>
      <c r="C118" s="33" t="str">
        <f aca="false">IFERROR(INDEX('Lead Management'!$B$4:$B$1003,MATCH($B118,'Lead Management'!$A$4:$A$1003,0)),"")</f>
        <v/>
      </c>
      <c r="D118" s="33" t="str">
        <f aca="false">IFERROR(INDEX('Lead Management'!$C$4:$C$1003,MATCH($B118,'Lead Management'!$A$4:$A$1003,0)),"")</f>
        <v/>
      </c>
      <c r="E118" s="29"/>
      <c r="F118" s="27"/>
      <c r="G118" s="28"/>
      <c r="H118" s="34" t="str">
        <f aca="false">IF($A118="","",Settings!$B$8)</f>
        <v/>
      </c>
      <c r="I118" s="27"/>
      <c r="J118" s="27"/>
      <c r="K118" s="27"/>
      <c r="L118" s="27"/>
      <c r="M118" s="28"/>
      <c r="N118" s="28"/>
      <c r="O118" s="32"/>
      <c r="P118" s="31" t="str">
        <f aca="false">IF($B118="","",IF(COUNTIF(Customers!$B$4:$B$1003,$B118)&gt;0,"Yes","No"))</f>
        <v/>
      </c>
      <c r="Q118" s="31" t="str">
        <f aca="true">IF($E118="","",IF($E118&gt;TODAY(),"Scheduled",TODAY()-$E118))</f>
        <v/>
      </c>
    </row>
    <row r="119" customFormat="false" ht="15.75" hidden="false" customHeight="true" outlineLevel="0" collapsed="false">
      <c r="A119" s="27"/>
      <c r="B119" s="28"/>
      <c r="C119" s="33" t="str">
        <f aca="false">IFERROR(INDEX('Lead Management'!$B$4:$B$1003,MATCH($B119,'Lead Management'!$A$4:$A$1003,0)),"")</f>
        <v/>
      </c>
      <c r="D119" s="33" t="str">
        <f aca="false">IFERROR(INDEX('Lead Management'!$C$4:$C$1003,MATCH($B119,'Lead Management'!$A$4:$A$1003,0)),"")</f>
        <v/>
      </c>
      <c r="E119" s="29"/>
      <c r="F119" s="27"/>
      <c r="G119" s="28"/>
      <c r="H119" s="34" t="str">
        <f aca="false">IF($A119="","",Settings!$B$8)</f>
        <v/>
      </c>
      <c r="I119" s="27"/>
      <c r="J119" s="27"/>
      <c r="K119" s="27"/>
      <c r="L119" s="27"/>
      <c r="M119" s="28"/>
      <c r="N119" s="28"/>
      <c r="O119" s="32"/>
      <c r="P119" s="31" t="str">
        <f aca="false">IF($B119="","",IF(COUNTIF(Customers!$B$4:$B$1003,$B119)&gt;0,"Yes","No"))</f>
        <v/>
      </c>
      <c r="Q119" s="31" t="str">
        <f aca="true">IF($E119="","",IF($E119&gt;TODAY(),"Scheduled",TODAY()-$E119))</f>
        <v/>
      </c>
    </row>
    <row r="120" customFormat="false" ht="15.75" hidden="false" customHeight="true" outlineLevel="0" collapsed="false">
      <c r="A120" s="27"/>
      <c r="B120" s="28"/>
      <c r="C120" s="33" t="str">
        <f aca="false">IFERROR(INDEX('Lead Management'!$B$4:$B$1003,MATCH($B120,'Lead Management'!$A$4:$A$1003,0)),"")</f>
        <v/>
      </c>
      <c r="D120" s="33" t="str">
        <f aca="false">IFERROR(INDEX('Lead Management'!$C$4:$C$1003,MATCH($B120,'Lead Management'!$A$4:$A$1003,0)),"")</f>
        <v/>
      </c>
      <c r="E120" s="29"/>
      <c r="F120" s="27"/>
      <c r="G120" s="28"/>
      <c r="H120" s="34" t="str">
        <f aca="false">IF($A120="","",Settings!$B$8)</f>
        <v/>
      </c>
      <c r="I120" s="27"/>
      <c r="J120" s="27"/>
      <c r="K120" s="27"/>
      <c r="L120" s="27"/>
      <c r="M120" s="28"/>
      <c r="N120" s="28"/>
      <c r="O120" s="32"/>
      <c r="P120" s="31" t="str">
        <f aca="false">IF($B120="","",IF(COUNTIF(Customers!$B$4:$B$1003,$B120)&gt;0,"Yes","No"))</f>
        <v/>
      </c>
      <c r="Q120" s="31" t="str">
        <f aca="true">IF($E120="","",IF($E120&gt;TODAY(),"Scheduled",TODAY()-$E120))</f>
        <v/>
      </c>
    </row>
    <row r="121" customFormat="false" ht="15.75" hidden="false" customHeight="true" outlineLevel="0" collapsed="false">
      <c r="A121" s="27"/>
      <c r="B121" s="28"/>
      <c r="C121" s="33" t="str">
        <f aca="false">IFERROR(INDEX('Lead Management'!$B$4:$B$1003,MATCH($B121,'Lead Management'!$A$4:$A$1003,0)),"")</f>
        <v/>
      </c>
      <c r="D121" s="33" t="str">
        <f aca="false">IFERROR(INDEX('Lead Management'!$C$4:$C$1003,MATCH($B121,'Lead Management'!$A$4:$A$1003,0)),"")</f>
        <v/>
      </c>
      <c r="E121" s="29"/>
      <c r="F121" s="27"/>
      <c r="G121" s="28"/>
      <c r="H121" s="34" t="str">
        <f aca="false">IF($A121="","",Settings!$B$8)</f>
        <v/>
      </c>
      <c r="I121" s="27"/>
      <c r="J121" s="27"/>
      <c r="K121" s="27"/>
      <c r="L121" s="27"/>
      <c r="M121" s="28"/>
      <c r="N121" s="28"/>
      <c r="O121" s="32"/>
      <c r="P121" s="31" t="str">
        <f aca="false">IF($B121="","",IF(COUNTIF(Customers!$B$4:$B$1003,$B121)&gt;0,"Yes","No"))</f>
        <v/>
      </c>
      <c r="Q121" s="31" t="str">
        <f aca="true">IF($E121="","",IF($E121&gt;TODAY(),"Scheduled",TODAY()-$E121))</f>
        <v/>
      </c>
    </row>
    <row r="122" customFormat="false" ht="15.75" hidden="false" customHeight="true" outlineLevel="0" collapsed="false">
      <c r="A122" s="27"/>
      <c r="B122" s="28"/>
      <c r="C122" s="33" t="str">
        <f aca="false">IFERROR(INDEX('Lead Management'!$B$4:$B$1003,MATCH($B122,'Lead Management'!$A$4:$A$1003,0)),"")</f>
        <v/>
      </c>
      <c r="D122" s="33" t="str">
        <f aca="false">IFERROR(INDEX('Lead Management'!$C$4:$C$1003,MATCH($B122,'Lead Management'!$A$4:$A$1003,0)),"")</f>
        <v/>
      </c>
      <c r="E122" s="29"/>
      <c r="F122" s="27"/>
      <c r="G122" s="28"/>
      <c r="H122" s="34" t="str">
        <f aca="false">IF($A122="","",Settings!$B$8)</f>
        <v/>
      </c>
      <c r="I122" s="27"/>
      <c r="J122" s="27"/>
      <c r="K122" s="27"/>
      <c r="L122" s="27"/>
      <c r="M122" s="28"/>
      <c r="N122" s="28"/>
      <c r="O122" s="32"/>
      <c r="P122" s="31" t="str">
        <f aca="false">IF($B122="","",IF(COUNTIF(Customers!$B$4:$B$1003,$B122)&gt;0,"Yes","No"))</f>
        <v/>
      </c>
      <c r="Q122" s="31" t="str">
        <f aca="true">IF($E122="","",IF($E122&gt;TODAY(),"Scheduled",TODAY()-$E122))</f>
        <v/>
      </c>
    </row>
    <row r="123" customFormat="false" ht="15.75" hidden="false" customHeight="true" outlineLevel="0" collapsed="false">
      <c r="A123" s="27"/>
      <c r="B123" s="28"/>
      <c r="C123" s="33" t="str">
        <f aca="false">IFERROR(INDEX('Lead Management'!$B$4:$B$1003,MATCH($B123,'Lead Management'!$A$4:$A$1003,0)),"")</f>
        <v/>
      </c>
      <c r="D123" s="33" t="str">
        <f aca="false">IFERROR(INDEX('Lead Management'!$C$4:$C$1003,MATCH($B123,'Lead Management'!$A$4:$A$1003,0)),"")</f>
        <v/>
      </c>
      <c r="E123" s="29"/>
      <c r="F123" s="27"/>
      <c r="G123" s="28"/>
      <c r="H123" s="34" t="str">
        <f aca="false">IF($A123="","",Settings!$B$8)</f>
        <v/>
      </c>
      <c r="I123" s="27"/>
      <c r="J123" s="27"/>
      <c r="K123" s="27"/>
      <c r="L123" s="27"/>
      <c r="M123" s="28"/>
      <c r="N123" s="28"/>
      <c r="O123" s="32"/>
      <c r="P123" s="31" t="str">
        <f aca="false">IF($B123="","",IF(COUNTIF(Customers!$B$4:$B$1003,$B123)&gt;0,"Yes","No"))</f>
        <v/>
      </c>
      <c r="Q123" s="31" t="str">
        <f aca="true">IF($E123="","",IF($E123&gt;TODAY(),"Scheduled",TODAY()-$E123))</f>
        <v/>
      </c>
    </row>
    <row r="124" customFormat="false" ht="15.75" hidden="false" customHeight="true" outlineLevel="0" collapsed="false">
      <c r="A124" s="27"/>
      <c r="B124" s="28"/>
      <c r="C124" s="33" t="str">
        <f aca="false">IFERROR(INDEX('Lead Management'!$B$4:$B$1003,MATCH($B124,'Lead Management'!$A$4:$A$1003,0)),"")</f>
        <v/>
      </c>
      <c r="D124" s="33" t="str">
        <f aca="false">IFERROR(INDEX('Lead Management'!$C$4:$C$1003,MATCH($B124,'Lead Management'!$A$4:$A$1003,0)),"")</f>
        <v/>
      </c>
      <c r="E124" s="29"/>
      <c r="F124" s="27"/>
      <c r="G124" s="28"/>
      <c r="H124" s="34" t="str">
        <f aca="false">IF($A124="","",Settings!$B$8)</f>
        <v/>
      </c>
      <c r="I124" s="27"/>
      <c r="J124" s="27"/>
      <c r="K124" s="27"/>
      <c r="L124" s="27"/>
      <c r="M124" s="28"/>
      <c r="N124" s="28"/>
      <c r="O124" s="32"/>
      <c r="P124" s="31" t="str">
        <f aca="false">IF($B124="","",IF(COUNTIF(Customers!$B$4:$B$1003,$B124)&gt;0,"Yes","No"))</f>
        <v/>
      </c>
      <c r="Q124" s="31" t="str">
        <f aca="true">IF($E124="","",IF($E124&gt;TODAY(),"Scheduled",TODAY()-$E124))</f>
        <v/>
      </c>
    </row>
    <row r="125" customFormat="false" ht="15.75" hidden="false" customHeight="true" outlineLevel="0" collapsed="false">
      <c r="A125" s="27"/>
      <c r="B125" s="28"/>
      <c r="C125" s="33" t="str">
        <f aca="false">IFERROR(INDEX('Lead Management'!$B$4:$B$1003,MATCH($B125,'Lead Management'!$A$4:$A$1003,0)),"")</f>
        <v/>
      </c>
      <c r="D125" s="33" t="str">
        <f aca="false">IFERROR(INDEX('Lead Management'!$C$4:$C$1003,MATCH($B125,'Lead Management'!$A$4:$A$1003,0)),"")</f>
        <v/>
      </c>
      <c r="E125" s="29"/>
      <c r="F125" s="27"/>
      <c r="G125" s="28"/>
      <c r="H125" s="34" t="str">
        <f aca="false">IF($A125="","",Settings!$B$8)</f>
        <v/>
      </c>
      <c r="I125" s="27"/>
      <c r="J125" s="27"/>
      <c r="K125" s="27"/>
      <c r="L125" s="27"/>
      <c r="M125" s="28"/>
      <c r="N125" s="28"/>
      <c r="O125" s="32"/>
      <c r="P125" s="31" t="str">
        <f aca="false">IF($B125="","",IF(COUNTIF(Customers!$B$4:$B$1003,$B125)&gt;0,"Yes","No"))</f>
        <v/>
      </c>
      <c r="Q125" s="31" t="str">
        <f aca="true">IF($E125="","",IF($E125&gt;TODAY(),"Scheduled",TODAY()-$E125))</f>
        <v/>
      </c>
    </row>
    <row r="126" customFormat="false" ht="15.75" hidden="false" customHeight="true" outlineLevel="0" collapsed="false">
      <c r="A126" s="27"/>
      <c r="B126" s="28"/>
      <c r="C126" s="33" t="str">
        <f aca="false">IFERROR(INDEX('Lead Management'!$B$4:$B$1003,MATCH($B126,'Lead Management'!$A$4:$A$1003,0)),"")</f>
        <v/>
      </c>
      <c r="D126" s="33" t="str">
        <f aca="false">IFERROR(INDEX('Lead Management'!$C$4:$C$1003,MATCH($B126,'Lead Management'!$A$4:$A$1003,0)),"")</f>
        <v/>
      </c>
      <c r="E126" s="29"/>
      <c r="F126" s="27"/>
      <c r="G126" s="28"/>
      <c r="H126" s="34" t="str">
        <f aca="false">IF($A126="","",Settings!$B$8)</f>
        <v/>
      </c>
      <c r="I126" s="27"/>
      <c r="J126" s="27"/>
      <c r="K126" s="27"/>
      <c r="L126" s="27"/>
      <c r="M126" s="28"/>
      <c r="N126" s="28"/>
      <c r="O126" s="32"/>
      <c r="P126" s="31" t="str">
        <f aca="false">IF($B126="","",IF(COUNTIF(Customers!$B$4:$B$1003,$B126)&gt;0,"Yes","No"))</f>
        <v/>
      </c>
      <c r="Q126" s="31" t="str">
        <f aca="true">IF($E126="","",IF($E126&gt;TODAY(),"Scheduled",TODAY()-$E126))</f>
        <v/>
      </c>
    </row>
    <row r="127" customFormat="false" ht="15.75" hidden="false" customHeight="true" outlineLevel="0" collapsed="false">
      <c r="A127" s="27"/>
      <c r="B127" s="28"/>
      <c r="C127" s="33" t="str">
        <f aca="false">IFERROR(INDEX('Lead Management'!$B$4:$B$1003,MATCH($B127,'Lead Management'!$A$4:$A$1003,0)),"")</f>
        <v/>
      </c>
      <c r="D127" s="33" t="str">
        <f aca="false">IFERROR(INDEX('Lead Management'!$C$4:$C$1003,MATCH($B127,'Lead Management'!$A$4:$A$1003,0)),"")</f>
        <v/>
      </c>
      <c r="E127" s="29"/>
      <c r="F127" s="27"/>
      <c r="G127" s="28"/>
      <c r="H127" s="34" t="str">
        <f aca="false">IF($A127="","",Settings!$B$8)</f>
        <v/>
      </c>
      <c r="I127" s="27"/>
      <c r="J127" s="27"/>
      <c r="K127" s="27"/>
      <c r="L127" s="27"/>
      <c r="M127" s="28"/>
      <c r="N127" s="28"/>
      <c r="O127" s="32"/>
      <c r="P127" s="31" t="str">
        <f aca="false">IF($B127="","",IF(COUNTIF(Customers!$B$4:$B$1003,$B127)&gt;0,"Yes","No"))</f>
        <v/>
      </c>
      <c r="Q127" s="31" t="str">
        <f aca="true">IF($E127="","",IF($E127&gt;TODAY(),"Scheduled",TODAY()-$E127))</f>
        <v/>
      </c>
    </row>
    <row r="128" customFormat="false" ht="15.75" hidden="false" customHeight="true" outlineLevel="0" collapsed="false">
      <c r="A128" s="27"/>
      <c r="B128" s="28"/>
      <c r="C128" s="33" t="str">
        <f aca="false">IFERROR(INDEX('Lead Management'!$B$4:$B$1003,MATCH($B128,'Lead Management'!$A$4:$A$1003,0)),"")</f>
        <v/>
      </c>
      <c r="D128" s="33" t="str">
        <f aca="false">IFERROR(INDEX('Lead Management'!$C$4:$C$1003,MATCH($B128,'Lead Management'!$A$4:$A$1003,0)),"")</f>
        <v/>
      </c>
      <c r="E128" s="29"/>
      <c r="F128" s="27"/>
      <c r="G128" s="28"/>
      <c r="H128" s="34" t="str">
        <f aca="false">IF($A128="","",Settings!$B$8)</f>
        <v/>
      </c>
      <c r="I128" s="27"/>
      <c r="J128" s="27"/>
      <c r="K128" s="27"/>
      <c r="L128" s="27"/>
      <c r="M128" s="28"/>
      <c r="N128" s="28"/>
      <c r="O128" s="32"/>
      <c r="P128" s="31" t="str">
        <f aca="false">IF($B128="","",IF(COUNTIF(Customers!$B$4:$B$1003,$B128)&gt;0,"Yes","No"))</f>
        <v/>
      </c>
      <c r="Q128" s="31" t="str">
        <f aca="true">IF($E128="","",IF($E128&gt;TODAY(),"Scheduled",TODAY()-$E128))</f>
        <v/>
      </c>
    </row>
    <row r="129" customFormat="false" ht="15.75" hidden="false" customHeight="true" outlineLevel="0" collapsed="false">
      <c r="A129" s="27"/>
      <c r="B129" s="28"/>
      <c r="C129" s="33" t="str">
        <f aca="false">IFERROR(INDEX('Lead Management'!$B$4:$B$1003,MATCH($B129,'Lead Management'!$A$4:$A$1003,0)),"")</f>
        <v/>
      </c>
      <c r="D129" s="33" t="str">
        <f aca="false">IFERROR(INDEX('Lead Management'!$C$4:$C$1003,MATCH($B129,'Lead Management'!$A$4:$A$1003,0)),"")</f>
        <v/>
      </c>
      <c r="E129" s="29"/>
      <c r="F129" s="27"/>
      <c r="G129" s="28"/>
      <c r="H129" s="34" t="str">
        <f aca="false">IF($A129="","",Settings!$B$8)</f>
        <v/>
      </c>
      <c r="I129" s="27"/>
      <c r="J129" s="27"/>
      <c r="K129" s="27"/>
      <c r="L129" s="27"/>
      <c r="M129" s="28"/>
      <c r="N129" s="28"/>
      <c r="O129" s="32"/>
      <c r="P129" s="31" t="str">
        <f aca="false">IF($B129="","",IF(COUNTIF(Customers!$B$4:$B$1003,$B129)&gt;0,"Yes","No"))</f>
        <v/>
      </c>
      <c r="Q129" s="31" t="str">
        <f aca="true">IF($E129="","",IF($E129&gt;TODAY(),"Scheduled",TODAY()-$E129))</f>
        <v/>
      </c>
    </row>
    <row r="130" customFormat="false" ht="15.75" hidden="false" customHeight="true" outlineLevel="0" collapsed="false">
      <c r="A130" s="27"/>
      <c r="B130" s="28"/>
      <c r="C130" s="33" t="str">
        <f aca="false">IFERROR(INDEX('Lead Management'!$B$4:$B$1003,MATCH($B130,'Lead Management'!$A$4:$A$1003,0)),"")</f>
        <v/>
      </c>
      <c r="D130" s="33" t="str">
        <f aca="false">IFERROR(INDEX('Lead Management'!$C$4:$C$1003,MATCH($B130,'Lead Management'!$A$4:$A$1003,0)),"")</f>
        <v/>
      </c>
      <c r="E130" s="29"/>
      <c r="F130" s="27"/>
      <c r="G130" s="28"/>
      <c r="H130" s="34" t="str">
        <f aca="false">IF($A130="","",Settings!$B$8)</f>
        <v/>
      </c>
      <c r="I130" s="27"/>
      <c r="J130" s="27"/>
      <c r="K130" s="27"/>
      <c r="L130" s="27"/>
      <c r="M130" s="28"/>
      <c r="N130" s="28"/>
      <c r="O130" s="32"/>
      <c r="P130" s="31" t="str">
        <f aca="false">IF($B130="","",IF(COUNTIF(Customers!$B$4:$B$1003,$B130)&gt;0,"Yes","No"))</f>
        <v/>
      </c>
      <c r="Q130" s="31" t="str">
        <f aca="true">IF($E130="","",IF($E130&gt;TODAY(),"Scheduled",TODAY()-$E130))</f>
        <v/>
      </c>
    </row>
    <row r="131" customFormat="false" ht="15.75" hidden="false" customHeight="true" outlineLevel="0" collapsed="false">
      <c r="A131" s="27"/>
      <c r="B131" s="28"/>
      <c r="C131" s="33" t="str">
        <f aca="false">IFERROR(INDEX('Lead Management'!$B$4:$B$1003,MATCH($B131,'Lead Management'!$A$4:$A$1003,0)),"")</f>
        <v/>
      </c>
      <c r="D131" s="33" t="str">
        <f aca="false">IFERROR(INDEX('Lead Management'!$C$4:$C$1003,MATCH($B131,'Lead Management'!$A$4:$A$1003,0)),"")</f>
        <v/>
      </c>
      <c r="E131" s="29"/>
      <c r="F131" s="27"/>
      <c r="G131" s="28"/>
      <c r="H131" s="34" t="str">
        <f aca="false">IF($A131="","",Settings!$B$8)</f>
        <v/>
      </c>
      <c r="I131" s="27"/>
      <c r="J131" s="27"/>
      <c r="K131" s="27"/>
      <c r="L131" s="27"/>
      <c r="M131" s="28"/>
      <c r="N131" s="28"/>
      <c r="O131" s="32"/>
      <c r="P131" s="31" t="str">
        <f aca="false">IF($B131="","",IF(COUNTIF(Customers!$B$4:$B$1003,$B131)&gt;0,"Yes","No"))</f>
        <v/>
      </c>
      <c r="Q131" s="31" t="str">
        <f aca="true">IF($E131="","",IF($E131&gt;TODAY(),"Scheduled",TODAY()-$E131))</f>
        <v/>
      </c>
    </row>
    <row r="132" customFormat="false" ht="15.75" hidden="false" customHeight="true" outlineLevel="0" collapsed="false">
      <c r="A132" s="27"/>
      <c r="B132" s="28"/>
      <c r="C132" s="33" t="str">
        <f aca="false">IFERROR(INDEX('Lead Management'!$B$4:$B$1003,MATCH($B132,'Lead Management'!$A$4:$A$1003,0)),"")</f>
        <v/>
      </c>
      <c r="D132" s="33" t="str">
        <f aca="false">IFERROR(INDEX('Lead Management'!$C$4:$C$1003,MATCH($B132,'Lead Management'!$A$4:$A$1003,0)),"")</f>
        <v/>
      </c>
      <c r="E132" s="29"/>
      <c r="F132" s="27"/>
      <c r="G132" s="28"/>
      <c r="H132" s="34" t="str">
        <f aca="false">IF($A132="","",Settings!$B$8)</f>
        <v/>
      </c>
      <c r="I132" s="27"/>
      <c r="J132" s="27"/>
      <c r="K132" s="27"/>
      <c r="L132" s="27"/>
      <c r="M132" s="28"/>
      <c r="N132" s="28"/>
      <c r="O132" s="32"/>
      <c r="P132" s="31" t="str">
        <f aca="false">IF($B132="","",IF(COUNTIF(Customers!$B$4:$B$1003,$B132)&gt;0,"Yes","No"))</f>
        <v/>
      </c>
      <c r="Q132" s="31" t="str">
        <f aca="true">IF($E132="","",IF($E132&gt;TODAY(),"Scheduled",TODAY()-$E132))</f>
        <v/>
      </c>
    </row>
    <row r="133" customFormat="false" ht="15.75" hidden="false" customHeight="true" outlineLevel="0" collapsed="false">
      <c r="A133" s="27"/>
      <c r="B133" s="28"/>
      <c r="C133" s="33" t="str">
        <f aca="false">IFERROR(INDEX('Lead Management'!$B$4:$B$1003,MATCH($B133,'Lead Management'!$A$4:$A$1003,0)),"")</f>
        <v/>
      </c>
      <c r="D133" s="33" t="str">
        <f aca="false">IFERROR(INDEX('Lead Management'!$C$4:$C$1003,MATCH($B133,'Lead Management'!$A$4:$A$1003,0)),"")</f>
        <v/>
      </c>
      <c r="E133" s="29"/>
      <c r="F133" s="27"/>
      <c r="G133" s="28"/>
      <c r="H133" s="34" t="str">
        <f aca="false">IF($A133="","",Settings!$B$8)</f>
        <v/>
      </c>
      <c r="I133" s="27"/>
      <c r="J133" s="27"/>
      <c r="K133" s="27"/>
      <c r="L133" s="27"/>
      <c r="M133" s="28"/>
      <c r="N133" s="28"/>
      <c r="O133" s="32"/>
      <c r="P133" s="31" t="str">
        <f aca="false">IF($B133="","",IF(COUNTIF(Customers!$B$4:$B$1003,$B133)&gt;0,"Yes","No"))</f>
        <v/>
      </c>
      <c r="Q133" s="31" t="str">
        <f aca="true">IF($E133="","",IF($E133&gt;TODAY(),"Scheduled",TODAY()-$E133))</f>
        <v/>
      </c>
    </row>
    <row r="134" customFormat="false" ht="15.75" hidden="false" customHeight="true" outlineLevel="0" collapsed="false">
      <c r="A134" s="27"/>
      <c r="B134" s="28"/>
      <c r="C134" s="33" t="str">
        <f aca="false">IFERROR(INDEX('Lead Management'!$B$4:$B$1003,MATCH($B134,'Lead Management'!$A$4:$A$1003,0)),"")</f>
        <v/>
      </c>
      <c r="D134" s="33" t="str">
        <f aca="false">IFERROR(INDEX('Lead Management'!$C$4:$C$1003,MATCH($B134,'Lead Management'!$A$4:$A$1003,0)),"")</f>
        <v/>
      </c>
      <c r="E134" s="29"/>
      <c r="F134" s="27"/>
      <c r="G134" s="28"/>
      <c r="H134" s="34" t="str">
        <f aca="false">IF($A134="","",Settings!$B$8)</f>
        <v/>
      </c>
      <c r="I134" s="27"/>
      <c r="J134" s="27"/>
      <c r="K134" s="27"/>
      <c r="L134" s="27"/>
      <c r="M134" s="28"/>
      <c r="N134" s="28"/>
      <c r="O134" s="32"/>
      <c r="P134" s="31" t="str">
        <f aca="false">IF($B134="","",IF(COUNTIF(Customers!$B$4:$B$1003,$B134)&gt;0,"Yes","No"))</f>
        <v/>
      </c>
      <c r="Q134" s="31" t="str">
        <f aca="true">IF($E134="","",IF($E134&gt;TODAY(),"Scheduled",TODAY()-$E134))</f>
        <v/>
      </c>
    </row>
    <row r="135" customFormat="false" ht="15.75" hidden="false" customHeight="true" outlineLevel="0" collapsed="false">
      <c r="A135" s="27"/>
      <c r="B135" s="28"/>
      <c r="C135" s="33" t="str">
        <f aca="false">IFERROR(INDEX('Lead Management'!$B$4:$B$1003,MATCH($B135,'Lead Management'!$A$4:$A$1003,0)),"")</f>
        <v/>
      </c>
      <c r="D135" s="33" t="str">
        <f aca="false">IFERROR(INDEX('Lead Management'!$C$4:$C$1003,MATCH($B135,'Lead Management'!$A$4:$A$1003,0)),"")</f>
        <v/>
      </c>
      <c r="E135" s="29"/>
      <c r="F135" s="27"/>
      <c r="G135" s="28"/>
      <c r="H135" s="34" t="str">
        <f aca="false">IF($A135="","",Settings!$B$8)</f>
        <v/>
      </c>
      <c r="I135" s="27"/>
      <c r="J135" s="27"/>
      <c r="K135" s="27"/>
      <c r="L135" s="27"/>
      <c r="M135" s="28"/>
      <c r="N135" s="28"/>
      <c r="O135" s="32"/>
      <c r="P135" s="31" t="str">
        <f aca="false">IF($B135="","",IF(COUNTIF(Customers!$B$4:$B$1003,$B135)&gt;0,"Yes","No"))</f>
        <v/>
      </c>
      <c r="Q135" s="31" t="str">
        <f aca="true">IF($E135="","",IF($E135&gt;TODAY(),"Scheduled",TODAY()-$E135))</f>
        <v/>
      </c>
    </row>
    <row r="136" customFormat="false" ht="15.75" hidden="false" customHeight="true" outlineLevel="0" collapsed="false">
      <c r="A136" s="27"/>
      <c r="B136" s="28"/>
      <c r="C136" s="33" t="str">
        <f aca="false">IFERROR(INDEX('Lead Management'!$B$4:$B$1003,MATCH($B136,'Lead Management'!$A$4:$A$1003,0)),"")</f>
        <v/>
      </c>
      <c r="D136" s="33" t="str">
        <f aca="false">IFERROR(INDEX('Lead Management'!$C$4:$C$1003,MATCH($B136,'Lead Management'!$A$4:$A$1003,0)),"")</f>
        <v/>
      </c>
      <c r="E136" s="29"/>
      <c r="F136" s="27"/>
      <c r="G136" s="28"/>
      <c r="H136" s="34" t="str">
        <f aca="false">IF($A136="","",Settings!$B$8)</f>
        <v/>
      </c>
      <c r="I136" s="27"/>
      <c r="J136" s="27"/>
      <c r="K136" s="27"/>
      <c r="L136" s="27"/>
      <c r="M136" s="28"/>
      <c r="N136" s="28"/>
      <c r="O136" s="32"/>
      <c r="P136" s="31" t="str">
        <f aca="false">IF($B136="","",IF(COUNTIF(Customers!$B$4:$B$1003,$B136)&gt;0,"Yes","No"))</f>
        <v/>
      </c>
      <c r="Q136" s="31" t="str">
        <f aca="true">IF($E136="","",IF($E136&gt;TODAY(),"Scheduled",TODAY()-$E136))</f>
        <v/>
      </c>
    </row>
    <row r="137" customFormat="false" ht="15.75" hidden="false" customHeight="true" outlineLevel="0" collapsed="false">
      <c r="A137" s="27"/>
      <c r="B137" s="28"/>
      <c r="C137" s="33" t="str">
        <f aca="false">IFERROR(INDEX('Lead Management'!$B$4:$B$1003,MATCH($B137,'Lead Management'!$A$4:$A$1003,0)),"")</f>
        <v/>
      </c>
      <c r="D137" s="33" t="str">
        <f aca="false">IFERROR(INDEX('Lead Management'!$C$4:$C$1003,MATCH($B137,'Lead Management'!$A$4:$A$1003,0)),"")</f>
        <v/>
      </c>
      <c r="E137" s="29"/>
      <c r="F137" s="27"/>
      <c r="G137" s="28"/>
      <c r="H137" s="34" t="str">
        <f aca="false">IF($A137="","",Settings!$B$8)</f>
        <v/>
      </c>
      <c r="I137" s="27"/>
      <c r="J137" s="27"/>
      <c r="K137" s="27"/>
      <c r="L137" s="27"/>
      <c r="M137" s="28"/>
      <c r="N137" s="28"/>
      <c r="O137" s="32"/>
      <c r="P137" s="31" t="str">
        <f aca="false">IF($B137="","",IF(COUNTIF(Customers!$B$4:$B$1003,$B137)&gt;0,"Yes","No"))</f>
        <v/>
      </c>
      <c r="Q137" s="31" t="str">
        <f aca="true">IF($E137="","",IF($E137&gt;TODAY(),"Scheduled",TODAY()-$E137))</f>
        <v/>
      </c>
    </row>
    <row r="138" customFormat="false" ht="15.75" hidden="false" customHeight="true" outlineLevel="0" collapsed="false">
      <c r="A138" s="27"/>
      <c r="B138" s="28"/>
      <c r="C138" s="33" t="str">
        <f aca="false">IFERROR(INDEX('Lead Management'!$B$4:$B$1003,MATCH($B138,'Lead Management'!$A$4:$A$1003,0)),"")</f>
        <v/>
      </c>
      <c r="D138" s="33" t="str">
        <f aca="false">IFERROR(INDEX('Lead Management'!$C$4:$C$1003,MATCH($B138,'Lead Management'!$A$4:$A$1003,0)),"")</f>
        <v/>
      </c>
      <c r="E138" s="29"/>
      <c r="F138" s="27"/>
      <c r="G138" s="28"/>
      <c r="H138" s="34" t="str">
        <f aca="false">IF($A138="","",Settings!$B$8)</f>
        <v/>
      </c>
      <c r="I138" s="27"/>
      <c r="J138" s="27"/>
      <c r="K138" s="27"/>
      <c r="L138" s="27"/>
      <c r="M138" s="28"/>
      <c r="N138" s="28"/>
      <c r="O138" s="32"/>
      <c r="P138" s="31" t="str">
        <f aca="false">IF($B138="","",IF(COUNTIF(Customers!$B$4:$B$1003,$B138)&gt;0,"Yes","No"))</f>
        <v/>
      </c>
      <c r="Q138" s="31" t="str">
        <f aca="true">IF($E138="","",IF($E138&gt;TODAY(),"Scheduled",TODAY()-$E138))</f>
        <v/>
      </c>
    </row>
    <row r="139" customFormat="false" ht="15.75" hidden="false" customHeight="true" outlineLevel="0" collapsed="false">
      <c r="A139" s="27"/>
      <c r="B139" s="28"/>
      <c r="C139" s="33" t="str">
        <f aca="false">IFERROR(INDEX('Lead Management'!$B$4:$B$1003,MATCH($B139,'Lead Management'!$A$4:$A$1003,0)),"")</f>
        <v/>
      </c>
      <c r="D139" s="33" t="str">
        <f aca="false">IFERROR(INDEX('Lead Management'!$C$4:$C$1003,MATCH($B139,'Lead Management'!$A$4:$A$1003,0)),"")</f>
        <v/>
      </c>
      <c r="E139" s="29"/>
      <c r="F139" s="27"/>
      <c r="G139" s="28"/>
      <c r="H139" s="34" t="str">
        <f aca="false">IF($A139="","",Settings!$B$8)</f>
        <v/>
      </c>
      <c r="I139" s="27"/>
      <c r="J139" s="27"/>
      <c r="K139" s="27"/>
      <c r="L139" s="27"/>
      <c r="M139" s="28"/>
      <c r="N139" s="28"/>
      <c r="O139" s="32"/>
      <c r="P139" s="31" t="str">
        <f aca="false">IF($B139="","",IF(COUNTIF(Customers!$B$4:$B$1003,$B139)&gt;0,"Yes","No"))</f>
        <v/>
      </c>
      <c r="Q139" s="31" t="str">
        <f aca="true">IF($E139="","",IF($E139&gt;TODAY(),"Scheduled",TODAY()-$E139))</f>
        <v/>
      </c>
    </row>
    <row r="140" customFormat="false" ht="15.75" hidden="false" customHeight="true" outlineLevel="0" collapsed="false">
      <c r="A140" s="27"/>
      <c r="B140" s="28"/>
      <c r="C140" s="33" t="str">
        <f aca="false">IFERROR(INDEX('Lead Management'!$B$4:$B$1003,MATCH($B140,'Lead Management'!$A$4:$A$1003,0)),"")</f>
        <v/>
      </c>
      <c r="D140" s="33" t="str">
        <f aca="false">IFERROR(INDEX('Lead Management'!$C$4:$C$1003,MATCH($B140,'Lead Management'!$A$4:$A$1003,0)),"")</f>
        <v/>
      </c>
      <c r="E140" s="29"/>
      <c r="F140" s="27"/>
      <c r="G140" s="28"/>
      <c r="H140" s="34" t="str">
        <f aca="false">IF($A140="","",Settings!$B$8)</f>
        <v/>
      </c>
      <c r="I140" s="27"/>
      <c r="J140" s="27"/>
      <c r="K140" s="27"/>
      <c r="L140" s="27"/>
      <c r="M140" s="28"/>
      <c r="N140" s="28"/>
      <c r="O140" s="32"/>
      <c r="P140" s="31" t="str">
        <f aca="false">IF($B140="","",IF(COUNTIF(Customers!$B$4:$B$1003,$B140)&gt;0,"Yes","No"))</f>
        <v/>
      </c>
      <c r="Q140" s="31" t="str">
        <f aca="true">IF($E140="","",IF($E140&gt;TODAY(),"Scheduled",TODAY()-$E140))</f>
        <v/>
      </c>
    </row>
    <row r="141" customFormat="false" ht="15.75" hidden="false" customHeight="true" outlineLevel="0" collapsed="false">
      <c r="A141" s="27"/>
      <c r="B141" s="28"/>
      <c r="C141" s="33" t="str">
        <f aca="false">IFERROR(INDEX('Lead Management'!$B$4:$B$1003,MATCH($B141,'Lead Management'!$A$4:$A$1003,0)),"")</f>
        <v/>
      </c>
      <c r="D141" s="33" t="str">
        <f aca="false">IFERROR(INDEX('Lead Management'!$C$4:$C$1003,MATCH($B141,'Lead Management'!$A$4:$A$1003,0)),"")</f>
        <v/>
      </c>
      <c r="E141" s="29"/>
      <c r="F141" s="27"/>
      <c r="G141" s="28"/>
      <c r="H141" s="34" t="str">
        <f aca="false">IF($A141="","",Settings!$B$8)</f>
        <v/>
      </c>
      <c r="I141" s="27"/>
      <c r="J141" s="27"/>
      <c r="K141" s="27"/>
      <c r="L141" s="27"/>
      <c r="M141" s="28"/>
      <c r="N141" s="28"/>
      <c r="O141" s="32"/>
      <c r="P141" s="31" t="str">
        <f aca="false">IF($B141="","",IF(COUNTIF(Customers!$B$4:$B$1003,$B141)&gt;0,"Yes","No"))</f>
        <v/>
      </c>
      <c r="Q141" s="31" t="str">
        <f aca="true">IF($E141="","",IF($E141&gt;TODAY(),"Scheduled",TODAY()-$E141))</f>
        <v/>
      </c>
    </row>
    <row r="142" customFormat="false" ht="15.75" hidden="false" customHeight="true" outlineLevel="0" collapsed="false">
      <c r="A142" s="27"/>
      <c r="B142" s="28"/>
      <c r="C142" s="33" t="str">
        <f aca="false">IFERROR(INDEX('Lead Management'!$B$4:$B$1003,MATCH($B142,'Lead Management'!$A$4:$A$1003,0)),"")</f>
        <v/>
      </c>
      <c r="D142" s="33" t="str">
        <f aca="false">IFERROR(INDEX('Lead Management'!$C$4:$C$1003,MATCH($B142,'Lead Management'!$A$4:$A$1003,0)),"")</f>
        <v/>
      </c>
      <c r="E142" s="29"/>
      <c r="F142" s="27"/>
      <c r="G142" s="28"/>
      <c r="H142" s="34" t="str">
        <f aca="false">IF($A142="","",Settings!$B$8)</f>
        <v/>
      </c>
      <c r="I142" s="27"/>
      <c r="J142" s="27"/>
      <c r="K142" s="27"/>
      <c r="L142" s="27"/>
      <c r="M142" s="28"/>
      <c r="N142" s="28"/>
      <c r="O142" s="32"/>
      <c r="P142" s="31" t="str">
        <f aca="false">IF($B142="","",IF(COUNTIF(Customers!$B$4:$B$1003,$B142)&gt;0,"Yes","No"))</f>
        <v/>
      </c>
      <c r="Q142" s="31" t="str">
        <f aca="true">IF($E142="","",IF($E142&gt;TODAY(),"Scheduled",TODAY()-$E142))</f>
        <v/>
      </c>
    </row>
    <row r="143" customFormat="false" ht="15.75" hidden="false" customHeight="true" outlineLevel="0" collapsed="false">
      <c r="A143" s="27"/>
      <c r="B143" s="28"/>
      <c r="C143" s="33" t="str">
        <f aca="false">IFERROR(INDEX('Lead Management'!$B$4:$B$1003,MATCH($B143,'Lead Management'!$A$4:$A$1003,0)),"")</f>
        <v/>
      </c>
      <c r="D143" s="33" t="str">
        <f aca="false">IFERROR(INDEX('Lead Management'!$C$4:$C$1003,MATCH($B143,'Lead Management'!$A$4:$A$1003,0)),"")</f>
        <v/>
      </c>
      <c r="E143" s="29"/>
      <c r="F143" s="27"/>
      <c r="G143" s="28"/>
      <c r="H143" s="34" t="str">
        <f aca="false">IF($A143="","",Settings!$B$8)</f>
        <v/>
      </c>
      <c r="I143" s="27"/>
      <c r="J143" s="27"/>
      <c r="K143" s="27"/>
      <c r="L143" s="27"/>
      <c r="M143" s="28"/>
      <c r="N143" s="28"/>
      <c r="O143" s="32"/>
      <c r="P143" s="31" t="str">
        <f aca="false">IF($B143="","",IF(COUNTIF(Customers!$B$4:$B$1003,$B143)&gt;0,"Yes","No"))</f>
        <v/>
      </c>
      <c r="Q143" s="31" t="str">
        <f aca="true">IF($E143="","",IF($E143&gt;TODAY(),"Scheduled",TODAY()-$E143))</f>
        <v/>
      </c>
    </row>
    <row r="144" customFormat="false" ht="15.75" hidden="false" customHeight="true" outlineLevel="0" collapsed="false">
      <c r="A144" s="27"/>
      <c r="B144" s="28"/>
      <c r="C144" s="33" t="str">
        <f aca="false">IFERROR(INDEX('Lead Management'!$B$4:$B$1003,MATCH($B144,'Lead Management'!$A$4:$A$1003,0)),"")</f>
        <v/>
      </c>
      <c r="D144" s="33" t="str">
        <f aca="false">IFERROR(INDEX('Lead Management'!$C$4:$C$1003,MATCH($B144,'Lead Management'!$A$4:$A$1003,0)),"")</f>
        <v/>
      </c>
      <c r="E144" s="29"/>
      <c r="F144" s="27"/>
      <c r="G144" s="28"/>
      <c r="H144" s="34" t="str">
        <f aca="false">IF($A144="","",Settings!$B$8)</f>
        <v/>
      </c>
      <c r="I144" s="27"/>
      <c r="J144" s="27"/>
      <c r="K144" s="27"/>
      <c r="L144" s="27"/>
      <c r="M144" s="28"/>
      <c r="N144" s="28"/>
      <c r="O144" s="32"/>
      <c r="P144" s="31" t="str">
        <f aca="false">IF($B144="","",IF(COUNTIF(Customers!$B$4:$B$1003,$B144)&gt;0,"Yes","No"))</f>
        <v/>
      </c>
      <c r="Q144" s="31" t="str">
        <f aca="true">IF($E144="","",IF($E144&gt;TODAY(),"Scheduled",TODAY()-$E144))</f>
        <v/>
      </c>
    </row>
    <row r="145" customFormat="false" ht="15.75" hidden="false" customHeight="true" outlineLevel="0" collapsed="false">
      <c r="A145" s="27"/>
      <c r="B145" s="28"/>
      <c r="C145" s="33" t="str">
        <f aca="false">IFERROR(INDEX('Lead Management'!$B$4:$B$1003,MATCH($B145,'Lead Management'!$A$4:$A$1003,0)),"")</f>
        <v/>
      </c>
      <c r="D145" s="33" t="str">
        <f aca="false">IFERROR(INDEX('Lead Management'!$C$4:$C$1003,MATCH($B145,'Lead Management'!$A$4:$A$1003,0)),"")</f>
        <v/>
      </c>
      <c r="E145" s="29"/>
      <c r="F145" s="27"/>
      <c r="G145" s="28"/>
      <c r="H145" s="34" t="str">
        <f aca="false">IF($A145="","",Settings!$B$8)</f>
        <v/>
      </c>
      <c r="I145" s="27"/>
      <c r="J145" s="27"/>
      <c r="K145" s="27"/>
      <c r="L145" s="27"/>
      <c r="M145" s="28"/>
      <c r="N145" s="28"/>
      <c r="O145" s="32"/>
      <c r="P145" s="31" t="str">
        <f aca="false">IF($B145="","",IF(COUNTIF(Customers!$B$4:$B$1003,$B145)&gt;0,"Yes","No"))</f>
        <v/>
      </c>
      <c r="Q145" s="31" t="str">
        <f aca="true">IF($E145="","",IF($E145&gt;TODAY(),"Scheduled",TODAY()-$E145))</f>
        <v/>
      </c>
    </row>
    <row r="146" customFormat="false" ht="15.75" hidden="false" customHeight="true" outlineLevel="0" collapsed="false">
      <c r="A146" s="27"/>
      <c r="B146" s="28"/>
      <c r="C146" s="33" t="str">
        <f aca="false">IFERROR(INDEX('Lead Management'!$B$4:$B$1003,MATCH($B146,'Lead Management'!$A$4:$A$1003,0)),"")</f>
        <v/>
      </c>
      <c r="D146" s="33" t="str">
        <f aca="false">IFERROR(INDEX('Lead Management'!$C$4:$C$1003,MATCH($B146,'Lead Management'!$A$4:$A$1003,0)),"")</f>
        <v/>
      </c>
      <c r="E146" s="29"/>
      <c r="F146" s="27"/>
      <c r="G146" s="28"/>
      <c r="H146" s="34" t="str">
        <f aca="false">IF($A146="","",Settings!$B$8)</f>
        <v/>
      </c>
      <c r="I146" s="27"/>
      <c r="J146" s="27"/>
      <c r="K146" s="27"/>
      <c r="L146" s="27"/>
      <c r="M146" s="28"/>
      <c r="N146" s="28"/>
      <c r="O146" s="32"/>
      <c r="P146" s="31" t="str">
        <f aca="false">IF($B146="","",IF(COUNTIF(Customers!$B$4:$B$1003,$B146)&gt;0,"Yes","No"))</f>
        <v/>
      </c>
      <c r="Q146" s="31" t="str">
        <f aca="true">IF($E146="","",IF($E146&gt;TODAY(),"Scheduled",TODAY()-$E146))</f>
        <v/>
      </c>
    </row>
    <row r="147" customFormat="false" ht="15.75" hidden="false" customHeight="true" outlineLevel="0" collapsed="false">
      <c r="A147" s="27"/>
      <c r="B147" s="28"/>
      <c r="C147" s="33" t="str">
        <f aca="false">IFERROR(INDEX('Lead Management'!$B$4:$B$1003,MATCH($B147,'Lead Management'!$A$4:$A$1003,0)),"")</f>
        <v/>
      </c>
      <c r="D147" s="33" t="str">
        <f aca="false">IFERROR(INDEX('Lead Management'!$C$4:$C$1003,MATCH($B147,'Lead Management'!$A$4:$A$1003,0)),"")</f>
        <v/>
      </c>
      <c r="E147" s="29"/>
      <c r="F147" s="27"/>
      <c r="G147" s="28"/>
      <c r="H147" s="34" t="str">
        <f aca="false">IF($A147="","",Settings!$B$8)</f>
        <v/>
      </c>
      <c r="I147" s="27"/>
      <c r="J147" s="27"/>
      <c r="K147" s="27"/>
      <c r="L147" s="27"/>
      <c r="M147" s="28"/>
      <c r="N147" s="28"/>
      <c r="O147" s="32"/>
      <c r="P147" s="31" t="str">
        <f aca="false">IF($B147="","",IF(COUNTIF(Customers!$B$4:$B$1003,$B147)&gt;0,"Yes","No"))</f>
        <v/>
      </c>
      <c r="Q147" s="31" t="str">
        <f aca="true">IF($E147="","",IF($E147&gt;TODAY(),"Scheduled",TODAY()-$E147))</f>
        <v/>
      </c>
    </row>
    <row r="148" customFormat="false" ht="15.75" hidden="false" customHeight="true" outlineLevel="0" collapsed="false">
      <c r="A148" s="27"/>
      <c r="B148" s="28"/>
      <c r="C148" s="33" t="str">
        <f aca="false">IFERROR(INDEX('Lead Management'!$B$4:$B$1003,MATCH($B148,'Lead Management'!$A$4:$A$1003,0)),"")</f>
        <v/>
      </c>
      <c r="D148" s="33" t="str">
        <f aca="false">IFERROR(INDEX('Lead Management'!$C$4:$C$1003,MATCH($B148,'Lead Management'!$A$4:$A$1003,0)),"")</f>
        <v/>
      </c>
      <c r="E148" s="29"/>
      <c r="F148" s="27"/>
      <c r="G148" s="28"/>
      <c r="H148" s="34" t="str">
        <f aca="false">IF($A148="","",Settings!$B$8)</f>
        <v/>
      </c>
      <c r="I148" s="27"/>
      <c r="J148" s="27"/>
      <c r="K148" s="27"/>
      <c r="L148" s="27"/>
      <c r="M148" s="28"/>
      <c r="N148" s="28"/>
      <c r="O148" s="32"/>
      <c r="P148" s="31" t="str">
        <f aca="false">IF($B148="","",IF(COUNTIF(Customers!$B$4:$B$1003,$B148)&gt;0,"Yes","No"))</f>
        <v/>
      </c>
      <c r="Q148" s="31" t="str">
        <f aca="true">IF($E148="","",IF($E148&gt;TODAY(),"Scheduled",TODAY()-$E148))</f>
        <v/>
      </c>
    </row>
    <row r="149" customFormat="false" ht="15.75" hidden="false" customHeight="true" outlineLevel="0" collapsed="false">
      <c r="A149" s="27"/>
      <c r="B149" s="28"/>
      <c r="C149" s="33" t="str">
        <f aca="false">IFERROR(INDEX('Lead Management'!$B$4:$B$1003,MATCH($B149,'Lead Management'!$A$4:$A$1003,0)),"")</f>
        <v/>
      </c>
      <c r="D149" s="33" t="str">
        <f aca="false">IFERROR(INDEX('Lead Management'!$C$4:$C$1003,MATCH($B149,'Lead Management'!$A$4:$A$1003,0)),"")</f>
        <v/>
      </c>
      <c r="E149" s="29"/>
      <c r="F149" s="27"/>
      <c r="G149" s="28"/>
      <c r="H149" s="34" t="str">
        <f aca="false">IF($A149="","",Settings!$B$8)</f>
        <v/>
      </c>
      <c r="I149" s="27"/>
      <c r="J149" s="27"/>
      <c r="K149" s="27"/>
      <c r="L149" s="27"/>
      <c r="M149" s="28"/>
      <c r="N149" s="28"/>
      <c r="O149" s="32"/>
      <c r="P149" s="31" t="str">
        <f aca="false">IF($B149="","",IF(COUNTIF(Customers!$B$4:$B$1003,$B149)&gt;0,"Yes","No"))</f>
        <v/>
      </c>
      <c r="Q149" s="31" t="str">
        <f aca="true">IF($E149="","",IF($E149&gt;TODAY(),"Scheduled",TODAY()-$E149))</f>
        <v/>
      </c>
    </row>
    <row r="150" customFormat="false" ht="15.75" hidden="false" customHeight="true" outlineLevel="0" collapsed="false">
      <c r="A150" s="27"/>
      <c r="B150" s="28"/>
      <c r="C150" s="33" t="str">
        <f aca="false">IFERROR(INDEX('Lead Management'!$B$4:$B$1003,MATCH($B150,'Lead Management'!$A$4:$A$1003,0)),"")</f>
        <v/>
      </c>
      <c r="D150" s="33" t="str">
        <f aca="false">IFERROR(INDEX('Lead Management'!$C$4:$C$1003,MATCH($B150,'Lead Management'!$A$4:$A$1003,0)),"")</f>
        <v/>
      </c>
      <c r="E150" s="29"/>
      <c r="F150" s="27"/>
      <c r="G150" s="28"/>
      <c r="H150" s="34" t="str">
        <f aca="false">IF($A150="","",Settings!$B$8)</f>
        <v/>
      </c>
      <c r="I150" s="27"/>
      <c r="J150" s="27"/>
      <c r="K150" s="27"/>
      <c r="L150" s="27"/>
      <c r="M150" s="28"/>
      <c r="N150" s="28"/>
      <c r="O150" s="32"/>
      <c r="P150" s="31" t="str">
        <f aca="false">IF($B150="","",IF(COUNTIF(Customers!$B$4:$B$1003,$B150)&gt;0,"Yes","No"))</f>
        <v/>
      </c>
      <c r="Q150" s="31" t="str">
        <f aca="true">IF($E150="","",IF($E150&gt;TODAY(),"Scheduled",TODAY()-$E150))</f>
        <v/>
      </c>
    </row>
    <row r="151" customFormat="false" ht="15.75" hidden="false" customHeight="true" outlineLevel="0" collapsed="false">
      <c r="A151" s="27"/>
      <c r="B151" s="28"/>
      <c r="C151" s="33" t="str">
        <f aca="false">IFERROR(INDEX('Lead Management'!$B$4:$B$1003,MATCH($B151,'Lead Management'!$A$4:$A$1003,0)),"")</f>
        <v/>
      </c>
      <c r="D151" s="33" t="str">
        <f aca="false">IFERROR(INDEX('Lead Management'!$C$4:$C$1003,MATCH($B151,'Lead Management'!$A$4:$A$1003,0)),"")</f>
        <v/>
      </c>
      <c r="E151" s="29"/>
      <c r="F151" s="27"/>
      <c r="G151" s="28"/>
      <c r="H151" s="34" t="str">
        <f aca="false">IF($A151="","",Settings!$B$8)</f>
        <v/>
      </c>
      <c r="I151" s="27"/>
      <c r="J151" s="27"/>
      <c r="K151" s="27"/>
      <c r="L151" s="27"/>
      <c r="M151" s="28"/>
      <c r="N151" s="28"/>
      <c r="O151" s="32"/>
      <c r="P151" s="31" t="str">
        <f aca="false">IF($B151="","",IF(COUNTIF(Customers!$B$4:$B$1003,$B151)&gt;0,"Yes","No"))</f>
        <v/>
      </c>
      <c r="Q151" s="31" t="str">
        <f aca="true">IF($E151="","",IF($E151&gt;TODAY(),"Scheduled",TODAY()-$E151))</f>
        <v/>
      </c>
    </row>
    <row r="152" customFormat="false" ht="15.75" hidden="false" customHeight="true" outlineLevel="0" collapsed="false">
      <c r="A152" s="27"/>
      <c r="B152" s="28"/>
      <c r="C152" s="33" t="str">
        <f aca="false">IFERROR(INDEX('Lead Management'!$B$4:$B$1003,MATCH($B152,'Lead Management'!$A$4:$A$1003,0)),"")</f>
        <v/>
      </c>
      <c r="D152" s="33" t="str">
        <f aca="false">IFERROR(INDEX('Lead Management'!$C$4:$C$1003,MATCH($B152,'Lead Management'!$A$4:$A$1003,0)),"")</f>
        <v/>
      </c>
      <c r="E152" s="29"/>
      <c r="F152" s="27"/>
      <c r="G152" s="28"/>
      <c r="H152" s="34" t="str">
        <f aca="false">IF($A152="","",Settings!$B$8)</f>
        <v/>
      </c>
      <c r="I152" s="27"/>
      <c r="J152" s="27"/>
      <c r="K152" s="27"/>
      <c r="L152" s="27"/>
      <c r="M152" s="28"/>
      <c r="N152" s="28"/>
      <c r="O152" s="32"/>
      <c r="P152" s="31" t="str">
        <f aca="false">IF($B152="","",IF(COUNTIF(Customers!$B$4:$B$1003,$B152)&gt;0,"Yes","No"))</f>
        <v/>
      </c>
      <c r="Q152" s="31" t="str">
        <f aca="true">IF($E152="","",IF($E152&gt;TODAY(),"Scheduled",TODAY()-$E152))</f>
        <v/>
      </c>
    </row>
    <row r="153" customFormat="false" ht="15.75" hidden="false" customHeight="true" outlineLevel="0" collapsed="false">
      <c r="A153" s="27"/>
      <c r="B153" s="28"/>
      <c r="C153" s="33" t="str">
        <f aca="false">IFERROR(INDEX('Lead Management'!$B$4:$B$1003,MATCH($B153,'Lead Management'!$A$4:$A$1003,0)),"")</f>
        <v/>
      </c>
      <c r="D153" s="33" t="str">
        <f aca="false">IFERROR(INDEX('Lead Management'!$C$4:$C$1003,MATCH($B153,'Lead Management'!$A$4:$A$1003,0)),"")</f>
        <v/>
      </c>
      <c r="E153" s="29"/>
      <c r="F153" s="27"/>
      <c r="G153" s="28"/>
      <c r="H153" s="34" t="str">
        <f aca="false">IF($A153="","",Settings!$B$8)</f>
        <v/>
      </c>
      <c r="I153" s="27"/>
      <c r="J153" s="27"/>
      <c r="K153" s="27"/>
      <c r="L153" s="27"/>
      <c r="M153" s="28"/>
      <c r="N153" s="28"/>
      <c r="O153" s="32"/>
      <c r="P153" s="31" t="str">
        <f aca="false">IF($B153="","",IF(COUNTIF(Customers!$B$4:$B$1003,$B153)&gt;0,"Yes","No"))</f>
        <v/>
      </c>
      <c r="Q153" s="31" t="str">
        <f aca="true">IF($E153="","",IF($E153&gt;TODAY(),"Scheduled",TODAY()-$E153))</f>
        <v/>
      </c>
    </row>
    <row r="154" customFormat="false" ht="15.75" hidden="false" customHeight="true" outlineLevel="0" collapsed="false">
      <c r="A154" s="27"/>
      <c r="B154" s="28"/>
      <c r="C154" s="33" t="str">
        <f aca="false">IFERROR(INDEX('Lead Management'!$B$4:$B$1003,MATCH($B154,'Lead Management'!$A$4:$A$1003,0)),"")</f>
        <v/>
      </c>
      <c r="D154" s="33" t="str">
        <f aca="false">IFERROR(INDEX('Lead Management'!$C$4:$C$1003,MATCH($B154,'Lead Management'!$A$4:$A$1003,0)),"")</f>
        <v/>
      </c>
      <c r="E154" s="29"/>
      <c r="F154" s="27"/>
      <c r="G154" s="28"/>
      <c r="H154" s="34" t="str">
        <f aca="false">IF($A154="","",Settings!$B$8)</f>
        <v/>
      </c>
      <c r="I154" s="27"/>
      <c r="J154" s="27"/>
      <c r="K154" s="27"/>
      <c r="L154" s="27"/>
      <c r="M154" s="28"/>
      <c r="N154" s="28"/>
      <c r="O154" s="32"/>
      <c r="P154" s="31" t="str">
        <f aca="false">IF($B154="","",IF(COUNTIF(Customers!$B$4:$B$1003,$B154)&gt;0,"Yes","No"))</f>
        <v/>
      </c>
      <c r="Q154" s="31" t="str">
        <f aca="true">IF($E154="","",IF($E154&gt;TODAY(),"Scheduled",TODAY()-$E154))</f>
        <v/>
      </c>
    </row>
    <row r="155" customFormat="false" ht="15.75" hidden="false" customHeight="true" outlineLevel="0" collapsed="false">
      <c r="A155" s="27"/>
      <c r="B155" s="28"/>
      <c r="C155" s="33" t="str">
        <f aca="false">IFERROR(INDEX('Lead Management'!$B$4:$B$1003,MATCH($B155,'Lead Management'!$A$4:$A$1003,0)),"")</f>
        <v/>
      </c>
      <c r="D155" s="33" t="str">
        <f aca="false">IFERROR(INDEX('Lead Management'!$C$4:$C$1003,MATCH($B155,'Lead Management'!$A$4:$A$1003,0)),"")</f>
        <v/>
      </c>
      <c r="E155" s="29"/>
      <c r="F155" s="27"/>
      <c r="G155" s="28"/>
      <c r="H155" s="34" t="str">
        <f aca="false">IF($A155="","",Settings!$B$8)</f>
        <v/>
      </c>
      <c r="I155" s="27"/>
      <c r="J155" s="27"/>
      <c r="K155" s="27"/>
      <c r="L155" s="27"/>
      <c r="M155" s="28"/>
      <c r="N155" s="28"/>
      <c r="O155" s="32"/>
      <c r="P155" s="31" t="str">
        <f aca="false">IF($B155="","",IF(COUNTIF(Customers!$B$4:$B$1003,$B155)&gt;0,"Yes","No"))</f>
        <v/>
      </c>
      <c r="Q155" s="31" t="str">
        <f aca="true">IF($E155="","",IF($E155&gt;TODAY(),"Scheduled",TODAY()-$E155))</f>
        <v/>
      </c>
    </row>
    <row r="156" customFormat="false" ht="15.75" hidden="false" customHeight="true" outlineLevel="0" collapsed="false">
      <c r="A156" s="27"/>
      <c r="B156" s="28"/>
      <c r="C156" s="33" t="str">
        <f aca="false">IFERROR(INDEX('Lead Management'!$B$4:$B$1003,MATCH($B156,'Lead Management'!$A$4:$A$1003,0)),"")</f>
        <v/>
      </c>
      <c r="D156" s="33" t="str">
        <f aca="false">IFERROR(INDEX('Lead Management'!$C$4:$C$1003,MATCH($B156,'Lead Management'!$A$4:$A$1003,0)),"")</f>
        <v/>
      </c>
      <c r="E156" s="29"/>
      <c r="F156" s="27"/>
      <c r="G156" s="28"/>
      <c r="H156" s="34" t="str">
        <f aca="false">IF($A156="","",Settings!$B$8)</f>
        <v/>
      </c>
      <c r="I156" s="27"/>
      <c r="J156" s="27"/>
      <c r="K156" s="27"/>
      <c r="L156" s="27"/>
      <c r="M156" s="28"/>
      <c r="N156" s="28"/>
      <c r="O156" s="32"/>
      <c r="P156" s="31" t="str">
        <f aca="false">IF($B156="","",IF(COUNTIF(Customers!$B$4:$B$1003,$B156)&gt;0,"Yes","No"))</f>
        <v/>
      </c>
      <c r="Q156" s="31" t="str">
        <f aca="true">IF($E156="","",IF($E156&gt;TODAY(),"Scheduled",TODAY()-$E156))</f>
        <v/>
      </c>
    </row>
    <row r="157" customFormat="false" ht="15.75" hidden="false" customHeight="true" outlineLevel="0" collapsed="false">
      <c r="A157" s="27"/>
      <c r="B157" s="28"/>
      <c r="C157" s="33" t="str">
        <f aca="false">IFERROR(INDEX('Lead Management'!$B$4:$B$1003,MATCH($B157,'Lead Management'!$A$4:$A$1003,0)),"")</f>
        <v/>
      </c>
      <c r="D157" s="33" t="str">
        <f aca="false">IFERROR(INDEX('Lead Management'!$C$4:$C$1003,MATCH($B157,'Lead Management'!$A$4:$A$1003,0)),"")</f>
        <v/>
      </c>
      <c r="E157" s="29"/>
      <c r="F157" s="27"/>
      <c r="G157" s="28"/>
      <c r="H157" s="34" t="str">
        <f aca="false">IF($A157="","",Settings!$B$8)</f>
        <v/>
      </c>
      <c r="I157" s="27"/>
      <c r="J157" s="27"/>
      <c r="K157" s="27"/>
      <c r="L157" s="27"/>
      <c r="M157" s="28"/>
      <c r="N157" s="28"/>
      <c r="O157" s="32"/>
      <c r="P157" s="31" t="str">
        <f aca="false">IF($B157="","",IF(COUNTIF(Customers!$B$4:$B$1003,$B157)&gt;0,"Yes","No"))</f>
        <v/>
      </c>
      <c r="Q157" s="31" t="str">
        <f aca="true">IF($E157="","",IF($E157&gt;TODAY(),"Scheduled",TODAY()-$E157))</f>
        <v/>
      </c>
    </row>
    <row r="158" customFormat="false" ht="15.75" hidden="false" customHeight="true" outlineLevel="0" collapsed="false">
      <c r="A158" s="27"/>
      <c r="B158" s="28"/>
      <c r="C158" s="33" t="str">
        <f aca="false">IFERROR(INDEX('Lead Management'!$B$4:$B$1003,MATCH($B158,'Lead Management'!$A$4:$A$1003,0)),"")</f>
        <v/>
      </c>
      <c r="D158" s="33" t="str">
        <f aca="false">IFERROR(INDEX('Lead Management'!$C$4:$C$1003,MATCH($B158,'Lead Management'!$A$4:$A$1003,0)),"")</f>
        <v/>
      </c>
      <c r="E158" s="29"/>
      <c r="F158" s="27"/>
      <c r="G158" s="28"/>
      <c r="H158" s="34" t="str">
        <f aca="false">IF($A158="","",Settings!$B$8)</f>
        <v/>
      </c>
      <c r="I158" s="27"/>
      <c r="J158" s="27"/>
      <c r="K158" s="27"/>
      <c r="L158" s="27"/>
      <c r="M158" s="28"/>
      <c r="N158" s="28"/>
      <c r="O158" s="32"/>
      <c r="P158" s="31" t="str">
        <f aca="false">IF($B158="","",IF(COUNTIF(Customers!$B$4:$B$1003,$B158)&gt;0,"Yes","No"))</f>
        <v/>
      </c>
      <c r="Q158" s="31" t="str">
        <f aca="true">IF($E158="","",IF($E158&gt;TODAY(),"Scheduled",TODAY()-$E158))</f>
        <v/>
      </c>
    </row>
    <row r="159" customFormat="false" ht="15.75" hidden="false" customHeight="true" outlineLevel="0" collapsed="false">
      <c r="A159" s="27"/>
      <c r="B159" s="28"/>
      <c r="C159" s="33" t="str">
        <f aca="false">IFERROR(INDEX('Lead Management'!$B$4:$B$1003,MATCH($B159,'Lead Management'!$A$4:$A$1003,0)),"")</f>
        <v/>
      </c>
      <c r="D159" s="33" t="str">
        <f aca="false">IFERROR(INDEX('Lead Management'!$C$4:$C$1003,MATCH($B159,'Lead Management'!$A$4:$A$1003,0)),"")</f>
        <v/>
      </c>
      <c r="E159" s="29"/>
      <c r="F159" s="27"/>
      <c r="G159" s="28"/>
      <c r="H159" s="34" t="str">
        <f aca="false">IF($A159="","",Settings!$B$8)</f>
        <v/>
      </c>
      <c r="I159" s="27"/>
      <c r="J159" s="27"/>
      <c r="K159" s="27"/>
      <c r="L159" s="27"/>
      <c r="M159" s="28"/>
      <c r="N159" s="28"/>
      <c r="O159" s="32"/>
      <c r="P159" s="31" t="str">
        <f aca="false">IF($B159="","",IF(COUNTIF(Customers!$B$4:$B$1003,$B159)&gt;0,"Yes","No"))</f>
        <v/>
      </c>
      <c r="Q159" s="31" t="str">
        <f aca="true">IF($E159="","",IF($E159&gt;TODAY(),"Scheduled",TODAY()-$E159))</f>
        <v/>
      </c>
    </row>
    <row r="160" customFormat="false" ht="15.75" hidden="false" customHeight="true" outlineLevel="0" collapsed="false">
      <c r="A160" s="27"/>
      <c r="B160" s="28"/>
      <c r="C160" s="33" t="str">
        <f aca="false">IFERROR(INDEX('Lead Management'!$B$4:$B$1003,MATCH($B160,'Lead Management'!$A$4:$A$1003,0)),"")</f>
        <v/>
      </c>
      <c r="D160" s="33" t="str">
        <f aca="false">IFERROR(INDEX('Lead Management'!$C$4:$C$1003,MATCH($B160,'Lead Management'!$A$4:$A$1003,0)),"")</f>
        <v/>
      </c>
      <c r="E160" s="29"/>
      <c r="F160" s="27"/>
      <c r="G160" s="28"/>
      <c r="H160" s="34" t="str">
        <f aca="false">IF($A160="","",Settings!$B$8)</f>
        <v/>
      </c>
      <c r="I160" s="27"/>
      <c r="J160" s="27"/>
      <c r="K160" s="27"/>
      <c r="L160" s="27"/>
      <c r="M160" s="28"/>
      <c r="N160" s="28"/>
      <c r="O160" s="32"/>
      <c r="P160" s="31" t="str">
        <f aca="false">IF($B160="","",IF(COUNTIF(Customers!$B$4:$B$1003,$B160)&gt;0,"Yes","No"))</f>
        <v/>
      </c>
      <c r="Q160" s="31" t="str">
        <f aca="true">IF($E160="","",IF($E160&gt;TODAY(),"Scheduled",TODAY()-$E160))</f>
        <v/>
      </c>
    </row>
    <row r="161" customFormat="false" ht="15.75" hidden="false" customHeight="true" outlineLevel="0" collapsed="false">
      <c r="A161" s="27"/>
      <c r="B161" s="28"/>
      <c r="C161" s="33" t="str">
        <f aca="false">IFERROR(INDEX('Lead Management'!$B$4:$B$1003,MATCH($B161,'Lead Management'!$A$4:$A$1003,0)),"")</f>
        <v/>
      </c>
      <c r="D161" s="33" t="str">
        <f aca="false">IFERROR(INDEX('Lead Management'!$C$4:$C$1003,MATCH($B161,'Lead Management'!$A$4:$A$1003,0)),"")</f>
        <v/>
      </c>
      <c r="E161" s="29"/>
      <c r="F161" s="27"/>
      <c r="G161" s="28"/>
      <c r="H161" s="34" t="str">
        <f aca="false">IF($A161="","",Settings!$B$8)</f>
        <v/>
      </c>
      <c r="I161" s="27"/>
      <c r="J161" s="27"/>
      <c r="K161" s="27"/>
      <c r="L161" s="27"/>
      <c r="M161" s="28"/>
      <c r="N161" s="28"/>
      <c r="O161" s="32"/>
      <c r="P161" s="31" t="str">
        <f aca="false">IF($B161="","",IF(COUNTIF(Customers!$B$4:$B$1003,$B161)&gt;0,"Yes","No"))</f>
        <v/>
      </c>
      <c r="Q161" s="31" t="str">
        <f aca="true">IF($E161="","",IF($E161&gt;TODAY(),"Scheduled",TODAY()-$E161))</f>
        <v/>
      </c>
    </row>
    <row r="162" customFormat="false" ht="15.75" hidden="false" customHeight="true" outlineLevel="0" collapsed="false">
      <c r="A162" s="27"/>
      <c r="B162" s="28"/>
      <c r="C162" s="33" t="str">
        <f aca="false">IFERROR(INDEX('Lead Management'!$B$4:$B$1003,MATCH($B162,'Lead Management'!$A$4:$A$1003,0)),"")</f>
        <v/>
      </c>
      <c r="D162" s="33" t="str">
        <f aca="false">IFERROR(INDEX('Lead Management'!$C$4:$C$1003,MATCH($B162,'Lead Management'!$A$4:$A$1003,0)),"")</f>
        <v/>
      </c>
      <c r="E162" s="29"/>
      <c r="F162" s="27"/>
      <c r="G162" s="28"/>
      <c r="H162" s="34" t="str">
        <f aca="false">IF($A162="","",Settings!$B$8)</f>
        <v/>
      </c>
      <c r="I162" s="27"/>
      <c r="J162" s="27"/>
      <c r="K162" s="27"/>
      <c r="L162" s="27"/>
      <c r="M162" s="28"/>
      <c r="N162" s="28"/>
      <c r="O162" s="32"/>
      <c r="P162" s="31" t="str">
        <f aca="false">IF($B162="","",IF(COUNTIF(Customers!$B$4:$B$1003,$B162)&gt;0,"Yes","No"))</f>
        <v/>
      </c>
      <c r="Q162" s="31" t="str">
        <f aca="true">IF($E162="","",IF($E162&gt;TODAY(),"Scheduled",TODAY()-$E162))</f>
        <v/>
      </c>
    </row>
    <row r="163" customFormat="false" ht="15.75" hidden="false" customHeight="true" outlineLevel="0" collapsed="false">
      <c r="A163" s="27"/>
      <c r="B163" s="28"/>
      <c r="C163" s="33" t="str">
        <f aca="false">IFERROR(INDEX('Lead Management'!$B$4:$B$1003,MATCH($B163,'Lead Management'!$A$4:$A$1003,0)),"")</f>
        <v/>
      </c>
      <c r="D163" s="33" t="str">
        <f aca="false">IFERROR(INDEX('Lead Management'!$C$4:$C$1003,MATCH($B163,'Lead Management'!$A$4:$A$1003,0)),"")</f>
        <v/>
      </c>
      <c r="E163" s="29"/>
      <c r="F163" s="27"/>
      <c r="G163" s="28"/>
      <c r="H163" s="34" t="str">
        <f aca="false">IF($A163="","",Settings!$B$8)</f>
        <v/>
      </c>
      <c r="I163" s="27"/>
      <c r="J163" s="27"/>
      <c r="K163" s="27"/>
      <c r="L163" s="27"/>
      <c r="M163" s="28"/>
      <c r="N163" s="28"/>
      <c r="O163" s="32"/>
      <c r="P163" s="31" t="str">
        <f aca="false">IF($B163="","",IF(COUNTIF(Customers!$B$4:$B$1003,$B163)&gt;0,"Yes","No"))</f>
        <v/>
      </c>
      <c r="Q163" s="31" t="str">
        <f aca="true">IF($E163="","",IF($E163&gt;TODAY(),"Scheduled",TODAY()-$E163))</f>
        <v/>
      </c>
    </row>
    <row r="164" customFormat="false" ht="15.75" hidden="false" customHeight="true" outlineLevel="0" collapsed="false">
      <c r="A164" s="27"/>
      <c r="B164" s="28"/>
      <c r="C164" s="33" t="str">
        <f aca="false">IFERROR(INDEX('Lead Management'!$B$4:$B$1003,MATCH($B164,'Lead Management'!$A$4:$A$1003,0)),"")</f>
        <v/>
      </c>
      <c r="D164" s="33" t="str">
        <f aca="false">IFERROR(INDEX('Lead Management'!$C$4:$C$1003,MATCH($B164,'Lead Management'!$A$4:$A$1003,0)),"")</f>
        <v/>
      </c>
      <c r="E164" s="29"/>
      <c r="F164" s="27"/>
      <c r="G164" s="28"/>
      <c r="H164" s="34" t="str">
        <f aca="false">IF($A164="","",Settings!$B$8)</f>
        <v/>
      </c>
      <c r="I164" s="27"/>
      <c r="J164" s="27"/>
      <c r="K164" s="27"/>
      <c r="L164" s="27"/>
      <c r="M164" s="28"/>
      <c r="N164" s="28"/>
      <c r="O164" s="32"/>
      <c r="P164" s="31" t="str">
        <f aca="false">IF($B164="","",IF(COUNTIF(Customers!$B$4:$B$1003,$B164)&gt;0,"Yes","No"))</f>
        <v/>
      </c>
      <c r="Q164" s="31" t="str">
        <f aca="true">IF($E164="","",IF($E164&gt;TODAY(),"Scheduled",TODAY()-$E164))</f>
        <v/>
      </c>
    </row>
    <row r="165" customFormat="false" ht="15.75" hidden="false" customHeight="true" outlineLevel="0" collapsed="false">
      <c r="A165" s="27"/>
      <c r="B165" s="28"/>
      <c r="C165" s="33" t="str">
        <f aca="false">IFERROR(INDEX('Lead Management'!$B$4:$B$1003,MATCH($B165,'Lead Management'!$A$4:$A$1003,0)),"")</f>
        <v/>
      </c>
      <c r="D165" s="33" t="str">
        <f aca="false">IFERROR(INDEX('Lead Management'!$C$4:$C$1003,MATCH($B165,'Lead Management'!$A$4:$A$1003,0)),"")</f>
        <v/>
      </c>
      <c r="E165" s="29"/>
      <c r="F165" s="27"/>
      <c r="G165" s="28"/>
      <c r="H165" s="34" t="str">
        <f aca="false">IF($A165="","",Settings!$B$8)</f>
        <v/>
      </c>
      <c r="I165" s="27"/>
      <c r="J165" s="27"/>
      <c r="K165" s="27"/>
      <c r="L165" s="27"/>
      <c r="M165" s="28"/>
      <c r="N165" s="28"/>
      <c r="O165" s="32"/>
      <c r="P165" s="31" t="str">
        <f aca="false">IF($B165="","",IF(COUNTIF(Customers!$B$4:$B$1003,$B165)&gt;0,"Yes","No"))</f>
        <v/>
      </c>
      <c r="Q165" s="31" t="str">
        <f aca="true">IF($E165="","",IF($E165&gt;TODAY(),"Scheduled",TODAY()-$E165))</f>
        <v/>
      </c>
    </row>
    <row r="166" customFormat="false" ht="15.75" hidden="false" customHeight="true" outlineLevel="0" collapsed="false">
      <c r="A166" s="27"/>
      <c r="B166" s="28"/>
      <c r="C166" s="33" t="str">
        <f aca="false">IFERROR(INDEX('Lead Management'!$B$4:$B$1003,MATCH($B166,'Lead Management'!$A$4:$A$1003,0)),"")</f>
        <v/>
      </c>
      <c r="D166" s="33" t="str">
        <f aca="false">IFERROR(INDEX('Lead Management'!$C$4:$C$1003,MATCH($B166,'Lead Management'!$A$4:$A$1003,0)),"")</f>
        <v/>
      </c>
      <c r="E166" s="29"/>
      <c r="F166" s="27"/>
      <c r="G166" s="28"/>
      <c r="H166" s="34" t="str">
        <f aca="false">IF($A166="","",Settings!$B$8)</f>
        <v/>
      </c>
      <c r="I166" s="27"/>
      <c r="J166" s="27"/>
      <c r="K166" s="27"/>
      <c r="L166" s="27"/>
      <c r="M166" s="28"/>
      <c r="N166" s="28"/>
      <c r="O166" s="32"/>
      <c r="P166" s="31" t="str">
        <f aca="false">IF($B166="","",IF(COUNTIF(Customers!$B$4:$B$1003,$B166)&gt;0,"Yes","No"))</f>
        <v/>
      </c>
      <c r="Q166" s="31" t="str">
        <f aca="true">IF($E166="","",IF($E166&gt;TODAY(),"Scheduled",TODAY()-$E166))</f>
        <v/>
      </c>
    </row>
    <row r="167" customFormat="false" ht="15.75" hidden="false" customHeight="true" outlineLevel="0" collapsed="false">
      <c r="A167" s="27"/>
      <c r="B167" s="28"/>
      <c r="C167" s="33" t="str">
        <f aca="false">IFERROR(INDEX('Lead Management'!$B$4:$B$1003,MATCH($B167,'Lead Management'!$A$4:$A$1003,0)),"")</f>
        <v/>
      </c>
      <c r="D167" s="33" t="str">
        <f aca="false">IFERROR(INDEX('Lead Management'!$C$4:$C$1003,MATCH($B167,'Lead Management'!$A$4:$A$1003,0)),"")</f>
        <v/>
      </c>
      <c r="E167" s="29"/>
      <c r="F167" s="27"/>
      <c r="G167" s="28"/>
      <c r="H167" s="34" t="str">
        <f aca="false">IF($A167="","",Settings!$B$8)</f>
        <v/>
      </c>
      <c r="I167" s="27"/>
      <c r="J167" s="27"/>
      <c r="K167" s="27"/>
      <c r="L167" s="27"/>
      <c r="M167" s="28"/>
      <c r="N167" s="28"/>
      <c r="O167" s="32"/>
      <c r="P167" s="31" t="str">
        <f aca="false">IF($B167="","",IF(COUNTIF(Customers!$B$4:$B$1003,$B167)&gt;0,"Yes","No"))</f>
        <v/>
      </c>
      <c r="Q167" s="31" t="str">
        <f aca="true">IF($E167="","",IF($E167&gt;TODAY(),"Scheduled",TODAY()-$E167))</f>
        <v/>
      </c>
    </row>
    <row r="168" customFormat="false" ht="15.75" hidden="false" customHeight="true" outlineLevel="0" collapsed="false">
      <c r="A168" s="27"/>
      <c r="B168" s="28"/>
      <c r="C168" s="33" t="str">
        <f aca="false">IFERROR(INDEX('Lead Management'!$B$4:$B$1003,MATCH($B168,'Lead Management'!$A$4:$A$1003,0)),"")</f>
        <v/>
      </c>
      <c r="D168" s="33" t="str">
        <f aca="false">IFERROR(INDEX('Lead Management'!$C$4:$C$1003,MATCH($B168,'Lead Management'!$A$4:$A$1003,0)),"")</f>
        <v/>
      </c>
      <c r="E168" s="29"/>
      <c r="F168" s="27"/>
      <c r="G168" s="28"/>
      <c r="H168" s="34" t="str">
        <f aca="false">IF($A168="","",Settings!$B$8)</f>
        <v/>
      </c>
      <c r="I168" s="27"/>
      <c r="J168" s="27"/>
      <c r="K168" s="27"/>
      <c r="L168" s="27"/>
      <c r="M168" s="28"/>
      <c r="N168" s="28"/>
      <c r="O168" s="32"/>
      <c r="P168" s="31" t="str">
        <f aca="false">IF($B168="","",IF(COUNTIF(Customers!$B$4:$B$1003,$B168)&gt;0,"Yes","No"))</f>
        <v/>
      </c>
      <c r="Q168" s="31" t="str">
        <f aca="true">IF($E168="","",IF($E168&gt;TODAY(),"Scheduled",TODAY()-$E168))</f>
        <v/>
      </c>
    </row>
    <row r="169" customFormat="false" ht="15.75" hidden="false" customHeight="true" outlineLevel="0" collapsed="false">
      <c r="A169" s="27"/>
      <c r="B169" s="28"/>
      <c r="C169" s="33" t="str">
        <f aca="false">IFERROR(INDEX('Lead Management'!$B$4:$B$1003,MATCH($B169,'Lead Management'!$A$4:$A$1003,0)),"")</f>
        <v/>
      </c>
      <c r="D169" s="33" t="str">
        <f aca="false">IFERROR(INDEX('Lead Management'!$C$4:$C$1003,MATCH($B169,'Lead Management'!$A$4:$A$1003,0)),"")</f>
        <v/>
      </c>
      <c r="E169" s="29"/>
      <c r="F169" s="27"/>
      <c r="G169" s="28"/>
      <c r="H169" s="34" t="str">
        <f aca="false">IF($A169="","",Settings!$B$8)</f>
        <v/>
      </c>
      <c r="I169" s="27"/>
      <c r="J169" s="27"/>
      <c r="K169" s="27"/>
      <c r="L169" s="27"/>
      <c r="M169" s="28"/>
      <c r="N169" s="28"/>
      <c r="O169" s="32"/>
      <c r="P169" s="31" t="str">
        <f aca="false">IF($B169="","",IF(COUNTIF(Customers!$B$4:$B$1003,$B169)&gt;0,"Yes","No"))</f>
        <v/>
      </c>
      <c r="Q169" s="31" t="str">
        <f aca="true">IF($E169="","",IF($E169&gt;TODAY(),"Scheduled",TODAY()-$E169))</f>
        <v/>
      </c>
    </row>
    <row r="170" customFormat="false" ht="15.75" hidden="false" customHeight="true" outlineLevel="0" collapsed="false">
      <c r="A170" s="27"/>
      <c r="B170" s="28"/>
      <c r="C170" s="33" t="str">
        <f aca="false">IFERROR(INDEX('Lead Management'!$B$4:$B$1003,MATCH($B170,'Lead Management'!$A$4:$A$1003,0)),"")</f>
        <v/>
      </c>
      <c r="D170" s="33" t="str">
        <f aca="false">IFERROR(INDEX('Lead Management'!$C$4:$C$1003,MATCH($B170,'Lead Management'!$A$4:$A$1003,0)),"")</f>
        <v/>
      </c>
      <c r="E170" s="29"/>
      <c r="F170" s="27"/>
      <c r="G170" s="28"/>
      <c r="H170" s="34" t="str">
        <f aca="false">IF($A170="","",Settings!$B$8)</f>
        <v/>
      </c>
      <c r="I170" s="27"/>
      <c r="J170" s="27"/>
      <c r="K170" s="27"/>
      <c r="L170" s="27"/>
      <c r="M170" s="28"/>
      <c r="N170" s="28"/>
      <c r="O170" s="32"/>
      <c r="P170" s="31" t="str">
        <f aca="false">IF($B170="","",IF(COUNTIF(Customers!$B$4:$B$1003,$B170)&gt;0,"Yes","No"))</f>
        <v/>
      </c>
      <c r="Q170" s="31" t="str">
        <f aca="true">IF($E170="","",IF($E170&gt;TODAY(),"Scheduled",TODAY()-$E170))</f>
        <v/>
      </c>
    </row>
    <row r="171" customFormat="false" ht="15.75" hidden="false" customHeight="true" outlineLevel="0" collapsed="false">
      <c r="A171" s="27"/>
      <c r="B171" s="28"/>
      <c r="C171" s="33" t="str">
        <f aca="false">IFERROR(INDEX('Lead Management'!$B$4:$B$1003,MATCH($B171,'Lead Management'!$A$4:$A$1003,0)),"")</f>
        <v/>
      </c>
      <c r="D171" s="33" t="str">
        <f aca="false">IFERROR(INDEX('Lead Management'!$C$4:$C$1003,MATCH($B171,'Lead Management'!$A$4:$A$1003,0)),"")</f>
        <v/>
      </c>
      <c r="E171" s="29"/>
      <c r="F171" s="27"/>
      <c r="G171" s="28"/>
      <c r="H171" s="34" t="str">
        <f aca="false">IF($A171="","",Settings!$B$8)</f>
        <v/>
      </c>
      <c r="I171" s="27"/>
      <c r="J171" s="27"/>
      <c r="K171" s="27"/>
      <c r="L171" s="27"/>
      <c r="M171" s="28"/>
      <c r="N171" s="28"/>
      <c r="O171" s="32"/>
      <c r="P171" s="31" t="str">
        <f aca="false">IF($B171="","",IF(COUNTIF(Customers!$B$4:$B$1003,$B171)&gt;0,"Yes","No"))</f>
        <v/>
      </c>
      <c r="Q171" s="31" t="str">
        <f aca="true">IF($E171="","",IF($E171&gt;TODAY(),"Scheduled",TODAY()-$E171))</f>
        <v/>
      </c>
    </row>
    <row r="172" customFormat="false" ht="15.75" hidden="false" customHeight="true" outlineLevel="0" collapsed="false">
      <c r="A172" s="27"/>
      <c r="B172" s="28"/>
      <c r="C172" s="33" t="str">
        <f aca="false">IFERROR(INDEX('Lead Management'!$B$4:$B$1003,MATCH($B172,'Lead Management'!$A$4:$A$1003,0)),"")</f>
        <v/>
      </c>
      <c r="D172" s="33" t="str">
        <f aca="false">IFERROR(INDEX('Lead Management'!$C$4:$C$1003,MATCH($B172,'Lead Management'!$A$4:$A$1003,0)),"")</f>
        <v/>
      </c>
      <c r="E172" s="29"/>
      <c r="F172" s="27"/>
      <c r="G172" s="28"/>
      <c r="H172" s="34" t="str">
        <f aca="false">IF($A172="","",Settings!$B$8)</f>
        <v/>
      </c>
      <c r="I172" s="27"/>
      <c r="J172" s="27"/>
      <c r="K172" s="27"/>
      <c r="L172" s="27"/>
      <c r="M172" s="28"/>
      <c r="N172" s="28"/>
      <c r="O172" s="32"/>
      <c r="P172" s="31" t="str">
        <f aca="false">IF($B172="","",IF(COUNTIF(Customers!$B$4:$B$1003,$B172)&gt;0,"Yes","No"))</f>
        <v/>
      </c>
      <c r="Q172" s="31" t="str">
        <f aca="true">IF($E172="","",IF($E172&gt;TODAY(),"Scheduled",TODAY()-$E172))</f>
        <v/>
      </c>
    </row>
    <row r="173" customFormat="false" ht="15.75" hidden="false" customHeight="true" outlineLevel="0" collapsed="false">
      <c r="A173" s="27"/>
      <c r="B173" s="28"/>
      <c r="C173" s="33" t="str">
        <f aca="false">IFERROR(INDEX('Lead Management'!$B$4:$B$1003,MATCH($B173,'Lead Management'!$A$4:$A$1003,0)),"")</f>
        <v/>
      </c>
      <c r="D173" s="33" t="str">
        <f aca="false">IFERROR(INDEX('Lead Management'!$C$4:$C$1003,MATCH($B173,'Lead Management'!$A$4:$A$1003,0)),"")</f>
        <v/>
      </c>
      <c r="E173" s="29"/>
      <c r="F173" s="27"/>
      <c r="G173" s="28"/>
      <c r="H173" s="34" t="str">
        <f aca="false">IF($A173="","",Settings!$B$8)</f>
        <v/>
      </c>
      <c r="I173" s="27"/>
      <c r="J173" s="27"/>
      <c r="K173" s="27"/>
      <c r="L173" s="27"/>
      <c r="M173" s="28"/>
      <c r="N173" s="28"/>
      <c r="O173" s="32"/>
      <c r="P173" s="31" t="str">
        <f aca="false">IF($B173="","",IF(COUNTIF(Customers!$B$4:$B$1003,$B173)&gt;0,"Yes","No"))</f>
        <v/>
      </c>
      <c r="Q173" s="31" t="str">
        <f aca="true">IF($E173="","",IF($E173&gt;TODAY(),"Scheduled",TODAY()-$E173))</f>
        <v/>
      </c>
    </row>
    <row r="174" customFormat="false" ht="15.75" hidden="false" customHeight="true" outlineLevel="0" collapsed="false">
      <c r="A174" s="27"/>
      <c r="B174" s="28"/>
      <c r="C174" s="33" t="str">
        <f aca="false">IFERROR(INDEX('Lead Management'!$B$4:$B$1003,MATCH($B174,'Lead Management'!$A$4:$A$1003,0)),"")</f>
        <v/>
      </c>
      <c r="D174" s="33" t="str">
        <f aca="false">IFERROR(INDEX('Lead Management'!$C$4:$C$1003,MATCH($B174,'Lead Management'!$A$4:$A$1003,0)),"")</f>
        <v/>
      </c>
      <c r="E174" s="29"/>
      <c r="F174" s="27"/>
      <c r="G174" s="28"/>
      <c r="H174" s="34" t="str">
        <f aca="false">IF($A174="","",Settings!$B$8)</f>
        <v/>
      </c>
      <c r="I174" s="27"/>
      <c r="J174" s="27"/>
      <c r="K174" s="27"/>
      <c r="L174" s="27"/>
      <c r="M174" s="28"/>
      <c r="N174" s="28"/>
      <c r="O174" s="32"/>
      <c r="P174" s="31" t="str">
        <f aca="false">IF($B174="","",IF(COUNTIF(Customers!$B$4:$B$1003,$B174)&gt;0,"Yes","No"))</f>
        <v/>
      </c>
      <c r="Q174" s="31" t="str">
        <f aca="true">IF($E174="","",IF($E174&gt;TODAY(),"Scheduled",TODAY()-$E174))</f>
        <v/>
      </c>
    </row>
    <row r="175" customFormat="false" ht="15.75" hidden="false" customHeight="true" outlineLevel="0" collapsed="false">
      <c r="A175" s="27"/>
      <c r="B175" s="28"/>
      <c r="C175" s="33" t="str">
        <f aca="false">IFERROR(INDEX('Lead Management'!$B$4:$B$1003,MATCH($B175,'Lead Management'!$A$4:$A$1003,0)),"")</f>
        <v/>
      </c>
      <c r="D175" s="33" t="str">
        <f aca="false">IFERROR(INDEX('Lead Management'!$C$4:$C$1003,MATCH($B175,'Lead Management'!$A$4:$A$1003,0)),"")</f>
        <v/>
      </c>
      <c r="E175" s="29"/>
      <c r="F175" s="27"/>
      <c r="G175" s="28"/>
      <c r="H175" s="34" t="str">
        <f aca="false">IF($A175="","",Settings!$B$8)</f>
        <v/>
      </c>
      <c r="I175" s="27"/>
      <c r="J175" s="27"/>
      <c r="K175" s="27"/>
      <c r="L175" s="27"/>
      <c r="M175" s="28"/>
      <c r="N175" s="28"/>
      <c r="O175" s="32"/>
      <c r="P175" s="31" t="str">
        <f aca="false">IF($B175="","",IF(COUNTIF(Customers!$B$4:$B$1003,$B175)&gt;0,"Yes","No"))</f>
        <v/>
      </c>
      <c r="Q175" s="31" t="str">
        <f aca="true">IF($E175="","",IF($E175&gt;TODAY(),"Scheduled",TODAY()-$E175))</f>
        <v/>
      </c>
    </row>
    <row r="176" customFormat="false" ht="15.75" hidden="false" customHeight="true" outlineLevel="0" collapsed="false">
      <c r="A176" s="27"/>
      <c r="B176" s="28"/>
      <c r="C176" s="33" t="str">
        <f aca="false">IFERROR(INDEX('Lead Management'!$B$4:$B$1003,MATCH($B176,'Lead Management'!$A$4:$A$1003,0)),"")</f>
        <v/>
      </c>
      <c r="D176" s="33" t="str">
        <f aca="false">IFERROR(INDEX('Lead Management'!$C$4:$C$1003,MATCH($B176,'Lead Management'!$A$4:$A$1003,0)),"")</f>
        <v/>
      </c>
      <c r="E176" s="29"/>
      <c r="F176" s="27"/>
      <c r="G176" s="28"/>
      <c r="H176" s="34" t="str">
        <f aca="false">IF($A176="","",Settings!$B$8)</f>
        <v/>
      </c>
      <c r="I176" s="27"/>
      <c r="J176" s="27"/>
      <c r="K176" s="27"/>
      <c r="L176" s="27"/>
      <c r="M176" s="28"/>
      <c r="N176" s="28"/>
      <c r="O176" s="32"/>
      <c r="P176" s="31" t="str">
        <f aca="false">IF($B176="","",IF(COUNTIF(Customers!$B$4:$B$1003,$B176)&gt;0,"Yes","No"))</f>
        <v/>
      </c>
      <c r="Q176" s="31" t="str">
        <f aca="true">IF($E176="","",IF($E176&gt;TODAY(),"Scheduled",TODAY()-$E176))</f>
        <v/>
      </c>
    </row>
    <row r="177" customFormat="false" ht="15.75" hidden="false" customHeight="true" outlineLevel="0" collapsed="false">
      <c r="A177" s="27"/>
      <c r="B177" s="28"/>
      <c r="C177" s="33" t="str">
        <f aca="false">IFERROR(INDEX('Lead Management'!$B$4:$B$1003,MATCH($B177,'Lead Management'!$A$4:$A$1003,0)),"")</f>
        <v/>
      </c>
      <c r="D177" s="33" t="str">
        <f aca="false">IFERROR(INDEX('Lead Management'!$C$4:$C$1003,MATCH($B177,'Lead Management'!$A$4:$A$1003,0)),"")</f>
        <v/>
      </c>
      <c r="E177" s="29"/>
      <c r="F177" s="27"/>
      <c r="G177" s="28"/>
      <c r="H177" s="34" t="str">
        <f aca="false">IF($A177="","",Settings!$B$8)</f>
        <v/>
      </c>
      <c r="I177" s="27"/>
      <c r="J177" s="27"/>
      <c r="K177" s="27"/>
      <c r="L177" s="27"/>
      <c r="M177" s="28"/>
      <c r="N177" s="28"/>
      <c r="O177" s="32"/>
      <c r="P177" s="31" t="str">
        <f aca="false">IF($B177="","",IF(COUNTIF(Customers!$B$4:$B$1003,$B177)&gt;0,"Yes","No"))</f>
        <v/>
      </c>
      <c r="Q177" s="31" t="str">
        <f aca="true">IF($E177="","",IF($E177&gt;TODAY(),"Scheduled",TODAY()-$E177))</f>
        <v/>
      </c>
    </row>
    <row r="178" customFormat="false" ht="15.75" hidden="false" customHeight="true" outlineLevel="0" collapsed="false">
      <c r="A178" s="27"/>
      <c r="B178" s="28"/>
      <c r="C178" s="33" t="str">
        <f aca="false">IFERROR(INDEX('Lead Management'!$B$4:$B$1003,MATCH($B178,'Lead Management'!$A$4:$A$1003,0)),"")</f>
        <v/>
      </c>
      <c r="D178" s="33" t="str">
        <f aca="false">IFERROR(INDEX('Lead Management'!$C$4:$C$1003,MATCH($B178,'Lead Management'!$A$4:$A$1003,0)),"")</f>
        <v/>
      </c>
      <c r="E178" s="29"/>
      <c r="F178" s="27"/>
      <c r="G178" s="28"/>
      <c r="H178" s="34" t="str">
        <f aca="false">IF($A178="","",Settings!$B$8)</f>
        <v/>
      </c>
      <c r="I178" s="27"/>
      <c r="J178" s="27"/>
      <c r="K178" s="27"/>
      <c r="L178" s="27"/>
      <c r="M178" s="28"/>
      <c r="N178" s="28"/>
      <c r="O178" s="32"/>
      <c r="P178" s="31" t="str">
        <f aca="false">IF($B178="","",IF(COUNTIF(Customers!$B$4:$B$1003,$B178)&gt;0,"Yes","No"))</f>
        <v/>
      </c>
      <c r="Q178" s="31" t="str">
        <f aca="true">IF($E178="","",IF($E178&gt;TODAY(),"Scheduled",TODAY()-$E178))</f>
        <v/>
      </c>
    </row>
    <row r="179" customFormat="false" ht="15.75" hidden="false" customHeight="true" outlineLevel="0" collapsed="false">
      <c r="A179" s="27"/>
      <c r="B179" s="28"/>
      <c r="C179" s="33" t="str">
        <f aca="false">IFERROR(INDEX('Lead Management'!$B$4:$B$1003,MATCH($B179,'Lead Management'!$A$4:$A$1003,0)),"")</f>
        <v/>
      </c>
      <c r="D179" s="33" t="str">
        <f aca="false">IFERROR(INDEX('Lead Management'!$C$4:$C$1003,MATCH($B179,'Lead Management'!$A$4:$A$1003,0)),"")</f>
        <v/>
      </c>
      <c r="E179" s="29"/>
      <c r="F179" s="27"/>
      <c r="G179" s="28"/>
      <c r="H179" s="34" t="str">
        <f aca="false">IF($A179="","",Settings!$B$8)</f>
        <v/>
      </c>
      <c r="I179" s="27"/>
      <c r="J179" s="27"/>
      <c r="K179" s="27"/>
      <c r="L179" s="27"/>
      <c r="M179" s="28"/>
      <c r="N179" s="28"/>
      <c r="O179" s="32"/>
      <c r="P179" s="31" t="str">
        <f aca="false">IF($B179="","",IF(COUNTIF(Customers!$B$4:$B$1003,$B179)&gt;0,"Yes","No"))</f>
        <v/>
      </c>
      <c r="Q179" s="31" t="str">
        <f aca="true">IF($E179="","",IF($E179&gt;TODAY(),"Scheduled",TODAY()-$E179))</f>
        <v/>
      </c>
    </row>
    <row r="180" customFormat="false" ht="15.75" hidden="false" customHeight="true" outlineLevel="0" collapsed="false">
      <c r="A180" s="27"/>
      <c r="B180" s="28"/>
      <c r="C180" s="33" t="str">
        <f aca="false">IFERROR(INDEX('Lead Management'!$B$4:$B$1003,MATCH($B180,'Lead Management'!$A$4:$A$1003,0)),"")</f>
        <v/>
      </c>
      <c r="D180" s="33" t="str">
        <f aca="false">IFERROR(INDEX('Lead Management'!$C$4:$C$1003,MATCH($B180,'Lead Management'!$A$4:$A$1003,0)),"")</f>
        <v/>
      </c>
      <c r="E180" s="29"/>
      <c r="F180" s="27"/>
      <c r="G180" s="28"/>
      <c r="H180" s="34" t="str">
        <f aca="false">IF($A180="","",Settings!$B$8)</f>
        <v/>
      </c>
      <c r="I180" s="27"/>
      <c r="J180" s="27"/>
      <c r="K180" s="27"/>
      <c r="L180" s="27"/>
      <c r="M180" s="28"/>
      <c r="N180" s="28"/>
      <c r="O180" s="32"/>
      <c r="P180" s="31" t="str">
        <f aca="false">IF($B180="","",IF(COUNTIF(Customers!$B$4:$B$1003,$B180)&gt;0,"Yes","No"))</f>
        <v/>
      </c>
      <c r="Q180" s="31" t="str">
        <f aca="true">IF($E180="","",IF($E180&gt;TODAY(),"Scheduled",TODAY()-$E180))</f>
        <v/>
      </c>
    </row>
    <row r="181" customFormat="false" ht="15.75" hidden="false" customHeight="true" outlineLevel="0" collapsed="false">
      <c r="A181" s="27"/>
      <c r="B181" s="28"/>
      <c r="C181" s="33" t="str">
        <f aca="false">IFERROR(INDEX('Lead Management'!$B$4:$B$1003,MATCH($B181,'Lead Management'!$A$4:$A$1003,0)),"")</f>
        <v/>
      </c>
      <c r="D181" s="33" t="str">
        <f aca="false">IFERROR(INDEX('Lead Management'!$C$4:$C$1003,MATCH($B181,'Lead Management'!$A$4:$A$1003,0)),"")</f>
        <v/>
      </c>
      <c r="E181" s="29"/>
      <c r="F181" s="27"/>
      <c r="G181" s="28"/>
      <c r="H181" s="34" t="str">
        <f aca="false">IF($A181="","",Settings!$B$8)</f>
        <v/>
      </c>
      <c r="I181" s="27"/>
      <c r="J181" s="27"/>
      <c r="K181" s="27"/>
      <c r="L181" s="27"/>
      <c r="M181" s="28"/>
      <c r="N181" s="28"/>
      <c r="O181" s="32"/>
      <c r="P181" s="31" t="str">
        <f aca="false">IF($B181="","",IF(COUNTIF(Customers!$B$4:$B$1003,$B181)&gt;0,"Yes","No"))</f>
        <v/>
      </c>
      <c r="Q181" s="31" t="str">
        <f aca="true">IF($E181="","",IF($E181&gt;TODAY(),"Scheduled",TODAY()-$E181))</f>
        <v/>
      </c>
    </row>
    <row r="182" customFormat="false" ht="15.75" hidden="false" customHeight="true" outlineLevel="0" collapsed="false">
      <c r="A182" s="27"/>
      <c r="B182" s="28"/>
      <c r="C182" s="33" t="str">
        <f aca="false">IFERROR(INDEX('Lead Management'!$B$4:$B$1003,MATCH($B182,'Lead Management'!$A$4:$A$1003,0)),"")</f>
        <v/>
      </c>
      <c r="D182" s="33" t="str">
        <f aca="false">IFERROR(INDEX('Lead Management'!$C$4:$C$1003,MATCH($B182,'Lead Management'!$A$4:$A$1003,0)),"")</f>
        <v/>
      </c>
      <c r="E182" s="29"/>
      <c r="F182" s="27"/>
      <c r="G182" s="28"/>
      <c r="H182" s="34" t="str">
        <f aca="false">IF($A182="","",Settings!$B$8)</f>
        <v/>
      </c>
      <c r="I182" s="27"/>
      <c r="J182" s="27"/>
      <c r="K182" s="27"/>
      <c r="L182" s="27"/>
      <c r="M182" s="28"/>
      <c r="N182" s="28"/>
      <c r="O182" s="32"/>
      <c r="P182" s="31" t="str">
        <f aca="false">IF($B182="","",IF(COUNTIF(Customers!$B$4:$B$1003,$B182)&gt;0,"Yes","No"))</f>
        <v/>
      </c>
      <c r="Q182" s="31" t="str">
        <f aca="true">IF($E182="","",IF($E182&gt;TODAY(),"Scheduled",TODAY()-$E182))</f>
        <v/>
      </c>
    </row>
    <row r="183" customFormat="false" ht="15.75" hidden="false" customHeight="true" outlineLevel="0" collapsed="false">
      <c r="A183" s="27"/>
      <c r="B183" s="28"/>
      <c r="C183" s="33" t="str">
        <f aca="false">IFERROR(INDEX('Lead Management'!$B$4:$B$1003,MATCH($B183,'Lead Management'!$A$4:$A$1003,0)),"")</f>
        <v/>
      </c>
      <c r="D183" s="33" t="str">
        <f aca="false">IFERROR(INDEX('Lead Management'!$C$4:$C$1003,MATCH($B183,'Lead Management'!$A$4:$A$1003,0)),"")</f>
        <v/>
      </c>
      <c r="E183" s="29"/>
      <c r="F183" s="27"/>
      <c r="G183" s="28"/>
      <c r="H183" s="34" t="str">
        <f aca="false">IF($A183="","",Settings!$B$8)</f>
        <v/>
      </c>
      <c r="I183" s="27"/>
      <c r="J183" s="27"/>
      <c r="K183" s="27"/>
      <c r="L183" s="27"/>
      <c r="M183" s="28"/>
      <c r="N183" s="28"/>
      <c r="O183" s="32"/>
      <c r="P183" s="31" t="str">
        <f aca="false">IF($B183="","",IF(COUNTIF(Customers!$B$4:$B$1003,$B183)&gt;0,"Yes","No"))</f>
        <v/>
      </c>
      <c r="Q183" s="31" t="str">
        <f aca="true">IF($E183="","",IF($E183&gt;TODAY(),"Scheduled",TODAY()-$E183))</f>
        <v/>
      </c>
    </row>
    <row r="184" customFormat="false" ht="15.75" hidden="false" customHeight="true" outlineLevel="0" collapsed="false">
      <c r="A184" s="27"/>
      <c r="B184" s="28"/>
      <c r="C184" s="33" t="str">
        <f aca="false">IFERROR(INDEX('Lead Management'!$B$4:$B$1003,MATCH($B184,'Lead Management'!$A$4:$A$1003,0)),"")</f>
        <v/>
      </c>
      <c r="D184" s="33" t="str">
        <f aca="false">IFERROR(INDEX('Lead Management'!$C$4:$C$1003,MATCH($B184,'Lead Management'!$A$4:$A$1003,0)),"")</f>
        <v/>
      </c>
      <c r="E184" s="29"/>
      <c r="F184" s="27"/>
      <c r="G184" s="28"/>
      <c r="H184" s="34" t="str">
        <f aca="false">IF($A184="","",Settings!$B$8)</f>
        <v/>
      </c>
      <c r="I184" s="27"/>
      <c r="J184" s="27"/>
      <c r="K184" s="27"/>
      <c r="L184" s="27"/>
      <c r="M184" s="28"/>
      <c r="N184" s="28"/>
      <c r="O184" s="32"/>
      <c r="P184" s="31" t="str">
        <f aca="false">IF($B184="","",IF(COUNTIF(Customers!$B$4:$B$1003,$B184)&gt;0,"Yes","No"))</f>
        <v/>
      </c>
      <c r="Q184" s="31" t="str">
        <f aca="true">IF($E184="","",IF($E184&gt;TODAY(),"Scheduled",TODAY()-$E184))</f>
        <v/>
      </c>
    </row>
    <row r="185" customFormat="false" ht="15.75" hidden="false" customHeight="true" outlineLevel="0" collapsed="false">
      <c r="A185" s="27"/>
      <c r="B185" s="28"/>
      <c r="C185" s="33" t="str">
        <f aca="false">IFERROR(INDEX('Lead Management'!$B$4:$B$1003,MATCH($B185,'Lead Management'!$A$4:$A$1003,0)),"")</f>
        <v/>
      </c>
      <c r="D185" s="33" t="str">
        <f aca="false">IFERROR(INDEX('Lead Management'!$C$4:$C$1003,MATCH($B185,'Lead Management'!$A$4:$A$1003,0)),"")</f>
        <v/>
      </c>
      <c r="E185" s="29"/>
      <c r="F185" s="27"/>
      <c r="G185" s="28"/>
      <c r="H185" s="34" t="str">
        <f aca="false">IF($A185="","",Settings!$B$8)</f>
        <v/>
      </c>
      <c r="I185" s="27"/>
      <c r="J185" s="27"/>
      <c r="K185" s="27"/>
      <c r="L185" s="27"/>
      <c r="M185" s="28"/>
      <c r="N185" s="28"/>
      <c r="O185" s="32"/>
      <c r="P185" s="31" t="str">
        <f aca="false">IF($B185="","",IF(COUNTIF(Customers!$B$4:$B$1003,$B185)&gt;0,"Yes","No"))</f>
        <v/>
      </c>
      <c r="Q185" s="31" t="str">
        <f aca="true">IF($E185="","",IF($E185&gt;TODAY(),"Scheduled",TODAY()-$E185))</f>
        <v/>
      </c>
    </row>
    <row r="186" customFormat="false" ht="15.75" hidden="false" customHeight="true" outlineLevel="0" collapsed="false">
      <c r="A186" s="27"/>
      <c r="B186" s="28"/>
      <c r="C186" s="33" t="str">
        <f aca="false">IFERROR(INDEX('Lead Management'!$B$4:$B$1003,MATCH($B186,'Lead Management'!$A$4:$A$1003,0)),"")</f>
        <v/>
      </c>
      <c r="D186" s="33" t="str">
        <f aca="false">IFERROR(INDEX('Lead Management'!$C$4:$C$1003,MATCH($B186,'Lead Management'!$A$4:$A$1003,0)),"")</f>
        <v/>
      </c>
      <c r="E186" s="29"/>
      <c r="F186" s="27"/>
      <c r="G186" s="28"/>
      <c r="H186" s="34" t="str">
        <f aca="false">IF($A186="","",Settings!$B$8)</f>
        <v/>
      </c>
      <c r="I186" s="27"/>
      <c r="J186" s="27"/>
      <c r="K186" s="27"/>
      <c r="L186" s="27"/>
      <c r="M186" s="28"/>
      <c r="N186" s="28"/>
      <c r="O186" s="32"/>
      <c r="P186" s="31" t="str">
        <f aca="false">IF($B186="","",IF(COUNTIF(Customers!$B$4:$B$1003,$B186)&gt;0,"Yes","No"))</f>
        <v/>
      </c>
      <c r="Q186" s="31" t="str">
        <f aca="true">IF($E186="","",IF($E186&gt;TODAY(),"Scheduled",TODAY()-$E186))</f>
        <v/>
      </c>
    </row>
    <row r="187" customFormat="false" ht="15.75" hidden="false" customHeight="true" outlineLevel="0" collapsed="false">
      <c r="A187" s="27"/>
      <c r="B187" s="28"/>
      <c r="C187" s="33" t="str">
        <f aca="false">IFERROR(INDEX('Lead Management'!$B$4:$B$1003,MATCH($B187,'Lead Management'!$A$4:$A$1003,0)),"")</f>
        <v/>
      </c>
      <c r="D187" s="33" t="str">
        <f aca="false">IFERROR(INDEX('Lead Management'!$C$4:$C$1003,MATCH($B187,'Lead Management'!$A$4:$A$1003,0)),"")</f>
        <v/>
      </c>
      <c r="E187" s="29"/>
      <c r="F187" s="27"/>
      <c r="G187" s="28"/>
      <c r="H187" s="34" t="str">
        <f aca="false">IF($A187="","",Settings!$B$8)</f>
        <v/>
      </c>
      <c r="I187" s="27"/>
      <c r="J187" s="27"/>
      <c r="K187" s="27"/>
      <c r="L187" s="27"/>
      <c r="M187" s="28"/>
      <c r="N187" s="28"/>
      <c r="O187" s="32"/>
      <c r="P187" s="31" t="str">
        <f aca="false">IF($B187="","",IF(COUNTIF(Customers!$B$4:$B$1003,$B187)&gt;0,"Yes","No"))</f>
        <v/>
      </c>
      <c r="Q187" s="31" t="str">
        <f aca="true">IF($E187="","",IF($E187&gt;TODAY(),"Scheduled",TODAY()-$E187))</f>
        <v/>
      </c>
    </row>
    <row r="188" customFormat="false" ht="15.75" hidden="false" customHeight="true" outlineLevel="0" collapsed="false">
      <c r="A188" s="27"/>
      <c r="B188" s="28"/>
      <c r="C188" s="33" t="str">
        <f aca="false">IFERROR(INDEX('Lead Management'!$B$4:$B$1003,MATCH($B188,'Lead Management'!$A$4:$A$1003,0)),"")</f>
        <v/>
      </c>
      <c r="D188" s="33" t="str">
        <f aca="false">IFERROR(INDEX('Lead Management'!$C$4:$C$1003,MATCH($B188,'Lead Management'!$A$4:$A$1003,0)),"")</f>
        <v/>
      </c>
      <c r="E188" s="29"/>
      <c r="F188" s="27"/>
      <c r="G188" s="28"/>
      <c r="H188" s="34" t="str">
        <f aca="false">IF($A188="","",Settings!$B$8)</f>
        <v/>
      </c>
      <c r="I188" s="27"/>
      <c r="J188" s="27"/>
      <c r="K188" s="27"/>
      <c r="L188" s="27"/>
      <c r="M188" s="28"/>
      <c r="N188" s="28"/>
      <c r="O188" s="32"/>
      <c r="P188" s="31" t="str">
        <f aca="false">IF($B188="","",IF(COUNTIF(Customers!$B$4:$B$1003,$B188)&gt;0,"Yes","No"))</f>
        <v/>
      </c>
      <c r="Q188" s="31" t="str">
        <f aca="true">IF($E188="","",IF($E188&gt;TODAY(),"Scheduled",TODAY()-$E188))</f>
        <v/>
      </c>
    </row>
    <row r="189" customFormat="false" ht="15.75" hidden="false" customHeight="true" outlineLevel="0" collapsed="false">
      <c r="A189" s="27"/>
      <c r="B189" s="28"/>
      <c r="C189" s="33" t="str">
        <f aca="false">IFERROR(INDEX('Lead Management'!$B$4:$B$1003,MATCH($B189,'Lead Management'!$A$4:$A$1003,0)),"")</f>
        <v/>
      </c>
      <c r="D189" s="33" t="str">
        <f aca="false">IFERROR(INDEX('Lead Management'!$C$4:$C$1003,MATCH($B189,'Lead Management'!$A$4:$A$1003,0)),"")</f>
        <v/>
      </c>
      <c r="E189" s="29"/>
      <c r="F189" s="27"/>
      <c r="G189" s="28"/>
      <c r="H189" s="34" t="str">
        <f aca="false">IF($A189="","",Settings!$B$8)</f>
        <v/>
      </c>
      <c r="I189" s="27"/>
      <c r="J189" s="27"/>
      <c r="K189" s="27"/>
      <c r="L189" s="27"/>
      <c r="M189" s="28"/>
      <c r="N189" s="28"/>
      <c r="O189" s="32"/>
      <c r="P189" s="31" t="str">
        <f aca="false">IF($B189="","",IF(COUNTIF(Customers!$B$4:$B$1003,$B189)&gt;0,"Yes","No"))</f>
        <v/>
      </c>
      <c r="Q189" s="31" t="str">
        <f aca="true">IF($E189="","",IF($E189&gt;TODAY(),"Scheduled",TODAY()-$E189))</f>
        <v/>
      </c>
    </row>
    <row r="190" customFormat="false" ht="15.75" hidden="false" customHeight="true" outlineLevel="0" collapsed="false">
      <c r="A190" s="27"/>
      <c r="B190" s="28"/>
      <c r="C190" s="33" t="str">
        <f aca="false">IFERROR(INDEX('Lead Management'!$B$4:$B$1003,MATCH($B190,'Lead Management'!$A$4:$A$1003,0)),"")</f>
        <v/>
      </c>
      <c r="D190" s="33" t="str">
        <f aca="false">IFERROR(INDEX('Lead Management'!$C$4:$C$1003,MATCH($B190,'Lead Management'!$A$4:$A$1003,0)),"")</f>
        <v/>
      </c>
      <c r="E190" s="29"/>
      <c r="F190" s="27"/>
      <c r="G190" s="28"/>
      <c r="H190" s="34" t="str">
        <f aca="false">IF($A190="","",Settings!$B$8)</f>
        <v/>
      </c>
      <c r="I190" s="27"/>
      <c r="J190" s="27"/>
      <c r="K190" s="27"/>
      <c r="L190" s="27"/>
      <c r="M190" s="28"/>
      <c r="N190" s="28"/>
      <c r="O190" s="32"/>
      <c r="P190" s="31" t="str">
        <f aca="false">IF($B190="","",IF(COUNTIF(Customers!$B$4:$B$1003,$B190)&gt;0,"Yes","No"))</f>
        <v/>
      </c>
      <c r="Q190" s="31" t="str">
        <f aca="true">IF($E190="","",IF($E190&gt;TODAY(),"Scheduled",TODAY()-$E190))</f>
        <v/>
      </c>
    </row>
    <row r="191" customFormat="false" ht="15.75" hidden="false" customHeight="true" outlineLevel="0" collapsed="false">
      <c r="A191" s="27"/>
      <c r="B191" s="28"/>
      <c r="C191" s="33" t="str">
        <f aca="false">IFERROR(INDEX('Lead Management'!$B$4:$B$1003,MATCH($B191,'Lead Management'!$A$4:$A$1003,0)),"")</f>
        <v/>
      </c>
      <c r="D191" s="33" t="str">
        <f aca="false">IFERROR(INDEX('Lead Management'!$C$4:$C$1003,MATCH($B191,'Lead Management'!$A$4:$A$1003,0)),"")</f>
        <v/>
      </c>
      <c r="E191" s="29"/>
      <c r="F191" s="27"/>
      <c r="G191" s="28"/>
      <c r="H191" s="34" t="str">
        <f aca="false">IF($A191="","",Settings!$B$8)</f>
        <v/>
      </c>
      <c r="I191" s="27"/>
      <c r="J191" s="27"/>
      <c r="K191" s="27"/>
      <c r="L191" s="27"/>
      <c r="M191" s="28"/>
      <c r="N191" s="28"/>
      <c r="O191" s="32"/>
      <c r="P191" s="31" t="str">
        <f aca="false">IF($B191="","",IF(COUNTIF(Customers!$B$4:$B$1003,$B191)&gt;0,"Yes","No"))</f>
        <v/>
      </c>
      <c r="Q191" s="31" t="str">
        <f aca="true">IF($E191="","",IF($E191&gt;TODAY(),"Scheduled",TODAY()-$E191))</f>
        <v/>
      </c>
    </row>
    <row r="192" customFormat="false" ht="15.75" hidden="false" customHeight="true" outlineLevel="0" collapsed="false">
      <c r="A192" s="27"/>
      <c r="B192" s="28"/>
      <c r="C192" s="33" t="str">
        <f aca="false">IFERROR(INDEX('Lead Management'!$B$4:$B$1003,MATCH($B192,'Lead Management'!$A$4:$A$1003,0)),"")</f>
        <v/>
      </c>
      <c r="D192" s="33" t="str">
        <f aca="false">IFERROR(INDEX('Lead Management'!$C$4:$C$1003,MATCH($B192,'Lead Management'!$A$4:$A$1003,0)),"")</f>
        <v/>
      </c>
      <c r="E192" s="29"/>
      <c r="F192" s="27"/>
      <c r="G192" s="28"/>
      <c r="H192" s="34" t="str">
        <f aca="false">IF($A192="","",Settings!$B$8)</f>
        <v/>
      </c>
      <c r="I192" s="27"/>
      <c r="J192" s="27"/>
      <c r="K192" s="27"/>
      <c r="L192" s="27"/>
      <c r="M192" s="28"/>
      <c r="N192" s="28"/>
      <c r="O192" s="32"/>
      <c r="P192" s="31" t="str">
        <f aca="false">IF($B192="","",IF(COUNTIF(Customers!$B$4:$B$1003,$B192)&gt;0,"Yes","No"))</f>
        <v/>
      </c>
      <c r="Q192" s="31" t="str">
        <f aca="true">IF($E192="","",IF($E192&gt;TODAY(),"Scheduled",TODAY()-$E192))</f>
        <v/>
      </c>
    </row>
    <row r="193" customFormat="false" ht="15.75" hidden="false" customHeight="true" outlineLevel="0" collapsed="false">
      <c r="A193" s="27"/>
      <c r="B193" s="28"/>
      <c r="C193" s="33" t="str">
        <f aca="false">IFERROR(INDEX('Lead Management'!$B$4:$B$1003,MATCH($B193,'Lead Management'!$A$4:$A$1003,0)),"")</f>
        <v/>
      </c>
      <c r="D193" s="33" t="str">
        <f aca="false">IFERROR(INDEX('Lead Management'!$C$4:$C$1003,MATCH($B193,'Lead Management'!$A$4:$A$1003,0)),"")</f>
        <v/>
      </c>
      <c r="E193" s="29"/>
      <c r="F193" s="27"/>
      <c r="G193" s="28"/>
      <c r="H193" s="34" t="str">
        <f aca="false">IF($A193="","",Settings!$B$8)</f>
        <v/>
      </c>
      <c r="I193" s="27"/>
      <c r="J193" s="27"/>
      <c r="K193" s="27"/>
      <c r="L193" s="27"/>
      <c r="M193" s="28"/>
      <c r="N193" s="28"/>
      <c r="O193" s="32"/>
      <c r="P193" s="31" t="str">
        <f aca="false">IF($B193="","",IF(COUNTIF(Customers!$B$4:$B$1003,$B193)&gt;0,"Yes","No"))</f>
        <v/>
      </c>
      <c r="Q193" s="31" t="str">
        <f aca="true">IF($E193="","",IF($E193&gt;TODAY(),"Scheduled",TODAY()-$E193))</f>
        <v/>
      </c>
    </row>
    <row r="194" customFormat="false" ht="15.75" hidden="false" customHeight="true" outlineLevel="0" collapsed="false">
      <c r="A194" s="27"/>
      <c r="B194" s="28"/>
      <c r="C194" s="33" t="str">
        <f aca="false">IFERROR(INDEX('Lead Management'!$B$4:$B$1003,MATCH($B194,'Lead Management'!$A$4:$A$1003,0)),"")</f>
        <v/>
      </c>
      <c r="D194" s="33" t="str">
        <f aca="false">IFERROR(INDEX('Lead Management'!$C$4:$C$1003,MATCH($B194,'Lead Management'!$A$4:$A$1003,0)),"")</f>
        <v/>
      </c>
      <c r="E194" s="29"/>
      <c r="F194" s="27"/>
      <c r="G194" s="28"/>
      <c r="H194" s="34" t="str">
        <f aca="false">IF($A194="","",Settings!$B$8)</f>
        <v/>
      </c>
      <c r="I194" s="27"/>
      <c r="J194" s="27"/>
      <c r="K194" s="27"/>
      <c r="L194" s="27"/>
      <c r="M194" s="28"/>
      <c r="N194" s="28"/>
      <c r="O194" s="32"/>
      <c r="P194" s="31" t="str">
        <f aca="false">IF($B194="","",IF(COUNTIF(Customers!$B$4:$B$1003,$B194)&gt;0,"Yes","No"))</f>
        <v/>
      </c>
      <c r="Q194" s="31" t="str">
        <f aca="true">IF($E194="","",IF($E194&gt;TODAY(),"Scheduled",TODAY()-$E194))</f>
        <v/>
      </c>
    </row>
    <row r="195" customFormat="false" ht="15.75" hidden="false" customHeight="true" outlineLevel="0" collapsed="false">
      <c r="A195" s="27"/>
      <c r="B195" s="28"/>
      <c r="C195" s="33" t="str">
        <f aca="false">IFERROR(INDEX('Lead Management'!$B$4:$B$1003,MATCH($B195,'Lead Management'!$A$4:$A$1003,0)),"")</f>
        <v/>
      </c>
      <c r="D195" s="33" t="str">
        <f aca="false">IFERROR(INDEX('Lead Management'!$C$4:$C$1003,MATCH($B195,'Lead Management'!$A$4:$A$1003,0)),"")</f>
        <v/>
      </c>
      <c r="E195" s="29"/>
      <c r="F195" s="27"/>
      <c r="G195" s="28"/>
      <c r="H195" s="34" t="str">
        <f aca="false">IF($A195="","",Settings!$B$8)</f>
        <v/>
      </c>
      <c r="I195" s="27"/>
      <c r="J195" s="27"/>
      <c r="K195" s="27"/>
      <c r="L195" s="27"/>
      <c r="M195" s="28"/>
      <c r="N195" s="28"/>
      <c r="O195" s="32"/>
      <c r="P195" s="31" t="str">
        <f aca="false">IF($B195="","",IF(COUNTIF(Customers!$B$4:$B$1003,$B195)&gt;0,"Yes","No"))</f>
        <v/>
      </c>
      <c r="Q195" s="31" t="str">
        <f aca="true">IF($E195="","",IF($E195&gt;TODAY(),"Scheduled",TODAY()-$E195))</f>
        <v/>
      </c>
    </row>
    <row r="196" customFormat="false" ht="15.75" hidden="false" customHeight="true" outlineLevel="0" collapsed="false">
      <c r="A196" s="27"/>
      <c r="B196" s="28"/>
      <c r="C196" s="33" t="str">
        <f aca="false">IFERROR(INDEX('Lead Management'!$B$4:$B$1003,MATCH($B196,'Lead Management'!$A$4:$A$1003,0)),"")</f>
        <v/>
      </c>
      <c r="D196" s="33" t="str">
        <f aca="false">IFERROR(INDEX('Lead Management'!$C$4:$C$1003,MATCH($B196,'Lead Management'!$A$4:$A$1003,0)),"")</f>
        <v/>
      </c>
      <c r="E196" s="29"/>
      <c r="F196" s="27"/>
      <c r="G196" s="28"/>
      <c r="H196" s="34" t="str">
        <f aca="false">IF($A196="","",Settings!$B$8)</f>
        <v/>
      </c>
      <c r="I196" s="27"/>
      <c r="J196" s="27"/>
      <c r="K196" s="27"/>
      <c r="L196" s="27"/>
      <c r="M196" s="28"/>
      <c r="N196" s="28"/>
      <c r="O196" s="32"/>
      <c r="P196" s="31" t="str">
        <f aca="false">IF($B196="","",IF(COUNTIF(Customers!$B$4:$B$1003,$B196)&gt;0,"Yes","No"))</f>
        <v/>
      </c>
      <c r="Q196" s="31" t="str">
        <f aca="true">IF($E196="","",IF($E196&gt;TODAY(),"Scheduled",TODAY()-$E196))</f>
        <v/>
      </c>
    </row>
    <row r="197" customFormat="false" ht="15.75" hidden="false" customHeight="true" outlineLevel="0" collapsed="false">
      <c r="A197" s="27"/>
      <c r="B197" s="28"/>
      <c r="C197" s="33" t="str">
        <f aca="false">IFERROR(INDEX('Lead Management'!$B$4:$B$1003,MATCH($B197,'Lead Management'!$A$4:$A$1003,0)),"")</f>
        <v/>
      </c>
      <c r="D197" s="33" t="str">
        <f aca="false">IFERROR(INDEX('Lead Management'!$C$4:$C$1003,MATCH($B197,'Lead Management'!$A$4:$A$1003,0)),"")</f>
        <v/>
      </c>
      <c r="E197" s="29"/>
      <c r="F197" s="27"/>
      <c r="G197" s="28"/>
      <c r="H197" s="34" t="str">
        <f aca="false">IF($A197="","",Settings!$B$8)</f>
        <v/>
      </c>
      <c r="I197" s="27"/>
      <c r="J197" s="27"/>
      <c r="K197" s="27"/>
      <c r="L197" s="27"/>
      <c r="M197" s="28"/>
      <c r="N197" s="28"/>
      <c r="O197" s="32"/>
      <c r="P197" s="31" t="str">
        <f aca="false">IF($B197="","",IF(COUNTIF(Customers!$B$4:$B$1003,$B197)&gt;0,"Yes","No"))</f>
        <v/>
      </c>
      <c r="Q197" s="31" t="str">
        <f aca="true">IF($E197="","",IF($E197&gt;TODAY(),"Scheduled",TODAY()-$E197))</f>
        <v/>
      </c>
    </row>
    <row r="198" customFormat="false" ht="15.75" hidden="false" customHeight="true" outlineLevel="0" collapsed="false">
      <c r="A198" s="27"/>
      <c r="B198" s="28"/>
      <c r="C198" s="33" t="str">
        <f aca="false">IFERROR(INDEX('Lead Management'!$B$4:$B$1003,MATCH($B198,'Lead Management'!$A$4:$A$1003,0)),"")</f>
        <v/>
      </c>
      <c r="D198" s="33" t="str">
        <f aca="false">IFERROR(INDEX('Lead Management'!$C$4:$C$1003,MATCH($B198,'Lead Management'!$A$4:$A$1003,0)),"")</f>
        <v/>
      </c>
      <c r="E198" s="29"/>
      <c r="F198" s="27"/>
      <c r="G198" s="28"/>
      <c r="H198" s="34" t="str">
        <f aca="false">IF($A198="","",Settings!$B$8)</f>
        <v/>
      </c>
      <c r="I198" s="27"/>
      <c r="J198" s="27"/>
      <c r="K198" s="27"/>
      <c r="L198" s="27"/>
      <c r="M198" s="28"/>
      <c r="N198" s="28"/>
      <c r="O198" s="32"/>
      <c r="P198" s="31" t="str">
        <f aca="false">IF($B198="","",IF(COUNTIF(Customers!$B$4:$B$1003,$B198)&gt;0,"Yes","No"))</f>
        <v/>
      </c>
      <c r="Q198" s="31" t="str">
        <f aca="true">IF($E198="","",IF($E198&gt;TODAY(),"Scheduled",TODAY()-$E198))</f>
        <v/>
      </c>
    </row>
    <row r="199" customFormat="false" ht="15.75" hidden="false" customHeight="true" outlineLevel="0" collapsed="false">
      <c r="A199" s="27"/>
      <c r="B199" s="28"/>
      <c r="C199" s="33" t="str">
        <f aca="false">IFERROR(INDEX('Lead Management'!$B$4:$B$1003,MATCH($B199,'Lead Management'!$A$4:$A$1003,0)),"")</f>
        <v/>
      </c>
      <c r="D199" s="33" t="str">
        <f aca="false">IFERROR(INDEX('Lead Management'!$C$4:$C$1003,MATCH($B199,'Lead Management'!$A$4:$A$1003,0)),"")</f>
        <v/>
      </c>
      <c r="E199" s="29"/>
      <c r="F199" s="27"/>
      <c r="G199" s="28"/>
      <c r="H199" s="34" t="str">
        <f aca="false">IF($A199="","",Settings!$B$8)</f>
        <v/>
      </c>
      <c r="I199" s="27"/>
      <c r="J199" s="27"/>
      <c r="K199" s="27"/>
      <c r="L199" s="27"/>
      <c r="M199" s="28"/>
      <c r="N199" s="28"/>
      <c r="O199" s="32"/>
      <c r="P199" s="31" t="str">
        <f aca="false">IF($B199="","",IF(COUNTIF(Customers!$B$4:$B$1003,$B199)&gt;0,"Yes","No"))</f>
        <v/>
      </c>
      <c r="Q199" s="31" t="str">
        <f aca="true">IF($E199="","",IF($E199&gt;TODAY(),"Scheduled",TODAY()-$E199))</f>
        <v/>
      </c>
    </row>
    <row r="200" customFormat="false" ht="15.75" hidden="false" customHeight="true" outlineLevel="0" collapsed="false">
      <c r="A200" s="27"/>
      <c r="B200" s="28"/>
      <c r="C200" s="33" t="str">
        <f aca="false">IFERROR(INDEX('Lead Management'!$B$4:$B$1003,MATCH($B200,'Lead Management'!$A$4:$A$1003,0)),"")</f>
        <v/>
      </c>
      <c r="D200" s="33" t="str">
        <f aca="false">IFERROR(INDEX('Lead Management'!$C$4:$C$1003,MATCH($B200,'Lead Management'!$A$4:$A$1003,0)),"")</f>
        <v/>
      </c>
      <c r="E200" s="29"/>
      <c r="F200" s="27"/>
      <c r="G200" s="28"/>
      <c r="H200" s="34" t="str">
        <f aca="false">IF($A200="","",Settings!$B$8)</f>
        <v/>
      </c>
      <c r="I200" s="27"/>
      <c r="J200" s="27"/>
      <c r="K200" s="27"/>
      <c r="L200" s="27"/>
      <c r="M200" s="28"/>
      <c r="N200" s="28"/>
      <c r="O200" s="32"/>
      <c r="P200" s="31" t="str">
        <f aca="false">IF($B200="","",IF(COUNTIF(Customers!$B$4:$B$1003,$B200)&gt;0,"Yes","No"))</f>
        <v/>
      </c>
      <c r="Q200" s="31" t="str">
        <f aca="true">IF($E200="","",IF($E200&gt;TODAY(),"Scheduled",TODAY()-$E200))</f>
        <v/>
      </c>
    </row>
    <row r="201" customFormat="false" ht="15.75" hidden="false" customHeight="true" outlineLevel="0" collapsed="false">
      <c r="A201" s="27"/>
      <c r="B201" s="28"/>
      <c r="C201" s="33" t="str">
        <f aca="false">IFERROR(INDEX('Lead Management'!$B$4:$B$1003,MATCH($B201,'Lead Management'!$A$4:$A$1003,0)),"")</f>
        <v/>
      </c>
      <c r="D201" s="33" t="str">
        <f aca="false">IFERROR(INDEX('Lead Management'!$C$4:$C$1003,MATCH($B201,'Lead Management'!$A$4:$A$1003,0)),"")</f>
        <v/>
      </c>
      <c r="E201" s="29"/>
      <c r="F201" s="27"/>
      <c r="G201" s="28"/>
      <c r="H201" s="34" t="str">
        <f aca="false">IF($A201="","",Settings!$B$8)</f>
        <v/>
      </c>
      <c r="I201" s="27"/>
      <c r="J201" s="27"/>
      <c r="K201" s="27"/>
      <c r="L201" s="27"/>
      <c r="M201" s="28"/>
      <c r="N201" s="28"/>
      <c r="O201" s="32"/>
      <c r="P201" s="31" t="str">
        <f aca="false">IF($B201="","",IF(COUNTIF(Customers!$B$4:$B$1003,$B201)&gt;0,"Yes","No"))</f>
        <v/>
      </c>
      <c r="Q201" s="31" t="str">
        <f aca="true">IF($E201="","",IF($E201&gt;TODAY(),"Scheduled",TODAY()-$E201))</f>
        <v/>
      </c>
    </row>
    <row r="202" customFormat="false" ht="15.75" hidden="false" customHeight="true" outlineLevel="0" collapsed="false">
      <c r="A202" s="27"/>
      <c r="B202" s="28"/>
      <c r="C202" s="33" t="str">
        <f aca="false">IFERROR(INDEX('Lead Management'!$B$4:$B$1003,MATCH($B202,'Lead Management'!$A$4:$A$1003,0)),"")</f>
        <v/>
      </c>
      <c r="D202" s="33" t="str">
        <f aca="false">IFERROR(INDEX('Lead Management'!$C$4:$C$1003,MATCH($B202,'Lead Management'!$A$4:$A$1003,0)),"")</f>
        <v/>
      </c>
      <c r="E202" s="29"/>
      <c r="F202" s="27"/>
      <c r="G202" s="28"/>
      <c r="H202" s="34" t="str">
        <f aca="false">IF($A202="","",Settings!$B$8)</f>
        <v/>
      </c>
      <c r="I202" s="27"/>
      <c r="J202" s="27"/>
      <c r="K202" s="27"/>
      <c r="L202" s="27"/>
      <c r="M202" s="28"/>
      <c r="N202" s="28"/>
      <c r="O202" s="32"/>
      <c r="P202" s="31" t="str">
        <f aca="false">IF($B202="","",IF(COUNTIF(Customers!$B$4:$B$1003,$B202)&gt;0,"Yes","No"))</f>
        <v/>
      </c>
      <c r="Q202" s="31" t="str">
        <f aca="true">IF($E202="","",IF($E202&gt;TODAY(),"Scheduled",TODAY()-$E202))</f>
        <v/>
      </c>
    </row>
    <row r="203" customFormat="false" ht="15.75" hidden="false" customHeight="true" outlineLevel="0" collapsed="false">
      <c r="A203" s="27"/>
      <c r="B203" s="28"/>
      <c r="C203" s="33" t="str">
        <f aca="false">IFERROR(INDEX('Lead Management'!$B$4:$B$1003,MATCH($B203,'Lead Management'!$A$4:$A$1003,0)),"")</f>
        <v/>
      </c>
      <c r="D203" s="33" t="str">
        <f aca="false">IFERROR(INDEX('Lead Management'!$C$4:$C$1003,MATCH($B203,'Lead Management'!$A$4:$A$1003,0)),"")</f>
        <v/>
      </c>
      <c r="E203" s="29"/>
      <c r="F203" s="27"/>
      <c r="G203" s="28"/>
      <c r="H203" s="34" t="str">
        <f aca="false">IF($A203="","",Settings!$B$8)</f>
        <v/>
      </c>
      <c r="I203" s="27"/>
      <c r="J203" s="27"/>
      <c r="K203" s="27"/>
      <c r="L203" s="27"/>
      <c r="M203" s="28"/>
      <c r="N203" s="28"/>
      <c r="O203" s="32"/>
      <c r="P203" s="31" t="str">
        <f aca="false">IF($B203="","",IF(COUNTIF(Customers!$B$4:$B$1003,$B203)&gt;0,"Yes","No"))</f>
        <v/>
      </c>
      <c r="Q203" s="31" t="str">
        <f aca="true">IF($E203="","",IF($E203&gt;TODAY(),"Scheduled",TODAY()-$E203))</f>
        <v/>
      </c>
    </row>
  </sheetData>
  <autoFilter ref="A3:Q203"/>
  <mergeCells count="2">
    <mergeCell ref="A1:Q1"/>
    <mergeCell ref="A2:Q2"/>
  </mergeCells>
  <conditionalFormatting sqref="A4:Q203">
    <cfRule type="expression" priority="2" aboveAverage="0" equalAverage="0" bottom="0" percent="0" rank="0" text="" dxfId="17">
      <formula>MOD(ROW(),2)=0</formula>
    </cfRule>
  </conditionalFormatting>
  <conditionalFormatting sqref="I4:I203">
    <cfRule type="cellIs" priority="3" operator="equal" aboveAverage="0" equalAverage="0" bottom="0" percent="0" rank="0" text="" dxfId="19">
      <formula>"Paid"</formula>
    </cfRule>
    <cfRule type="cellIs" priority="4" operator="equal" aboveAverage="0" equalAverage="0" bottom="0" percent="0" rank="0" text="" dxfId="20">
      <formula>"Pending"</formula>
    </cfRule>
    <cfRule type="cellIs" priority="5" operator="equal" aboveAverage="0" equalAverage="0" bottom="0" percent="0" rank="0" text="" dxfId="22">
      <formula>"Overdue"</formula>
    </cfRule>
    <cfRule type="cellIs" priority="6" operator="equal" aboveAverage="0" equalAverage="0" bottom="0" percent="0" rank="0" text="" dxfId="18">
      <formula>"Partial"</formula>
    </cfRule>
    <cfRule type="cellIs" priority="7" operator="equal" aboveAverage="0" equalAverage="0" bottom="0" percent="0" rank="0" text="" dxfId="23">
      <formula>"Cancelled"</formula>
    </cfRule>
  </conditionalFormatting>
  <conditionalFormatting sqref="J4:J203">
    <cfRule type="cellIs" priority="8" operator="equal" aboveAverage="0" equalAverage="0" bottom="0" percent="0" rank="0" text="" dxfId="19">
      <formula>"Completed"</formula>
    </cfRule>
    <cfRule type="cellIs" priority="9" operator="equal" aboveAverage="0" equalAverage="0" bottom="0" percent="0" rank="0" text="" dxfId="18">
      <formula>"Scheduled"</formula>
    </cfRule>
    <cfRule type="cellIs" priority="10" operator="equal" aboveAverage="0" equalAverage="0" bottom="0" percent="0" rank="0" text="" dxfId="22">
      <formula>"No-show"</formula>
    </cfRule>
    <cfRule type="cellIs" priority="11" operator="equal" aboveAverage="0" equalAverage="0" bottom="0" percent="0" rank="0" text="" dxfId="23">
      <formula>"Cancelled"</formula>
    </cfRule>
  </conditionalFormatting>
  <conditionalFormatting sqref="P4:P203">
    <cfRule type="cellIs" priority="12" operator="equal" aboveAverage="0" equalAverage="0" bottom="0" percent="0" rank="0" text="" dxfId="19">
      <formula>"Yes"</formula>
    </cfRule>
    <cfRule type="cellIs" priority="13" operator="equal" aboveAverage="0" equalAverage="0" bottom="0" percent="0" rank="0" text="" dxfId="22">
      <formula>"No"</formula>
    </cfRule>
    <cfRule type="cellIs" priority="14" operator="equal" aboveAverage="0" equalAverage="0" bottom="0" percent="0" rank="0" text="" dxfId="23">
      <formula>"N/A"</formula>
    </cfRule>
  </conditionalFormatting>
  <dataValidations count="8">
    <dataValidation allowBlank="true" error="Please choose one of the values from the drop-down list." errorStyle="stop" errorTitle="Invalid entry" operator="between" showDropDown="false" showErrorMessage="false" showInputMessage="false" sqref="G4:G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I4:I203" type="list">
      <formula1>Settings!$I$32:$I$36</formula1>
      <formula2>0</formula2>
    </dataValidation>
    <dataValidation allowBlank="true" error="Please choose one of the values from the drop-down list." errorStyle="stop" errorTitle="Invalid entry" operator="between" showDropDown="false" showErrorMessage="false" showInputMessage="false" sqref="J4:J203" type="list">
      <formula1>Settings!$G$32:$G$35</formula1>
      <formula2>0</formula2>
    </dataValidation>
    <dataValidation allowBlank="true" error="Please choose one of the values from the drop-down list." errorStyle="stop" errorTitle="Invalid entry" operator="between" showDropDown="false" showErrorMessage="false" showInputMessage="false" sqref="K4:K203" type="list">
      <formula1>Settings!$H$32:$H$35</formula1>
      <formula2>0</formula2>
    </dataValidation>
    <dataValidation allowBlank="true" error="Please choose one of the values from the drop-down list." errorStyle="stop" errorTitle="Invalid entry" operator="between" showDropDown="false" showErrorMessage="false" showInputMessage="false" sqref="L4:L203" type="list">
      <formula1>Settings!$C$32:$C$41</formula1>
      <formula2>0</formula2>
    </dataValidation>
    <dataValidation allowBlank="true" error="Please choose one of the values from the drop-down list." errorStyle="stop" errorTitle="Invalid entry" operator="between" showDropDown="false" showErrorMessage="false" showInputMessage="false" sqref="M4:M203" type="list">
      <formula1>Settings!$S$32:$S$46</formula1>
      <formula2>0</formula2>
    </dataValidation>
    <dataValidation allowBlank="true" error="Please choose one of the values from the drop-down list." errorStyle="stop" errorTitle="Invalid entry" operator="between" showDropDown="false" showErrorMessage="false" showInputMessage="false" sqref="N4:N203" type="list">
      <formula1>Settings!$T$32:$T$37</formula1>
      <formula2>0</formula2>
    </dataValidation>
    <dataValidation allowBlank="true" error="Enter a valid date (dd/mm/yyyy)." errorStyle="stop" errorTitle="Invalid date" operator="between" showDropDown="false" showErrorMessage="false" showInputMessage="false" sqref="E4:E203"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U2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2734375" defaultRowHeight="15" customHeight="false"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22"/>
    <col collapsed="false" customWidth="true" hidden="false" outlineLevel="0" max="4" min="4" style="0" width="17"/>
    <col collapsed="false" customWidth="true" hidden="false" outlineLevel="0" max="5" min="5" style="0" width="15"/>
    <col collapsed="false" customWidth="true" hidden="false" outlineLevel="0" max="6" min="6" style="0" width="18"/>
    <col collapsed="false" customWidth="true" hidden="false" outlineLevel="0" max="7" min="7" style="0" width="20"/>
    <col collapsed="false" customWidth="true" hidden="false" outlineLevel="0" max="8" min="8" style="0" width="24"/>
    <col collapsed="false" customWidth="true" hidden="false" outlineLevel="0" max="9" min="9" style="0" width="15"/>
    <col collapsed="false" customWidth="true" hidden="false" outlineLevel="0" max="10" min="10" style="0" width="14"/>
    <col collapsed="false" customWidth="true" hidden="false" outlineLevel="0" max="11" min="11" style="0" width="20"/>
    <col collapsed="false" customWidth="true" hidden="false" outlineLevel="0" max="12" min="12" style="0" width="16"/>
    <col collapsed="false" customWidth="true" hidden="false" outlineLevel="0" max="15" min="13" style="0" width="15"/>
    <col collapsed="false" customWidth="true" hidden="false" outlineLevel="0" max="16" min="16" style="0" width="24"/>
    <col collapsed="false" customWidth="true" hidden="false" outlineLevel="0" max="17" min="17" style="0" width="11"/>
    <col collapsed="false" customWidth="true" hidden="false" outlineLevel="0" max="18" min="18" style="0" width="14"/>
    <col collapsed="false" customWidth="true" hidden="false" outlineLevel="0" max="19" min="19" style="0" width="12"/>
    <col collapsed="false" customWidth="true" hidden="false" outlineLevel="0" max="20" min="20" style="0" width="14"/>
    <col collapsed="false" customWidth="true" hidden="false" outlineLevel="0" max="21" min="21" style="0" width="46"/>
  </cols>
  <sheetData>
    <row r="1" customFormat="false" ht="30" hidden="false" customHeight="true" outlineLevel="0" collapsed="false">
      <c r="A1" s="1" t="s">
        <v>326</v>
      </c>
      <c r="B1" s="1"/>
      <c r="C1" s="1"/>
      <c r="D1" s="1"/>
      <c r="E1" s="1"/>
      <c r="F1" s="1"/>
      <c r="G1" s="1"/>
      <c r="H1" s="1"/>
      <c r="I1" s="1"/>
      <c r="J1" s="1"/>
      <c r="K1" s="1"/>
      <c r="L1" s="1"/>
      <c r="M1" s="1"/>
      <c r="N1" s="1"/>
      <c r="O1" s="1"/>
      <c r="P1" s="1"/>
      <c r="Q1" s="1"/>
      <c r="R1" s="1"/>
      <c r="S1" s="1"/>
      <c r="T1" s="1"/>
      <c r="U1" s="1"/>
    </row>
    <row r="2" customFormat="false" ht="15.75" hidden="false" customHeight="true" outlineLevel="0" collapsed="false">
      <c r="A2" s="2" t="s">
        <v>327</v>
      </c>
      <c r="B2" s="2"/>
      <c r="C2" s="2"/>
      <c r="D2" s="2"/>
      <c r="E2" s="2"/>
      <c r="F2" s="2"/>
      <c r="G2" s="2"/>
      <c r="H2" s="2"/>
      <c r="I2" s="2"/>
      <c r="J2" s="2"/>
      <c r="K2" s="2"/>
      <c r="L2" s="2"/>
      <c r="M2" s="2"/>
      <c r="N2" s="2"/>
      <c r="O2" s="2"/>
      <c r="P2" s="2"/>
      <c r="Q2" s="2"/>
      <c r="R2" s="2"/>
      <c r="S2" s="2"/>
      <c r="T2" s="2"/>
      <c r="U2" s="2"/>
    </row>
    <row r="3" customFormat="false" ht="31.5" hidden="false" customHeight="true" outlineLevel="0" collapsed="false">
      <c r="A3" s="26" t="s">
        <v>328</v>
      </c>
      <c r="B3" s="26" t="s">
        <v>31</v>
      </c>
      <c r="C3" s="26" t="s">
        <v>32</v>
      </c>
      <c r="D3" s="26" t="s">
        <v>258</v>
      </c>
      <c r="E3" s="26" t="s">
        <v>36</v>
      </c>
      <c r="F3" s="26" t="s">
        <v>329</v>
      </c>
      <c r="G3" s="26" t="s">
        <v>330</v>
      </c>
      <c r="H3" s="26" t="s">
        <v>331</v>
      </c>
      <c r="I3" s="26" t="s">
        <v>332</v>
      </c>
      <c r="J3" s="26" t="s">
        <v>333</v>
      </c>
      <c r="K3" s="26" t="s">
        <v>334</v>
      </c>
      <c r="L3" s="26" t="s">
        <v>335</v>
      </c>
      <c r="M3" s="26" t="s">
        <v>336</v>
      </c>
      <c r="N3" s="26" t="s">
        <v>337</v>
      </c>
      <c r="O3" s="26" t="s">
        <v>338</v>
      </c>
      <c r="P3" s="26" t="s">
        <v>339</v>
      </c>
      <c r="Q3" s="26" t="s">
        <v>340</v>
      </c>
      <c r="R3" s="26" t="s">
        <v>341</v>
      </c>
      <c r="S3" s="26" t="s">
        <v>45</v>
      </c>
      <c r="T3" s="26" t="s">
        <v>46</v>
      </c>
      <c r="U3" s="26" t="s">
        <v>54</v>
      </c>
    </row>
    <row r="4" customFormat="false" ht="15.75" hidden="false" customHeight="true" outlineLevel="0" collapsed="false">
      <c r="A4" s="27" t="s">
        <v>342</v>
      </c>
      <c r="B4" s="27" t="s">
        <v>55</v>
      </c>
      <c r="C4" s="33" t="str">
        <f aca="false">IFERROR(INDEX('Lead Management'!$B$4:$B$1003,MATCH($B4,'Lead Management'!$A$4:$A$1003,0)),"")</f>
        <v>Firdavs Rahmonov</v>
      </c>
      <c r="D4" s="33" t="str">
        <f aca="false">IFERROR(INDEX('Lead Management'!$C$4:$C$1003,MATCH($B4,'Lead Management'!$A$4:$A$1003,0)),"")</f>
        <v>+992 91 203 1137</v>
      </c>
      <c r="E4" s="33" t="str">
        <f aca="false">IFERROR(INDEX('Lead Management'!$F$4:$F$1003,MATCH($B4,'Lead Management'!$A$4:$A$1003,0)),"")</f>
        <v>A4101373</v>
      </c>
      <c r="F4" s="27" t="s">
        <v>65</v>
      </c>
      <c r="G4" s="28" t="s">
        <v>105</v>
      </c>
      <c r="H4" s="28" t="s">
        <v>343</v>
      </c>
      <c r="I4" s="27" t="s">
        <v>344</v>
      </c>
      <c r="J4" s="29" t="n">
        <v>46039</v>
      </c>
      <c r="K4" s="28" t="s">
        <v>67</v>
      </c>
      <c r="L4" s="34" t="n">
        <f aca="false">IF($F4="","",IFERROR(INDEX(Settings!$B$18:$B$27,MATCH($F4,Settings!$A$18:$A$27,0)),""))</f>
        <v>22000</v>
      </c>
      <c r="M4" s="34" t="n">
        <f aca="false">IF($A4="","",SUMIFS(Finance!$E$4:$E$1003,Finance!$B$4:$B$1003,$A4,Finance!$J$4:$J$1003,"Paid"))</f>
        <v>22000</v>
      </c>
      <c r="N4" s="34" t="n">
        <f aca="false">IF($A4="","",IFERROR($L4-$M4,""))</f>
        <v>0</v>
      </c>
      <c r="O4" s="35" t="n">
        <f aca="false">IF($A4="","",IFERROR($M4/$L4,""))</f>
        <v>1</v>
      </c>
      <c r="P4" s="33" t="str">
        <f aca="false">IFERROR(INDEX('Process Tracking'!$E$5:$E$1003,MATCH($A4,'Process Tracking'!$A$5:$A$1003,0)),"")</f>
        <v>Case Completed</v>
      </c>
      <c r="Q4" s="35" t="n">
        <f aca="false">IFERROR(INDEX(Documents!$Q$4:$Q$1003,MATCH($A4,Documents!$A$4:$A$1003,0)),"")</f>
        <v>1</v>
      </c>
      <c r="R4" s="27" t="s">
        <v>275</v>
      </c>
      <c r="S4" s="31" t="str">
        <f aca="false">IFERROR(INDEX('Lead Management'!$O$4:$O$1003,MATCH($B4,'Lead Management'!$A$4:$A$1003,0)),"")</f>
        <v>Instagram</v>
      </c>
      <c r="T4" s="36" t="n">
        <f aca="false">IFERROR(INDEX('Lead Management'!$P$4:$P$1003,MATCH($B4,'Lead Management'!$A$4:$A$1003,0)),"")</f>
        <v>46030</v>
      </c>
      <c r="U4" s="32"/>
    </row>
    <row r="5" customFormat="false" ht="15.75" hidden="false" customHeight="true" outlineLevel="0" collapsed="false">
      <c r="A5" s="27" t="s">
        <v>345</v>
      </c>
      <c r="B5" s="27" t="s">
        <v>70</v>
      </c>
      <c r="C5" s="33" t="str">
        <f aca="false">IFERROR(INDEX('Lead Management'!$B$4:$B$1003,MATCH($B5,'Lead Management'!$A$4:$A$1003,0)),"")</f>
        <v>Nilufar Sharipova</v>
      </c>
      <c r="D5" s="33" t="str">
        <f aca="false">IFERROR(INDEX('Lead Management'!$C$4:$C$1003,MATCH($B5,'Lead Management'!$A$4:$A$1003,0)),"")</f>
        <v>+992 92 206 1274</v>
      </c>
      <c r="E5" s="33" t="str">
        <f aca="false">IFERROR(INDEX('Lead Management'!$F$4:$F$1003,MATCH($B5,'Lead Management'!$A$4:$A$1003,0)),"")</f>
        <v>A4102746</v>
      </c>
      <c r="F5" s="27" t="s">
        <v>78</v>
      </c>
      <c r="G5" s="28" t="s">
        <v>280</v>
      </c>
      <c r="H5" s="28" t="s">
        <v>346</v>
      </c>
      <c r="I5" s="27" t="s">
        <v>347</v>
      </c>
      <c r="J5" s="29" t="n">
        <v>46046</v>
      </c>
      <c r="K5" s="28" t="s">
        <v>79</v>
      </c>
      <c r="L5" s="34" t="n">
        <f aca="false">IF($F5="","",IFERROR(INDEX(Settings!$B$18:$B$27,MATCH($F5,Settings!$A$18:$A$27,0)),""))</f>
        <v>32000</v>
      </c>
      <c r="M5" s="34" t="n">
        <f aca="false">IF($A5="","",SUMIFS(Finance!$E$4:$E$1003,Finance!$B$4:$B$1003,$A5,Finance!$J$4:$J$1003,"Paid"))</f>
        <v>32000</v>
      </c>
      <c r="N5" s="34" t="n">
        <f aca="false">IF($A5="","",IFERROR($L5-$M5,""))</f>
        <v>0</v>
      </c>
      <c r="O5" s="35" t="n">
        <f aca="false">IF($A5="","",IFERROR($M5/$L5,""))</f>
        <v>1</v>
      </c>
      <c r="P5" s="33" t="str">
        <f aca="false">IFERROR(INDEX('Process Tracking'!$E$5:$E$1003,MATCH($A5,'Process Tracking'!$A$5:$A$1003,0)),"")</f>
        <v>Case Completed</v>
      </c>
      <c r="Q5" s="35" t="n">
        <f aca="false">IFERROR(INDEX(Documents!$Q$4:$Q$1003,MATCH($A5,Documents!$A$4:$A$1003,0)),"")</f>
        <v>1</v>
      </c>
      <c r="R5" s="27" t="s">
        <v>275</v>
      </c>
      <c r="S5" s="31" t="str">
        <f aca="false">IFERROR(INDEX('Lead Management'!$O$4:$O$1003,MATCH($B5,'Lead Management'!$A$4:$A$1003,0)),"")</f>
        <v>Instagram</v>
      </c>
      <c r="T5" s="36" t="n">
        <f aca="false">IFERROR(INDEX('Lead Management'!$P$4:$P$1003,MATCH($B5,'Lead Management'!$A$4:$A$1003,0)),"")</f>
        <v>46037</v>
      </c>
      <c r="U5" s="32"/>
    </row>
    <row r="6" customFormat="false" ht="15.75" hidden="false" customHeight="true" outlineLevel="0" collapsed="false">
      <c r="A6" s="27" t="s">
        <v>348</v>
      </c>
      <c r="B6" s="27" t="s">
        <v>80</v>
      </c>
      <c r="C6" s="33" t="str">
        <f aca="false">IFERROR(INDEX('Lead Management'!$B$4:$B$1003,MATCH($B6,'Lead Management'!$A$4:$A$1003,0)),"")</f>
        <v>Jamshed Karimov</v>
      </c>
      <c r="D6" s="33" t="str">
        <f aca="false">IFERROR(INDEX('Lead Management'!$C$4:$C$1003,MATCH($B6,'Lead Management'!$A$4:$A$1003,0)),"")</f>
        <v>+992 93 209 1411</v>
      </c>
      <c r="E6" s="33" t="str">
        <f aca="false">IFERROR(INDEX('Lead Management'!$F$4:$F$1003,MATCH($B6,'Lead Management'!$A$4:$A$1003,0)),"")</f>
        <v>A4104119</v>
      </c>
      <c r="F6" s="27" t="s">
        <v>88</v>
      </c>
      <c r="G6" s="28" t="s">
        <v>284</v>
      </c>
      <c r="H6" s="28" t="s">
        <v>349</v>
      </c>
      <c r="I6" s="27" t="s">
        <v>350</v>
      </c>
      <c r="J6" s="29" t="n">
        <v>46067</v>
      </c>
      <c r="K6" s="28" t="s">
        <v>90</v>
      </c>
      <c r="L6" s="34" t="n">
        <f aca="false">IF($F6="","",IFERROR(INDEX(Settings!$B$18:$B$27,MATCH($F6,Settings!$A$18:$A$27,0)),""))</f>
        <v>25000</v>
      </c>
      <c r="M6" s="34" t="n">
        <f aca="false">IF($A6="","",SUMIFS(Finance!$E$4:$E$1003,Finance!$B$4:$B$1003,$A6,Finance!$J$4:$J$1003,"Paid"))</f>
        <v>25000</v>
      </c>
      <c r="N6" s="34" t="n">
        <f aca="false">IF($A6="","",IFERROR($L6-$M6,""))</f>
        <v>0</v>
      </c>
      <c r="O6" s="35" t="n">
        <f aca="false">IF($A6="","",IFERROR($M6/$L6,""))</f>
        <v>1</v>
      </c>
      <c r="P6" s="33" t="str">
        <f aca="false">IFERROR(INDEX('Process Tracking'!$E$5:$E$1003,MATCH($A6,'Process Tracking'!$A$5:$A$1003,0)),"")</f>
        <v>Customer Departed to Europe</v>
      </c>
      <c r="Q6" s="35" t="n">
        <f aca="false">IFERROR(INDEX(Documents!$Q$4:$Q$1003,MATCH($A6,Documents!$A$4:$A$1003,0)),"")</f>
        <v>1</v>
      </c>
      <c r="R6" s="27" t="s">
        <v>351</v>
      </c>
      <c r="S6" s="31" t="str">
        <f aca="false">IFERROR(INDEX('Lead Management'!$O$4:$O$1003,MATCH($B6,'Lead Management'!$A$4:$A$1003,0)),"")</f>
        <v>Facebook</v>
      </c>
      <c r="T6" s="36" t="n">
        <f aca="false">IFERROR(INDEX('Lead Management'!$P$4:$P$1003,MATCH($B6,'Lead Management'!$A$4:$A$1003,0)),"")</f>
        <v>46058</v>
      </c>
      <c r="U6" s="32"/>
    </row>
    <row r="7" customFormat="false" ht="15.75" hidden="false" customHeight="true" outlineLevel="0" collapsed="false">
      <c r="A7" s="27" t="s">
        <v>352</v>
      </c>
      <c r="B7" s="27" t="s">
        <v>92</v>
      </c>
      <c r="C7" s="33" t="str">
        <f aca="false">IFERROR(INDEX('Lead Management'!$B$4:$B$1003,MATCH($B7,'Lead Management'!$A$4:$A$1003,0)),"")</f>
        <v>Zarina Nazriyeva</v>
      </c>
      <c r="D7" s="33" t="str">
        <f aca="false">IFERROR(INDEX('Lead Management'!$C$4:$C$1003,MATCH($B7,'Lead Management'!$A$4:$A$1003,0)),"")</f>
        <v>+992 94 212 1548</v>
      </c>
      <c r="E7" s="33" t="str">
        <f aca="false">IFERROR(INDEX('Lead Management'!$F$4:$F$1003,MATCH($B7,'Lead Management'!$A$4:$A$1003,0)),"")</f>
        <v>A4105492</v>
      </c>
      <c r="F7" s="27" t="s">
        <v>65</v>
      </c>
      <c r="G7" s="28" t="s">
        <v>287</v>
      </c>
      <c r="H7" s="28" t="s">
        <v>343</v>
      </c>
      <c r="I7" s="27" t="s">
        <v>353</v>
      </c>
      <c r="J7" s="29" t="n">
        <v>46074</v>
      </c>
      <c r="K7" s="28" t="s">
        <v>67</v>
      </c>
      <c r="L7" s="34" t="n">
        <f aca="false">IF($F7="","",IFERROR(INDEX(Settings!$B$18:$B$27,MATCH($F7,Settings!$A$18:$A$27,0)),""))</f>
        <v>22000</v>
      </c>
      <c r="M7" s="34" t="n">
        <f aca="false">IF($A7="","",SUMIFS(Finance!$E$4:$E$1003,Finance!$B$4:$B$1003,$A7,Finance!$J$4:$J$1003,"Paid"))</f>
        <v>22000</v>
      </c>
      <c r="N7" s="34" t="n">
        <f aca="false">IF($A7="","",IFERROR($L7-$M7,""))</f>
        <v>0</v>
      </c>
      <c r="O7" s="35" t="n">
        <f aca="false">IF($A7="","",IFERROR($M7/$L7,""))</f>
        <v>1</v>
      </c>
      <c r="P7" s="33" t="str">
        <f aca="false">IFERROR(INDEX('Process Tracking'!$E$5:$E$1003,MATCH($A7,'Process Tracking'!$A$5:$A$1003,0)),"")</f>
        <v>Flight Ticket Prepared</v>
      </c>
      <c r="Q7" s="35" t="n">
        <f aca="false">IFERROR(INDEX(Documents!$Q$4:$Q$1003,MATCH($A7,Documents!$A$4:$A$1003,0)),"")</f>
        <v>1</v>
      </c>
      <c r="R7" s="27" t="s">
        <v>351</v>
      </c>
      <c r="S7" s="31" t="str">
        <f aca="false">IFERROR(INDEX('Lead Management'!$O$4:$O$1003,MATCH($B7,'Lead Management'!$A$4:$A$1003,0)),"")</f>
        <v>Instagram</v>
      </c>
      <c r="T7" s="36" t="n">
        <f aca="false">IFERROR(INDEX('Lead Management'!$P$4:$P$1003,MATCH($B7,'Lead Management'!$A$4:$A$1003,0)),"")</f>
        <v>46065</v>
      </c>
      <c r="U7" s="32"/>
    </row>
    <row r="8" customFormat="false" ht="15.75" hidden="false" customHeight="true" outlineLevel="0" collapsed="false">
      <c r="A8" s="27" t="s">
        <v>354</v>
      </c>
      <c r="B8" s="27" t="s">
        <v>100</v>
      </c>
      <c r="C8" s="33" t="str">
        <f aca="false">IFERROR(INDEX('Lead Management'!$B$4:$B$1003,MATCH($B8,'Lead Management'!$A$4:$A$1003,0)),"")</f>
        <v>Bakhtiyor Umarov</v>
      </c>
      <c r="D8" s="33" t="str">
        <f aca="false">IFERROR(INDEX('Lead Management'!$C$4:$C$1003,MATCH($B8,'Lead Management'!$A$4:$A$1003,0)),"")</f>
        <v>+992 95 215 1685</v>
      </c>
      <c r="E8" s="33" t="str">
        <f aca="false">IFERROR(INDEX('Lead Management'!$F$4:$F$1003,MATCH($B8,'Lead Management'!$A$4:$A$1003,0)),"")</f>
        <v>A4106865</v>
      </c>
      <c r="F8" s="27" t="s">
        <v>106</v>
      </c>
      <c r="G8" s="28" t="s">
        <v>61</v>
      </c>
      <c r="H8" s="28" t="s">
        <v>355</v>
      </c>
      <c r="I8" s="27" t="s">
        <v>356</v>
      </c>
      <c r="J8" s="29" t="n">
        <v>46053</v>
      </c>
      <c r="K8" s="28" t="s">
        <v>79</v>
      </c>
      <c r="L8" s="34" t="n">
        <f aca="false">IF($F8="","",IFERROR(INDEX(Settings!$B$18:$B$27,MATCH($F8,Settings!$A$18:$A$27,0)),""))</f>
        <v>24000</v>
      </c>
      <c r="M8" s="34" t="n">
        <f aca="false">IF($A8="","",SUMIFS(Finance!$E$4:$E$1003,Finance!$B$4:$B$1003,$A8,Finance!$J$4:$J$1003,"Paid"))</f>
        <v>18000</v>
      </c>
      <c r="N8" s="34" t="n">
        <f aca="false">IF($A8="","",IFERROR($L8-$M8,""))</f>
        <v>6000</v>
      </c>
      <c r="O8" s="35" t="n">
        <f aca="false">IF($A8="","",IFERROR($M8/$L8,""))</f>
        <v>0.75</v>
      </c>
      <c r="P8" s="33" t="str">
        <f aca="false">IFERROR(INDEX('Process Tracking'!$E$5:$E$1003,MATCH($A8,'Process Tracking'!$A$5:$A$1003,0)),"")</f>
        <v>Visa Approved</v>
      </c>
      <c r="Q8" s="35" t="n">
        <f aca="false">IFERROR(INDEX(Documents!$Q$4:$Q$1003,MATCH($A8,Documents!$A$4:$A$1003,0)),"")</f>
        <v>0.909090909090909</v>
      </c>
      <c r="R8" s="27" t="s">
        <v>351</v>
      </c>
      <c r="S8" s="31" t="str">
        <f aca="false">IFERROR(INDEX('Lead Management'!$O$4:$O$1003,MATCH($B8,'Lead Management'!$A$4:$A$1003,0)),"")</f>
        <v>Website</v>
      </c>
      <c r="T8" s="36" t="n">
        <f aca="false">IFERROR(INDEX('Lead Management'!$P$4:$P$1003,MATCH($B8,'Lead Management'!$A$4:$A$1003,0)),"")</f>
        <v>46044</v>
      </c>
      <c r="U8" s="32"/>
    </row>
    <row r="9" customFormat="false" ht="15.75" hidden="false" customHeight="true" outlineLevel="0" collapsed="false">
      <c r="A9" s="27" t="s">
        <v>357</v>
      </c>
      <c r="B9" s="27" t="s">
        <v>109</v>
      </c>
      <c r="C9" s="33" t="str">
        <f aca="false">IFERROR(INDEX('Lead Management'!$B$4:$B$1003,MATCH($B9,'Lead Management'!$A$4:$A$1003,0)),"")</f>
        <v>Manizha Qodirova</v>
      </c>
      <c r="D9" s="33" t="str">
        <f aca="false">IFERROR(INDEX('Lead Management'!$C$4:$C$1003,MATCH($B9,'Lead Management'!$A$4:$A$1003,0)),"")</f>
        <v>+992 96 218 1822</v>
      </c>
      <c r="E9" s="33" t="str">
        <f aca="false">IFERROR(INDEX('Lead Management'!$F$4:$F$1003,MATCH($B9,'Lead Management'!$A$4:$A$1003,0)),"")</f>
        <v>A4108238</v>
      </c>
      <c r="F9" s="27" t="s">
        <v>78</v>
      </c>
      <c r="G9" s="28" t="s">
        <v>292</v>
      </c>
      <c r="H9" s="28" t="s">
        <v>346</v>
      </c>
      <c r="I9" s="27" t="s">
        <v>358</v>
      </c>
      <c r="J9" s="29" t="n">
        <v>46080</v>
      </c>
      <c r="K9" s="28" t="s">
        <v>90</v>
      </c>
      <c r="L9" s="34" t="n">
        <f aca="false">IF($F9="","",IFERROR(INDEX(Settings!$B$18:$B$27,MATCH($F9,Settings!$A$18:$A$27,0)),""))</f>
        <v>32000</v>
      </c>
      <c r="M9" s="34" t="n">
        <f aca="false">IF($A9="","",SUMIFS(Finance!$E$4:$E$1003,Finance!$B$4:$B$1003,$A9,Finance!$J$4:$J$1003,"Paid"))</f>
        <v>24000</v>
      </c>
      <c r="N9" s="34" t="n">
        <f aca="false">IF($A9="","",IFERROR($L9-$M9,""))</f>
        <v>8000</v>
      </c>
      <c r="O9" s="35" t="n">
        <f aca="false">IF($A9="","",IFERROR($M9/$L9,""))</f>
        <v>0.75</v>
      </c>
      <c r="P9" s="33" t="str">
        <f aca="false">IFERROR(INDEX('Process Tracking'!$E$5:$E$1003,MATCH($A9,'Process Tracking'!$A$5:$A$1003,0)),"")</f>
        <v>Visa Rejected</v>
      </c>
      <c r="Q9" s="35" t="n">
        <f aca="false">IFERROR(INDEX(Documents!$Q$4:$Q$1003,MATCH($A9,Documents!$A$4:$A$1003,0)),"")</f>
        <v>0.818181818181818</v>
      </c>
      <c r="R9" s="27" t="s">
        <v>320</v>
      </c>
      <c r="S9" s="31" t="str">
        <f aca="false">IFERROR(INDEX('Lead Management'!$O$4:$O$1003,MATCH($B9,'Lead Management'!$A$4:$A$1003,0)),"")</f>
        <v>Referral</v>
      </c>
      <c r="T9" s="36" t="n">
        <f aca="false">IFERROR(INDEX('Lead Management'!$P$4:$P$1003,MATCH($B9,'Lead Management'!$A$4:$A$1003,0)),"")</f>
        <v>46071</v>
      </c>
      <c r="U9" s="32" t="s">
        <v>359</v>
      </c>
    </row>
    <row r="10" customFormat="false" ht="15.75" hidden="false" customHeight="true" outlineLevel="0" collapsed="false">
      <c r="A10" s="27" t="s">
        <v>360</v>
      </c>
      <c r="B10" s="27" t="s">
        <v>115</v>
      </c>
      <c r="C10" s="33" t="str">
        <f aca="false">IFERROR(INDEX('Lead Management'!$B$4:$B$1003,MATCH($B10,'Lead Management'!$A$4:$A$1003,0)),"")</f>
        <v>Rustam Sattorov</v>
      </c>
      <c r="D10" s="33" t="str">
        <f aca="false">IFERROR(INDEX('Lead Management'!$C$4:$C$1003,MATCH($B10,'Lead Management'!$A$4:$A$1003,0)),"")</f>
        <v>+992 97 221 1959</v>
      </c>
      <c r="E10" s="33" t="str">
        <f aca="false">IFERROR(INDEX('Lead Management'!$F$4:$F$1003,MATCH($B10,'Lead Management'!$A$4:$A$1003,0)),"")</f>
        <v>A4109611</v>
      </c>
      <c r="F10" s="27" t="s">
        <v>65</v>
      </c>
      <c r="G10" s="28" t="s">
        <v>284</v>
      </c>
      <c r="H10" s="28" t="s">
        <v>343</v>
      </c>
      <c r="I10" s="27" t="s">
        <v>361</v>
      </c>
      <c r="J10" s="29" t="n">
        <v>46094</v>
      </c>
      <c r="K10" s="28" t="s">
        <v>67</v>
      </c>
      <c r="L10" s="34" t="n">
        <f aca="false">IF($F10="","",IFERROR(INDEX(Settings!$B$18:$B$27,MATCH($F10,Settings!$A$18:$A$27,0)),""))</f>
        <v>22000</v>
      </c>
      <c r="M10" s="34" t="n">
        <f aca="false">IF($A10="","",SUMIFS(Finance!$E$4:$E$1003,Finance!$B$4:$B$1003,$A10,Finance!$J$4:$J$1003,"Paid"))</f>
        <v>16500</v>
      </c>
      <c r="N10" s="34" t="n">
        <f aca="false">IF($A10="","",IFERROR($L10-$M10,""))</f>
        <v>5500</v>
      </c>
      <c r="O10" s="35" t="n">
        <f aca="false">IF($A10="","",IFERROR($M10/$L10,""))</f>
        <v>0.75</v>
      </c>
      <c r="P10" s="33" t="str">
        <f aca="false">IFERROR(INDEX('Process Tracking'!$E$5:$E$1003,MATCH($A10,'Process Tracking'!$A$5:$A$1003,0)),"")</f>
        <v>Visa Decision Pending</v>
      </c>
      <c r="Q10" s="35" t="n">
        <f aca="false">IFERROR(INDEX(Documents!$Q$4:$Q$1003,MATCH($A10,Documents!$A$4:$A$1003,0)),"")</f>
        <v>0.818181818181818</v>
      </c>
      <c r="R10" s="27" t="s">
        <v>351</v>
      </c>
      <c r="S10" s="31" t="str">
        <f aca="false">IFERROR(INDEX('Lead Management'!$O$4:$O$1003,MATCH($B10,'Lead Management'!$A$4:$A$1003,0)),"")</f>
        <v>Instagram</v>
      </c>
      <c r="T10" s="36" t="n">
        <f aca="false">IFERROR(INDEX('Lead Management'!$P$4:$P$1003,MATCH($B10,'Lead Management'!$A$4:$A$1003,0)),"")</f>
        <v>46085</v>
      </c>
      <c r="U10" s="32"/>
    </row>
    <row r="11" customFormat="false" ht="15.75" hidden="false" customHeight="true" outlineLevel="0" collapsed="false">
      <c r="A11" s="27" t="s">
        <v>362</v>
      </c>
      <c r="B11" s="27" t="s">
        <v>120</v>
      </c>
      <c r="C11" s="33" t="str">
        <f aca="false">IFERROR(INDEX('Lead Management'!$B$4:$B$1003,MATCH($B11,'Lead Management'!$A$4:$A$1003,0)),"")</f>
        <v>Dilnoza Aliyeva</v>
      </c>
      <c r="D11" s="33" t="str">
        <f aca="false">IFERROR(INDEX('Lead Management'!$C$4:$C$1003,MATCH($B11,'Lead Management'!$A$4:$A$1003,0)),"")</f>
        <v>+992 90 224 2096</v>
      </c>
      <c r="E11" s="33" t="str">
        <f aca="false">IFERROR(INDEX('Lead Management'!$F$4:$F$1003,MATCH($B11,'Lead Management'!$A$4:$A$1003,0)),"")</f>
        <v>A4110984</v>
      </c>
      <c r="F11" s="27" t="s">
        <v>124</v>
      </c>
      <c r="G11" s="28" t="s">
        <v>280</v>
      </c>
      <c r="H11" s="28" t="s">
        <v>363</v>
      </c>
      <c r="I11" s="27" t="s">
        <v>364</v>
      </c>
      <c r="J11" s="29" t="n">
        <v>46101</v>
      </c>
      <c r="K11" s="28" t="s">
        <v>79</v>
      </c>
      <c r="L11" s="34" t="n">
        <f aca="false">IF($F11="","",IFERROR(INDEX(Settings!$B$18:$B$27,MATCH($F11,Settings!$A$18:$A$27,0)),""))</f>
        <v>21000</v>
      </c>
      <c r="M11" s="34" t="n">
        <f aca="false">IF($A11="","",SUMIFS(Finance!$E$4:$E$1003,Finance!$B$4:$B$1003,$A11,Finance!$J$4:$J$1003,"Paid"))</f>
        <v>15750</v>
      </c>
      <c r="N11" s="34" t="n">
        <f aca="false">IF($A11="","",IFERROR($L11-$M11,""))</f>
        <v>5250</v>
      </c>
      <c r="O11" s="35" t="n">
        <f aca="false">IF($A11="","",IFERROR($M11/$L11,""))</f>
        <v>0.75</v>
      </c>
      <c r="P11" s="33" t="str">
        <f aca="false">IFERROR(INDEX('Process Tracking'!$E$5:$E$1003,MATCH($A11,'Process Tracking'!$A$5:$A$1003,0)),"")</f>
        <v>Visa Application Submitted</v>
      </c>
      <c r="Q11" s="35" t="n">
        <f aca="false">IFERROR(INDEX(Documents!$Q$4:$Q$1003,MATCH($A11,Documents!$A$4:$A$1003,0)),"")</f>
        <v>0.818181818181818</v>
      </c>
      <c r="R11" s="27" t="s">
        <v>351</v>
      </c>
      <c r="S11" s="31" t="str">
        <f aca="false">IFERROR(INDEX('Lead Management'!$O$4:$O$1003,MATCH($B11,'Lead Management'!$A$4:$A$1003,0)),"")</f>
        <v>Instagram</v>
      </c>
      <c r="T11" s="36" t="n">
        <f aca="false">IFERROR(INDEX('Lead Management'!$P$4:$P$1003,MATCH($B11,'Lead Management'!$A$4:$A$1003,0)),"")</f>
        <v>46092</v>
      </c>
      <c r="U11" s="32"/>
    </row>
    <row r="12" customFormat="false" ht="15.75" hidden="false" customHeight="true" outlineLevel="0" collapsed="false">
      <c r="A12" s="27" t="s">
        <v>365</v>
      </c>
      <c r="B12" s="27" t="s">
        <v>126</v>
      </c>
      <c r="C12" s="33" t="str">
        <f aca="false">IFERROR(INDEX('Lead Management'!$B$4:$B$1003,MATCH($B12,'Lead Management'!$A$4:$A$1003,0)),"")</f>
        <v>Sherali Yusupov</v>
      </c>
      <c r="D12" s="33" t="str">
        <f aca="false">IFERROR(INDEX('Lead Management'!$C$4:$C$1003,MATCH($B12,'Lead Management'!$A$4:$A$1003,0)),"")</f>
        <v>+992 91 227 2233</v>
      </c>
      <c r="E12" s="33" t="str">
        <f aca="false">IFERROR(INDEX('Lead Management'!$F$4:$F$1003,MATCH($B12,'Lead Management'!$A$4:$A$1003,0)),"")</f>
        <v>A4112357</v>
      </c>
      <c r="F12" s="27" t="s">
        <v>88</v>
      </c>
      <c r="G12" s="28" t="s">
        <v>299</v>
      </c>
      <c r="H12" s="28" t="s">
        <v>349</v>
      </c>
      <c r="I12" s="27" t="s">
        <v>366</v>
      </c>
      <c r="J12" s="29" t="n">
        <v>46108</v>
      </c>
      <c r="K12" s="28" t="s">
        <v>90</v>
      </c>
      <c r="L12" s="34" t="n">
        <f aca="false">IF($F12="","",IFERROR(INDEX(Settings!$B$18:$B$27,MATCH($F12,Settings!$A$18:$A$27,0)),""))</f>
        <v>25000</v>
      </c>
      <c r="M12" s="34" t="n">
        <f aca="false">IF($A12="","",SUMIFS(Finance!$E$4:$E$1003,Finance!$B$4:$B$1003,$A12,Finance!$J$4:$J$1003,"Paid"))</f>
        <v>12500</v>
      </c>
      <c r="N12" s="34" t="n">
        <f aca="false">IF($A12="","",IFERROR($L12-$M12,""))</f>
        <v>12500</v>
      </c>
      <c r="O12" s="35" t="n">
        <f aca="false">IF($A12="","",IFERROR($M12/$L12,""))</f>
        <v>0.5</v>
      </c>
      <c r="P12" s="33" t="str">
        <f aca="false">IFERROR(INDEX('Process Tracking'!$E$5:$E$1003,MATCH($A12,'Process Tracking'!$A$5:$A$1003,0)),"")</f>
        <v>Embassy Appointment Booked</v>
      </c>
      <c r="Q12" s="35" t="n">
        <f aca="false">IFERROR(INDEX(Documents!$Q$4:$Q$1003,MATCH($A12,Documents!$A$4:$A$1003,0)),"")</f>
        <v>0.818181818181818</v>
      </c>
      <c r="R12" s="27" t="s">
        <v>351</v>
      </c>
      <c r="S12" s="31" t="str">
        <f aca="false">IFERROR(INDEX('Lead Management'!$O$4:$O$1003,MATCH($B12,'Lead Management'!$A$4:$A$1003,0)),"")</f>
        <v>Facebook</v>
      </c>
      <c r="T12" s="36" t="n">
        <f aca="false">IFERROR(INDEX('Lead Management'!$P$4:$P$1003,MATCH($B12,'Lead Management'!$A$4:$A$1003,0)),"")</f>
        <v>46099</v>
      </c>
      <c r="U12" s="32" t="s">
        <v>367</v>
      </c>
    </row>
    <row r="13" customFormat="false" ht="15.75" hidden="false" customHeight="true" outlineLevel="0" collapsed="false">
      <c r="A13" s="27" t="s">
        <v>368</v>
      </c>
      <c r="B13" s="27" t="s">
        <v>132</v>
      </c>
      <c r="C13" s="33" t="str">
        <f aca="false">IFERROR(INDEX('Lead Management'!$B$4:$B$1003,MATCH($B13,'Lead Management'!$A$4:$A$1003,0)),"")</f>
        <v>Malika Ismoilova</v>
      </c>
      <c r="D13" s="33" t="str">
        <f aca="false">IFERROR(INDEX('Lead Management'!$C$4:$C$1003,MATCH($B13,'Lead Management'!$A$4:$A$1003,0)),"")</f>
        <v>+992 92 230 2370</v>
      </c>
      <c r="E13" s="33" t="str">
        <f aca="false">IFERROR(INDEX('Lead Management'!$F$4:$F$1003,MATCH($B13,'Lead Management'!$A$4:$A$1003,0)),"")</f>
        <v>A4113730</v>
      </c>
      <c r="F13" s="27" t="s">
        <v>65</v>
      </c>
      <c r="G13" s="28" t="s">
        <v>301</v>
      </c>
      <c r="H13" s="28" t="s">
        <v>343</v>
      </c>
      <c r="I13" s="27" t="s">
        <v>369</v>
      </c>
      <c r="J13" s="29" t="n">
        <v>46123</v>
      </c>
      <c r="K13" s="28" t="s">
        <v>67</v>
      </c>
      <c r="L13" s="34" t="n">
        <f aca="false">IF($F13="","",IFERROR(INDEX(Settings!$B$18:$B$27,MATCH($F13,Settings!$A$18:$A$27,0)),""))</f>
        <v>22000</v>
      </c>
      <c r="M13" s="34" t="n">
        <f aca="false">IF($A13="","",SUMIFS(Finance!$E$4:$E$1003,Finance!$B$4:$B$1003,$A13,Finance!$J$4:$J$1003,"Paid"))</f>
        <v>16500</v>
      </c>
      <c r="N13" s="34" t="n">
        <f aca="false">IF($A13="","",IFERROR($L13-$M13,""))</f>
        <v>5500</v>
      </c>
      <c r="O13" s="35" t="n">
        <f aca="false">IF($A13="","",IFERROR($M13/$L13,""))</f>
        <v>0.75</v>
      </c>
      <c r="P13" s="33" t="str">
        <f aca="false">IFERROR(INDEX('Process Tracking'!$E$5:$E$1003,MATCH($A13,'Process Tracking'!$A$5:$A$1003,0)),"")</f>
        <v>Employment Contract Issued</v>
      </c>
      <c r="Q13" s="35" t="n">
        <f aca="false">IFERROR(INDEX(Documents!$Q$4:$Q$1003,MATCH($A13,Documents!$A$4:$A$1003,0)),"")</f>
        <v>0.818181818181818</v>
      </c>
      <c r="R13" s="27" t="s">
        <v>351</v>
      </c>
      <c r="S13" s="31" t="str">
        <f aca="false">IFERROR(INDEX('Lead Management'!$O$4:$O$1003,MATCH($B13,'Lead Management'!$A$4:$A$1003,0)),"")</f>
        <v>Instagram</v>
      </c>
      <c r="T13" s="36" t="n">
        <f aca="false">IFERROR(INDEX('Lead Management'!$P$4:$P$1003,MATCH($B13,'Lead Management'!$A$4:$A$1003,0)),"")</f>
        <v>46114</v>
      </c>
      <c r="U13" s="32"/>
    </row>
    <row r="14" customFormat="false" ht="15.75" hidden="false" customHeight="true" outlineLevel="0" collapsed="false">
      <c r="A14" s="27" t="s">
        <v>370</v>
      </c>
      <c r="B14" s="27" t="s">
        <v>137</v>
      </c>
      <c r="C14" s="33" t="str">
        <f aca="false">IFERROR(INDEX('Lead Management'!$B$4:$B$1003,MATCH($B14,'Lead Management'!$A$4:$A$1003,0)),"")</f>
        <v>Farrukh Davlatov</v>
      </c>
      <c r="D14" s="33" t="str">
        <f aca="false">IFERROR(INDEX('Lead Management'!$C$4:$C$1003,MATCH($B14,'Lead Management'!$A$4:$A$1003,0)),"")</f>
        <v>+992 93 233 2507</v>
      </c>
      <c r="E14" s="33" t="str">
        <f aca="false">IFERROR(INDEX('Lead Management'!$F$4:$F$1003,MATCH($B14,'Lead Management'!$A$4:$A$1003,0)),"")</f>
        <v>A4115103</v>
      </c>
      <c r="F14" s="27" t="s">
        <v>142</v>
      </c>
      <c r="G14" s="28" t="s">
        <v>303</v>
      </c>
      <c r="H14" s="28" t="s">
        <v>371</v>
      </c>
      <c r="I14" s="27" t="s">
        <v>372</v>
      </c>
      <c r="J14" s="29" t="n">
        <v>46115</v>
      </c>
      <c r="K14" s="28" t="s">
        <v>79</v>
      </c>
      <c r="L14" s="34" t="n">
        <f aca="false">IF($F14="","",IFERROR(INDEX(Settings!$B$18:$B$27,MATCH($F14,Settings!$A$18:$A$27,0)),""))</f>
        <v>23000</v>
      </c>
      <c r="M14" s="34" t="n">
        <f aca="false">IF($A14="","",SUMIFS(Finance!$E$4:$E$1003,Finance!$B$4:$B$1003,$A14,Finance!$J$4:$J$1003,"Paid"))</f>
        <v>11500</v>
      </c>
      <c r="N14" s="34" t="n">
        <f aca="false">IF($A14="","",IFERROR($L14-$M14,""))</f>
        <v>11500</v>
      </c>
      <c r="O14" s="35" t="n">
        <f aca="false">IF($A14="","",IFERROR($M14/$L14,""))</f>
        <v>0.5</v>
      </c>
      <c r="P14" s="33" t="str">
        <f aca="false">IFERROR(INDEX('Process Tracking'!$E$5:$E$1003,MATCH($A14,'Process Tracking'!$A$5:$A$1003,0)),"")</f>
        <v>Documents Sent to Employer</v>
      </c>
      <c r="Q14" s="35" t="n">
        <f aca="false">IFERROR(INDEX(Documents!$Q$4:$Q$1003,MATCH($A14,Documents!$A$4:$A$1003,0)),"")</f>
        <v>0.636363636363636</v>
      </c>
      <c r="R14" s="27" t="s">
        <v>351</v>
      </c>
      <c r="S14" s="31" t="str">
        <f aca="false">IFERROR(INDEX('Lead Management'!$O$4:$O$1003,MATCH($B14,'Lead Management'!$A$4:$A$1003,0)),"")</f>
        <v>Website</v>
      </c>
      <c r="T14" s="36" t="n">
        <f aca="false">IFERROR(INDEX('Lead Management'!$P$4:$P$1003,MATCH($B14,'Lead Management'!$A$4:$A$1003,0)),"")</f>
        <v>46106</v>
      </c>
      <c r="U14" s="32" t="s">
        <v>373</v>
      </c>
    </row>
    <row r="15" customFormat="false" ht="15.75" hidden="false" customHeight="true" outlineLevel="0" collapsed="false">
      <c r="A15" s="27" t="s">
        <v>374</v>
      </c>
      <c r="B15" s="27" t="s">
        <v>143</v>
      </c>
      <c r="C15" s="33" t="str">
        <f aca="false">IFERROR(INDEX('Lead Management'!$B$4:$B$1003,MATCH($B15,'Lead Management'!$A$4:$A$1003,0)),"")</f>
        <v>Gulnora Safarova</v>
      </c>
      <c r="D15" s="33" t="str">
        <f aca="false">IFERROR(INDEX('Lead Management'!$C$4:$C$1003,MATCH($B15,'Lead Management'!$A$4:$A$1003,0)),"")</f>
        <v>+992 94 236 2644</v>
      </c>
      <c r="E15" s="33" t="str">
        <f aca="false">IFERROR(INDEX('Lead Management'!$F$4:$F$1003,MATCH($B15,'Lead Management'!$A$4:$A$1003,0)),"")</f>
        <v>A4116476</v>
      </c>
      <c r="F15" s="27" t="s">
        <v>148</v>
      </c>
      <c r="G15" s="28" t="s">
        <v>305</v>
      </c>
      <c r="H15" s="28" t="s">
        <v>375</v>
      </c>
      <c r="I15" s="27" t="s">
        <v>376</v>
      </c>
      <c r="J15" s="29" t="n">
        <v>46130</v>
      </c>
      <c r="K15" s="28" t="s">
        <v>90</v>
      </c>
      <c r="L15" s="34" t="n">
        <f aca="false">IF($F15="","",IFERROR(INDEX(Settings!$B$18:$B$27,MATCH($F15,Settings!$A$18:$A$27,0)),""))</f>
        <v>19000</v>
      </c>
      <c r="M15" s="34" t="n">
        <f aca="false">IF($A15="","",SUMIFS(Finance!$E$4:$E$1003,Finance!$B$4:$B$1003,$A15,Finance!$J$4:$J$1003,"Paid"))</f>
        <v>9500</v>
      </c>
      <c r="N15" s="34" t="n">
        <f aca="false">IF($A15="","",IFERROR($L15-$M15,""))</f>
        <v>9500</v>
      </c>
      <c r="O15" s="35" t="n">
        <f aca="false">IF($A15="","",IFERROR($M15/$L15,""))</f>
        <v>0.5</v>
      </c>
      <c r="P15" s="33" t="str">
        <f aca="false">IFERROR(INDEX('Process Tracking'!$E$5:$E$1003,MATCH($A15,'Process Tracking'!$A$5:$A$1003,0)),"")</f>
        <v>Documents Being Prepared</v>
      </c>
      <c r="Q15" s="35" t="n">
        <f aca="false">IFERROR(INDEX(Documents!$Q$4:$Q$1003,MATCH($A15,Documents!$A$4:$A$1003,0)),"")</f>
        <v>0.363636363636364</v>
      </c>
      <c r="R15" s="27" t="s">
        <v>351</v>
      </c>
      <c r="S15" s="31" t="str">
        <f aca="false">IFERROR(INDEX('Lead Management'!$O$4:$O$1003,MATCH($B15,'Lead Management'!$A$4:$A$1003,0)),"")</f>
        <v>Referral</v>
      </c>
      <c r="T15" s="36" t="n">
        <f aca="false">IFERROR(INDEX('Lead Management'!$P$4:$P$1003,MATCH($B15,'Lead Management'!$A$4:$A$1003,0)),"")</f>
        <v>46121</v>
      </c>
      <c r="U15" s="32"/>
    </row>
    <row r="16" customFormat="false" ht="15.75" hidden="false" customHeight="true" outlineLevel="0" collapsed="false">
      <c r="A16" s="27"/>
      <c r="B16" s="27"/>
      <c r="C16" s="33" t="str">
        <f aca="false">IFERROR(INDEX('Lead Management'!$B$4:$B$1003,MATCH($B16,'Lead Management'!$A$4:$A$1003,0)),"")</f>
        <v/>
      </c>
      <c r="D16" s="33" t="str">
        <f aca="false">IFERROR(INDEX('Lead Management'!$C$4:$C$1003,MATCH($B16,'Lead Management'!$A$4:$A$1003,0)),"")</f>
        <v/>
      </c>
      <c r="E16" s="33" t="str">
        <f aca="false">IFERROR(INDEX('Lead Management'!$F$4:$F$1003,MATCH($B16,'Lead Management'!$A$4:$A$1003,0)),"")</f>
        <v/>
      </c>
      <c r="F16" s="27"/>
      <c r="G16" s="28"/>
      <c r="H16" s="28"/>
      <c r="I16" s="27"/>
      <c r="J16" s="29"/>
      <c r="K16" s="28"/>
      <c r="L16" s="34" t="str">
        <f aca="false">IF($F16="","",IFERROR(INDEX(Settings!$B$18:$B$27,MATCH($F16,Settings!$A$18:$A$27,0)),""))</f>
        <v/>
      </c>
      <c r="M16" s="34" t="str">
        <f aca="false">IF($A16="","",SUMIFS(Finance!$E$4:$E$1003,Finance!$B$4:$B$1003,$A16,Finance!$J$4:$J$1003,"Paid"))</f>
        <v/>
      </c>
      <c r="N16" s="34" t="str">
        <f aca="false">IF($A16="","",IFERROR($L16-$M16,""))</f>
        <v/>
      </c>
      <c r="O16" s="35" t="str">
        <f aca="false">IF($A16="","",IFERROR($M16/$L16,""))</f>
        <v/>
      </c>
      <c r="P16" s="33" t="str">
        <f aca="false">IFERROR(INDEX('Process Tracking'!$E$5:$E$1003,MATCH($A16,'Process Tracking'!$A$5:$A$1003,0)),"")</f>
        <v/>
      </c>
      <c r="Q16" s="35" t="str">
        <f aca="false">IFERROR(INDEX(Documents!$Q$4:$Q$1003,MATCH($A16,Documents!$A$4:$A$1003,0)),"")</f>
        <v/>
      </c>
      <c r="R16" s="27"/>
      <c r="S16" s="31" t="str">
        <f aca="false">IFERROR(INDEX('Lead Management'!$O$4:$O$1003,MATCH($B16,'Lead Management'!$A$4:$A$1003,0)),"")</f>
        <v/>
      </c>
      <c r="T16" s="36" t="str">
        <f aca="false">IFERROR(INDEX('Lead Management'!$P$4:$P$1003,MATCH($B16,'Lead Management'!$A$4:$A$1003,0)),"")</f>
        <v/>
      </c>
      <c r="U16" s="32"/>
    </row>
    <row r="17" customFormat="false" ht="15.75" hidden="false" customHeight="true" outlineLevel="0" collapsed="false">
      <c r="A17" s="27"/>
      <c r="B17" s="27"/>
      <c r="C17" s="33" t="str">
        <f aca="false">IFERROR(INDEX('Lead Management'!$B$4:$B$1003,MATCH($B17,'Lead Management'!$A$4:$A$1003,0)),"")</f>
        <v/>
      </c>
      <c r="D17" s="33" t="str">
        <f aca="false">IFERROR(INDEX('Lead Management'!$C$4:$C$1003,MATCH($B17,'Lead Management'!$A$4:$A$1003,0)),"")</f>
        <v/>
      </c>
      <c r="E17" s="33" t="str">
        <f aca="false">IFERROR(INDEX('Lead Management'!$F$4:$F$1003,MATCH($B17,'Lead Management'!$A$4:$A$1003,0)),"")</f>
        <v/>
      </c>
      <c r="F17" s="27"/>
      <c r="G17" s="28"/>
      <c r="H17" s="28"/>
      <c r="I17" s="27"/>
      <c r="J17" s="29"/>
      <c r="K17" s="28"/>
      <c r="L17" s="34" t="str">
        <f aca="false">IF($F17="","",IFERROR(INDEX(Settings!$B$18:$B$27,MATCH($F17,Settings!$A$18:$A$27,0)),""))</f>
        <v/>
      </c>
      <c r="M17" s="34" t="str">
        <f aca="false">IF($A17="","",SUMIFS(Finance!$E$4:$E$1003,Finance!$B$4:$B$1003,$A17,Finance!$J$4:$J$1003,"Paid"))</f>
        <v/>
      </c>
      <c r="N17" s="34" t="str">
        <f aca="false">IF($A17="","",IFERROR($L17-$M17,""))</f>
        <v/>
      </c>
      <c r="O17" s="35" t="str">
        <f aca="false">IF($A17="","",IFERROR($M17/$L17,""))</f>
        <v/>
      </c>
      <c r="P17" s="33" t="str">
        <f aca="false">IFERROR(INDEX('Process Tracking'!$E$5:$E$1003,MATCH($A17,'Process Tracking'!$A$5:$A$1003,0)),"")</f>
        <v/>
      </c>
      <c r="Q17" s="35" t="str">
        <f aca="false">IFERROR(INDEX(Documents!$Q$4:$Q$1003,MATCH($A17,Documents!$A$4:$A$1003,0)),"")</f>
        <v/>
      </c>
      <c r="R17" s="27"/>
      <c r="S17" s="31" t="str">
        <f aca="false">IFERROR(INDEX('Lead Management'!$O$4:$O$1003,MATCH($B17,'Lead Management'!$A$4:$A$1003,0)),"")</f>
        <v/>
      </c>
      <c r="T17" s="36" t="str">
        <f aca="false">IFERROR(INDEX('Lead Management'!$P$4:$P$1003,MATCH($B17,'Lead Management'!$A$4:$A$1003,0)),"")</f>
        <v/>
      </c>
      <c r="U17" s="32"/>
    </row>
    <row r="18" customFormat="false" ht="15.75" hidden="false" customHeight="true" outlineLevel="0" collapsed="false">
      <c r="A18" s="27"/>
      <c r="B18" s="27"/>
      <c r="C18" s="33" t="str">
        <f aca="false">IFERROR(INDEX('Lead Management'!$B$4:$B$1003,MATCH($B18,'Lead Management'!$A$4:$A$1003,0)),"")</f>
        <v/>
      </c>
      <c r="D18" s="33" t="str">
        <f aca="false">IFERROR(INDEX('Lead Management'!$C$4:$C$1003,MATCH($B18,'Lead Management'!$A$4:$A$1003,0)),"")</f>
        <v/>
      </c>
      <c r="E18" s="33" t="str">
        <f aca="false">IFERROR(INDEX('Lead Management'!$F$4:$F$1003,MATCH($B18,'Lead Management'!$A$4:$A$1003,0)),"")</f>
        <v/>
      </c>
      <c r="F18" s="27"/>
      <c r="G18" s="28"/>
      <c r="H18" s="28"/>
      <c r="I18" s="27"/>
      <c r="J18" s="29"/>
      <c r="K18" s="28"/>
      <c r="L18" s="34" t="str">
        <f aca="false">IF($F18="","",IFERROR(INDEX(Settings!$B$18:$B$27,MATCH($F18,Settings!$A$18:$A$27,0)),""))</f>
        <v/>
      </c>
      <c r="M18" s="34" t="str">
        <f aca="false">IF($A18="","",SUMIFS(Finance!$E$4:$E$1003,Finance!$B$4:$B$1003,$A18,Finance!$J$4:$J$1003,"Paid"))</f>
        <v/>
      </c>
      <c r="N18" s="34" t="str">
        <f aca="false">IF($A18="","",IFERROR($L18-$M18,""))</f>
        <v/>
      </c>
      <c r="O18" s="35" t="str">
        <f aca="false">IF($A18="","",IFERROR($M18/$L18,""))</f>
        <v/>
      </c>
      <c r="P18" s="33" t="str">
        <f aca="false">IFERROR(INDEX('Process Tracking'!$E$5:$E$1003,MATCH($A18,'Process Tracking'!$A$5:$A$1003,0)),"")</f>
        <v/>
      </c>
      <c r="Q18" s="35" t="str">
        <f aca="false">IFERROR(INDEX(Documents!$Q$4:$Q$1003,MATCH($A18,Documents!$A$4:$A$1003,0)),"")</f>
        <v/>
      </c>
      <c r="R18" s="27"/>
      <c r="S18" s="31" t="str">
        <f aca="false">IFERROR(INDEX('Lead Management'!$O$4:$O$1003,MATCH($B18,'Lead Management'!$A$4:$A$1003,0)),"")</f>
        <v/>
      </c>
      <c r="T18" s="36" t="str">
        <f aca="false">IFERROR(INDEX('Lead Management'!$P$4:$P$1003,MATCH($B18,'Lead Management'!$A$4:$A$1003,0)),"")</f>
        <v/>
      </c>
      <c r="U18" s="32"/>
    </row>
    <row r="19" customFormat="false" ht="15.75" hidden="false" customHeight="true" outlineLevel="0" collapsed="false">
      <c r="A19" s="27"/>
      <c r="B19" s="27"/>
      <c r="C19" s="33" t="str">
        <f aca="false">IFERROR(INDEX('Lead Management'!$B$4:$B$1003,MATCH($B19,'Lead Management'!$A$4:$A$1003,0)),"")</f>
        <v/>
      </c>
      <c r="D19" s="33" t="str">
        <f aca="false">IFERROR(INDEX('Lead Management'!$C$4:$C$1003,MATCH($B19,'Lead Management'!$A$4:$A$1003,0)),"")</f>
        <v/>
      </c>
      <c r="E19" s="33" t="str">
        <f aca="false">IFERROR(INDEX('Lead Management'!$F$4:$F$1003,MATCH($B19,'Lead Management'!$A$4:$A$1003,0)),"")</f>
        <v/>
      </c>
      <c r="F19" s="27"/>
      <c r="G19" s="28"/>
      <c r="H19" s="28"/>
      <c r="I19" s="27"/>
      <c r="J19" s="29"/>
      <c r="K19" s="28"/>
      <c r="L19" s="34" t="str">
        <f aca="false">IF($F19="","",IFERROR(INDEX(Settings!$B$18:$B$27,MATCH($F19,Settings!$A$18:$A$27,0)),""))</f>
        <v/>
      </c>
      <c r="M19" s="34" t="str">
        <f aca="false">IF($A19="","",SUMIFS(Finance!$E$4:$E$1003,Finance!$B$4:$B$1003,$A19,Finance!$J$4:$J$1003,"Paid"))</f>
        <v/>
      </c>
      <c r="N19" s="34" t="str">
        <f aca="false">IF($A19="","",IFERROR($L19-$M19,""))</f>
        <v/>
      </c>
      <c r="O19" s="35" t="str">
        <f aca="false">IF($A19="","",IFERROR($M19/$L19,""))</f>
        <v/>
      </c>
      <c r="P19" s="33" t="str">
        <f aca="false">IFERROR(INDEX('Process Tracking'!$E$5:$E$1003,MATCH($A19,'Process Tracking'!$A$5:$A$1003,0)),"")</f>
        <v/>
      </c>
      <c r="Q19" s="35" t="str">
        <f aca="false">IFERROR(INDEX(Documents!$Q$4:$Q$1003,MATCH($A19,Documents!$A$4:$A$1003,0)),"")</f>
        <v/>
      </c>
      <c r="R19" s="27"/>
      <c r="S19" s="31" t="str">
        <f aca="false">IFERROR(INDEX('Lead Management'!$O$4:$O$1003,MATCH($B19,'Lead Management'!$A$4:$A$1003,0)),"")</f>
        <v/>
      </c>
      <c r="T19" s="36" t="str">
        <f aca="false">IFERROR(INDEX('Lead Management'!$P$4:$P$1003,MATCH($B19,'Lead Management'!$A$4:$A$1003,0)),"")</f>
        <v/>
      </c>
      <c r="U19" s="32"/>
    </row>
    <row r="20" customFormat="false" ht="15.75" hidden="false" customHeight="true" outlineLevel="0" collapsed="false">
      <c r="A20" s="27"/>
      <c r="B20" s="27"/>
      <c r="C20" s="33" t="str">
        <f aca="false">IFERROR(INDEX('Lead Management'!$B$4:$B$1003,MATCH($B20,'Lead Management'!$A$4:$A$1003,0)),"")</f>
        <v/>
      </c>
      <c r="D20" s="33" t="str">
        <f aca="false">IFERROR(INDEX('Lead Management'!$C$4:$C$1003,MATCH($B20,'Lead Management'!$A$4:$A$1003,0)),"")</f>
        <v/>
      </c>
      <c r="E20" s="33" t="str">
        <f aca="false">IFERROR(INDEX('Lead Management'!$F$4:$F$1003,MATCH($B20,'Lead Management'!$A$4:$A$1003,0)),"")</f>
        <v/>
      </c>
      <c r="F20" s="27"/>
      <c r="G20" s="28"/>
      <c r="H20" s="28"/>
      <c r="I20" s="27"/>
      <c r="J20" s="29"/>
      <c r="K20" s="28"/>
      <c r="L20" s="34" t="str">
        <f aca="false">IF($F20="","",IFERROR(INDEX(Settings!$B$18:$B$27,MATCH($F20,Settings!$A$18:$A$27,0)),""))</f>
        <v/>
      </c>
      <c r="M20" s="34" t="str">
        <f aca="false">IF($A20="","",SUMIFS(Finance!$E$4:$E$1003,Finance!$B$4:$B$1003,$A20,Finance!$J$4:$J$1003,"Paid"))</f>
        <v/>
      </c>
      <c r="N20" s="34" t="str">
        <f aca="false">IF($A20="","",IFERROR($L20-$M20,""))</f>
        <v/>
      </c>
      <c r="O20" s="35" t="str">
        <f aca="false">IF($A20="","",IFERROR($M20/$L20,""))</f>
        <v/>
      </c>
      <c r="P20" s="33" t="str">
        <f aca="false">IFERROR(INDEX('Process Tracking'!$E$5:$E$1003,MATCH($A20,'Process Tracking'!$A$5:$A$1003,0)),"")</f>
        <v/>
      </c>
      <c r="Q20" s="35" t="str">
        <f aca="false">IFERROR(INDEX(Documents!$Q$4:$Q$1003,MATCH($A20,Documents!$A$4:$A$1003,0)),"")</f>
        <v/>
      </c>
      <c r="R20" s="27"/>
      <c r="S20" s="31" t="str">
        <f aca="false">IFERROR(INDEX('Lead Management'!$O$4:$O$1003,MATCH($B20,'Lead Management'!$A$4:$A$1003,0)),"")</f>
        <v/>
      </c>
      <c r="T20" s="36" t="str">
        <f aca="false">IFERROR(INDEX('Lead Management'!$P$4:$P$1003,MATCH($B20,'Lead Management'!$A$4:$A$1003,0)),"")</f>
        <v/>
      </c>
      <c r="U20" s="32"/>
    </row>
    <row r="21" customFormat="false" ht="15.75" hidden="false" customHeight="true" outlineLevel="0" collapsed="false">
      <c r="A21" s="27"/>
      <c r="B21" s="27"/>
      <c r="C21" s="33" t="str">
        <f aca="false">IFERROR(INDEX('Lead Management'!$B$4:$B$1003,MATCH($B21,'Lead Management'!$A$4:$A$1003,0)),"")</f>
        <v/>
      </c>
      <c r="D21" s="33" t="str">
        <f aca="false">IFERROR(INDEX('Lead Management'!$C$4:$C$1003,MATCH($B21,'Lead Management'!$A$4:$A$1003,0)),"")</f>
        <v/>
      </c>
      <c r="E21" s="33" t="str">
        <f aca="false">IFERROR(INDEX('Lead Management'!$F$4:$F$1003,MATCH($B21,'Lead Management'!$A$4:$A$1003,0)),"")</f>
        <v/>
      </c>
      <c r="F21" s="27"/>
      <c r="G21" s="28"/>
      <c r="H21" s="28"/>
      <c r="I21" s="27"/>
      <c r="J21" s="29"/>
      <c r="K21" s="28"/>
      <c r="L21" s="34" t="str">
        <f aca="false">IF($F21="","",IFERROR(INDEX(Settings!$B$18:$B$27,MATCH($F21,Settings!$A$18:$A$27,0)),""))</f>
        <v/>
      </c>
      <c r="M21" s="34" t="str">
        <f aca="false">IF($A21="","",SUMIFS(Finance!$E$4:$E$1003,Finance!$B$4:$B$1003,$A21,Finance!$J$4:$J$1003,"Paid"))</f>
        <v/>
      </c>
      <c r="N21" s="34" t="str">
        <f aca="false">IF($A21="","",IFERROR($L21-$M21,""))</f>
        <v/>
      </c>
      <c r="O21" s="35" t="str">
        <f aca="false">IF($A21="","",IFERROR($M21/$L21,""))</f>
        <v/>
      </c>
      <c r="P21" s="33" t="str">
        <f aca="false">IFERROR(INDEX('Process Tracking'!$E$5:$E$1003,MATCH($A21,'Process Tracking'!$A$5:$A$1003,0)),"")</f>
        <v/>
      </c>
      <c r="Q21" s="35" t="str">
        <f aca="false">IFERROR(INDEX(Documents!$Q$4:$Q$1003,MATCH($A21,Documents!$A$4:$A$1003,0)),"")</f>
        <v/>
      </c>
      <c r="R21" s="27"/>
      <c r="S21" s="31" t="str">
        <f aca="false">IFERROR(INDEX('Lead Management'!$O$4:$O$1003,MATCH($B21,'Lead Management'!$A$4:$A$1003,0)),"")</f>
        <v/>
      </c>
      <c r="T21" s="36" t="str">
        <f aca="false">IFERROR(INDEX('Lead Management'!$P$4:$P$1003,MATCH($B21,'Lead Management'!$A$4:$A$1003,0)),"")</f>
        <v/>
      </c>
      <c r="U21" s="32"/>
    </row>
    <row r="22" customFormat="false" ht="15.75" hidden="false" customHeight="true" outlineLevel="0" collapsed="false">
      <c r="A22" s="27"/>
      <c r="B22" s="27"/>
      <c r="C22" s="33" t="str">
        <f aca="false">IFERROR(INDEX('Lead Management'!$B$4:$B$1003,MATCH($B22,'Lead Management'!$A$4:$A$1003,0)),"")</f>
        <v/>
      </c>
      <c r="D22" s="33" t="str">
        <f aca="false">IFERROR(INDEX('Lead Management'!$C$4:$C$1003,MATCH($B22,'Lead Management'!$A$4:$A$1003,0)),"")</f>
        <v/>
      </c>
      <c r="E22" s="33" t="str">
        <f aca="false">IFERROR(INDEX('Lead Management'!$F$4:$F$1003,MATCH($B22,'Lead Management'!$A$4:$A$1003,0)),"")</f>
        <v/>
      </c>
      <c r="F22" s="27"/>
      <c r="G22" s="28"/>
      <c r="H22" s="28"/>
      <c r="I22" s="27"/>
      <c r="J22" s="29"/>
      <c r="K22" s="28"/>
      <c r="L22" s="34" t="str">
        <f aca="false">IF($F22="","",IFERROR(INDEX(Settings!$B$18:$B$27,MATCH($F22,Settings!$A$18:$A$27,0)),""))</f>
        <v/>
      </c>
      <c r="M22" s="34" t="str">
        <f aca="false">IF($A22="","",SUMIFS(Finance!$E$4:$E$1003,Finance!$B$4:$B$1003,$A22,Finance!$J$4:$J$1003,"Paid"))</f>
        <v/>
      </c>
      <c r="N22" s="34" t="str">
        <f aca="false">IF($A22="","",IFERROR($L22-$M22,""))</f>
        <v/>
      </c>
      <c r="O22" s="35" t="str">
        <f aca="false">IF($A22="","",IFERROR($M22/$L22,""))</f>
        <v/>
      </c>
      <c r="P22" s="33" t="str">
        <f aca="false">IFERROR(INDEX('Process Tracking'!$E$5:$E$1003,MATCH($A22,'Process Tracking'!$A$5:$A$1003,0)),"")</f>
        <v/>
      </c>
      <c r="Q22" s="35" t="str">
        <f aca="false">IFERROR(INDEX(Documents!$Q$4:$Q$1003,MATCH($A22,Documents!$A$4:$A$1003,0)),"")</f>
        <v/>
      </c>
      <c r="R22" s="27"/>
      <c r="S22" s="31" t="str">
        <f aca="false">IFERROR(INDEX('Lead Management'!$O$4:$O$1003,MATCH($B22,'Lead Management'!$A$4:$A$1003,0)),"")</f>
        <v/>
      </c>
      <c r="T22" s="36" t="str">
        <f aca="false">IFERROR(INDEX('Lead Management'!$P$4:$P$1003,MATCH($B22,'Lead Management'!$A$4:$A$1003,0)),"")</f>
        <v/>
      </c>
      <c r="U22" s="32"/>
    </row>
    <row r="23" customFormat="false" ht="15.75" hidden="false" customHeight="true" outlineLevel="0" collapsed="false">
      <c r="A23" s="27"/>
      <c r="B23" s="27"/>
      <c r="C23" s="33" t="str">
        <f aca="false">IFERROR(INDEX('Lead Management'!$B$4:$B$1003,MATCH($B23,'Lead Management'!$A$4:$A$1003,0)),"")</f>
        <v/>
      </c>
      <c r="D23" s="33" t="str">
        <f aca="false">IFERROR(INDEX('Lead Management'!$C$4:$C$1003,MATCH($B23,'Lead Management'!$A$4:$A$1003,0)),"")</f>
        <v/>
      </c>
      <c r="E23" s="33" t="str">
        <f aca="false">IFERROR(INDEX('Lead Management'!$F$4:$F$1003,MATCH($B23,'Lead Management'!$A$4:$A$1003,0)),"")</f>
        <v/>
      </c>
      <c r="F23" s="27"/>
      <c r="G23" s="28"/>
      <c r="H23" s="28"/>
      <c r="I23" s="27"/>
      <c r="J23" s="29"/>
      <c r="K23" s="28"/>
      <c r="L23" s="34" t="str">
        <f aca="false">IF($F23="","",IFERROR(INDEX(Settings!$B$18:$B$27,MATCH($F23,Settings!$A$18:$A$27,0)),""))</f>
        <v/>
      </c>
      <c r="M23" s="34" t="str">
        <f aca="false">IF($A23="","",SUMIFS(Finance!$E$4:$E$1003,Finance!$B$4:$B$1003,$A23,Finance!$J$4:$J$1003,"Paid"))</f>
        <v/>
      </c>
      <c r="N23" s="34" t="str">
        <f aca="false">IF($A23="","",IFERROR($L23-$M23,""))</f>
        <v/>
      </c>
      <c r="O23" s="35" t="str">
        <f aca="false">IF($A23="","",IFERROR($M23/$L23,""))</f>
        <v/>
      </c>
      <c r="P23" s="33" t="str">
        <f aca="false">IFERROR(INDEX('Process Tracking'!$E$5:$E$1003,MATCH($A23,'Process Tracking'!$A$5:$A$1003,0)),"")</f>
        <v/>
      </c>
      <c r="Q23" s="35" t="str">
        <f aca="false">IFERROR(INDEX(Documents!$Q$4:$Q$1003,MATCH($A23,Documents!$A$4:$A$1003,0)),"")</f>
        <v/>
      </c>
      <c r="R23" s="27"/>
      <c r="S23" s="31" t="str">
        <f aca="false">IFERROR(INDEX('Lead Management'!$O$4:$O$1003,MATCH($B23,'Lead Management'!$A$4:$A$1003,0)),"")</f>
        <v/>
      </c>
      <c r="T23" s="36" t="str">
        <f aca="false">IFERROR(INDEX('Lead Management'!$P$4:$P$1003,MATCH($B23,'Lead Management'!$A$4:$A$1003,0)),"")</f>
        <v/>
      </c>
      <c r="U23" s="32"/>
    </row>
    <row r="24" customFormat="false" ht="15.75" hidden="false" customHeight="true" outlineLevel="0" collapsed="false">
      <c r="A24" s="27"/>
      <c r="B24" s="27"/>
      <c r="C24" s="33" t="str">
        <f aca="false">IFERROR(INDEX('Lead Management'!$B$4:$B$1003,MATCH($B24,'Lead Management'!$A$4:$A$1003,0)),"")</f>
        <v/>
      </c>
      <c r="D24" s="33" t="str">
        <f aca="false">IFERROR(INDEX('Lead Management'!$C$4:$C$1003,MATCH($B24,'Lead Management'!$A$4:$A$1003,0)),"")</f>
        <v/>
      </c>
      <c r="E24" s="33" t="str">
        <f aca="false">IFERROR(INDEX('Lead Management'!$F$4:$F$1003,MATCH($B24,'Lead Management'!$A$4:$A$1003,0)),"")</f>
        <v/>
      </c>
      <c r="F24" s="27"/>
      <c r="G24" s="28"/>
      <c r="H24" s="28"/>
      <c r="I24" s="27"/>
      <c r="J24" s="29"/>
      <c r="K24" s="28"/>
      <c r="L24" s="34" t="str">
        <f aca="false">IF($F24="","",IFERROR(INDEX(Settings!$B$18:$B$27,MATCH($F24,Settings!$A$18:$A$27,0)),""))</f>
        <v/>
      </c>
      <c r="M24" s="34" t="str">
        <f aca="false">IF($A24="","",SUMIFS(Finance!$E$4:$E$1003,Finance!$B$4:$B$1003,$A24,Finance!$J$4:$J$1003,"Paid"))</f>
        <v/>
      </c>
      <c r="N24" s="34" t="str">
        <f aca="false">IF($A24="","",IFERROR($L24-$M24,""))</f>
        <v/>
      </c>
      <c r="O24" s="35" t="str">
        <f aca="false">IF($A24="","",IFERROR($M24/$L24,""))</f>
        <v/>
      </c>
      <c r="P24" s="33" t="str">
        <f aca="false">IFERROR(INDEX('Process Tracking'!$E$5:$E$1003,MATCH($A24,'Process Tracking'!$A$5:$A$1003,0)),"")</f>
        <v/>
      </c>
      <c r="Q24" s="35" t="str">
        <f aca="false">IFERROR(INDEX(Documents!$Q$4:$Q$1003,MATCH($A24,Documents!$A$4:$A$1003,0)),"")</f>
        <v/>
      </c>
      <c r="R24" s="27"/>
      <c r="S24" s="31" t="str">
        <f aca="false">IFERROR(INDEX('Lead Management'!$O$4:$O$1003,MATCH($B24,'Lead Management'!$A$4:$A$1003,0)),"")</f>
        <v/>
      </c>
      <c r="T24" s="36" t="str">
        <f aca="false">IFERROR(INDEX('Lead Management'!$P$4:$P$1003,MATCH($B24,'Lead Management'!$A$4:$A$1003,0)),"")</f>
        <v/>
      </c>
      <c r="U24" s="32"/>
    </row>
    <row r="25" customFormat="false" ht="15.75" hidden="false" customHeight="true" outlineLevel="0" collapsed="false">
      <c r="A25" s="27"/>
      <c r="B25" s="27"/>
      <c r="C25" s="33" t="str">
        <f aca="false">IFERROR(INDEX('Lead Management'!$B$4:$B$1003,MATCH($B25,'Lead Management'!$A$4:$A$1003,0)),"")</f>
        <v/>
      </c>
      <c r="D25" s="33" t="str">
        <f aca="false">IFERROR(INDEX('Lead Management'!$C$4:$C$1003,MATCH($B25,'Lead Management'!$A$4:$A$1003,0)),"")</f>
        <v/>
      </c>
      <c r="E25" s="33" t="str">
        <f aca="false">IFERROR(INDEX('Lead Management'!$F$4:$F$1003,MATCH($B25,'Lead Management'!$A$4:$A$1003,0)),"")</f>
        <v/>
      </c>
      <c r="F25" s="27"/>
      <c r="G25" s="28"/>
      <c r="H25" s="28"/>
      <c r="I25" s="27"/>
      <c r="J25" s="29"/>
      <c r="K25" s="28"/>
      <c r="L25" s="34" t="str">
        <f aca="false">IF($F25="","",IFERROR(INDEX(Settings!$B$18:$B$27,MATCH($F25,Settings!$A$18:$A$27,0)),""))</f>
        <v/>
      </c>
      <c r="M25" s="34" t="str">
        <f aca="false">IF($A25="","",SUMIFS(Finance!$E$4:$E$1003,Finance!$B$4:$B$1003,$A25,Finance!$J$4:$J$1003,"Paid"))</f>
        <v/>
      </c>
      <c r="N25" s="34" t="str">
        <f aca="false">IF($A25="","",IFERROR($L25-$M25,""))</f>
        <v/>
      </c>
      <c r="O25" s="35" t="str">
        <f aca="false">IF($A25="","",IFERROR($M25/$L25,""))</f>
        <v/>
      </c>
      <c r="P25" s="33" t="str">
        <f aca="false">IFERROR(INDEX('Process Tracking'!$E$5:$E$1003,MATCH($A25,'Process Tracking'!$A$5:$A$1003,0)),"")</f>
        <v/>
      </c>
      <c r="Q25" s="35" t="str">
        <f aca="false">IFERROR(INDEX(Documents!$Q$4:$Q$1003,MATCH($A25,Documents!$A$4:$A$1003,0)),"")</f>
        <v/>
      </c>
      <c r="R25" s="27"/>
      <c r="S25" s="31" t="str">
        <f aca="false">IFERROR(INDEX('Lead Management'!$O$4:$O$1003,MATCH($B25,'Lead Management'!$A$4:$A$1003,0)),"")</f>
        <v/>
      </c>
      <c r="T25" s="36" t="str">
        <f aca="false">IFERROR(INDEX('Lead Management'!$P$4:$P$1003,MATCH($B25,'Lead Management'!$A$4:$A$1003,0)),"")</f>
        <v/>
      </c>
      <c r="U25" s="32"/>
    </row>
    <row r="26" customFormat="false" ht="15.75" hidden="false" customHeight="true" outlineLevel="0" collapsed="false">
      <c r="A26" s="27"/>
      <c r="B26" s="27"/>
      <c r="C26" s="33" t="str">
        <f aca="false">IFERROR(INDEX('Lead Management'!$B$4:$B$1003,MATCH($B26,'Lead Management'!$A$4:$A$1003,0)),"")</f>
        <v/>
      </c>
      <c r="D26" s="33" t="str">
        <f aca="false">IFERROR(INDEX('Lead Management'!$C$4:$C$1003,MATCH($B26,'Lead Management'!$A$4:$A$1003,0)),"")</f>
        <v/>
      </c>
      <c r="E26" s="33" t="str">
        <f aca="false">IFERROR(INDEX('Lead Management'!$F$4:$F$1003,MATCH($B26,'Lead Management'!$A$4:$A$1003,0)),"")</f>
        <v/>
      </c>
      <c r="F26" s="27"/>
      <c r="G26" s="28"/>
      <c r="H26" s="28"/>
      <c r="I26" s="27"/>
      <c r="J26" s="29"/>
      <c r="K26" s="28"/>
      <c r="L26" s="34" t="str">
        <f aca="false">IF($F26="","",IFERROR(INDEX(Settings!$B$18:$B$27,MATCH($F26,Settings!$A$18:$A$27,0)),""))</f>
        <v/>
      </c>
      <c r="M26" s="34" t="str">
        <f aca="false">IF($A26="","",SUMIFS(Finance!$E$4:$E$1003,Finance!$B$4:$B$1003,$A26,Finance!$J$4:$J$1003,"Paid"))</f>
        <v/>
      </c>
      <c r="N26" s="34" t="str">
        <f aca="false">IF($A26="","",IFERROR($L26-$M26,""))</f>
        <v/>
      </c>
      <c r="O26" s="35" t="str">
        <f aca="false">IF($A26="","",IFERROR($M26/$L26,""))</f>
        <v/>
      </c>
      <c r="P26" s="33" t="str">
        <f aca="false">IFERROR(INDEX('Process Tracking'!$E$5:$E$1003,MATCH($A26,'Process Tracking'!$A$5:$A$1003,0)),"")</f>
        <v/>
      </c>
      <c r="Q26" s="35" t="str">
        <f aca="false">IFERROR(INDEX(Documents!$Q$4:$Q$1003,MATCH($A26,Documents!$A$4:$A$1003,0)),"")</f>
        <v/>
      </c>
      <c r="R26" s="27"/>
      <c r="S26" s="31" t="str">
        <f aca="false">IFERROR(INDEX('Lead Management'!$O$4:$O$1003,MATCH($B26,'Lead Management'!$A$4:$A$1003,0)),"")</f>
        <v/>
      </c>
      <c r="T26" s="36" t="str">
        <f aca="false">IFERROR(INDEX('Lead Management'!$P$4:$P$1003,MATCH($B26,'Lead Management'!$A$4:$A$1003,0)),"")</f>
        <v/>
      </c>
      <c r="U26" s="32"/>
    </row>
    <row r="27" customFormat="false" ht="15.75" hidden="false" customHeight="true" outlineLevel="0" collapsed="false">
      <c r="A27" s="27"/>
      <c r="B27" s="27"/>
      <c r="C27" s="33" t="str">
        <f aca="false">IFERROR(INDEX('Lead Management'!$B$4:$B$1003,MATCH($B27,'Lead Management'!$A$4:$A$1003,0)),"")</f>
        <v/>
      </c>
      <c r="D27" s="33" t="str">
        <f aca="false">IFERROR(INDEX('Lead Management'!$C$4:$C$1003,MATCH($B27,'Lead Management'!$A$4:$A$1003,0)),"")</f>
        <v/>
      </c>
      <c r="E27" s="33" t="str">
        <f aca="false">IFERROR(INDEX('Lead Management'!$F$4:$F$1003,MATCH($B27,'Lead Management'!$A$4:$A$1003,0)),"")</f>
        <v/>
      </c>
      <c r="F27" s="27"/>
      <c r="G27" s="28"/>
      <c r="H27" s="28"/>
      <c r="I27" s="27"/>
      <c r="J27" s="29"/>
      <c r="K27" s="28"/>
      <c r="L27" s="34" t="str">
        <f aca="false">IF($F27="","",IFERROR(INDEX(Settings!$B$18:$B$27,MATCH($F27,Settings!$A$18:$A$27,0)),""))</f>
        <v/>
      </c>
      <c r="M27" s="34" t="str">
        <f aca="false">IF($A27="","",SUMIFS(Finance!$E$4:$E$1003,Finance!$B$4:$B$1003,$A27,Finance!$J$4:$J$1003,"Paid"))</f>
        <v/>
      </c>
      <c r="N27" s="34" t="str">
        <f aca="false">IF($A27="","",IFERROR($L27-$M27,""))</f>
        <v/>
      </c>
      <c r="O27" s="35" t="str">
        <f aca="false">IF($A27="","",IFERROR($M27/$L27,""))</f>
        <v/>
      </c>
      <c r="P27" s="33" t="str">
        <f aca="false">IFERROR(INDEX('Process Tracking'!$E$5:$E$1003,MATCH($A27,'Process Tracking'!$A$5:$A$1003,0)),"")</f>
        <v/>
      </c>
      <c r="Q27" s="35" t="str">
        <f aca="false">IFERROR(INDEX(Documents!$Q$4:$Q$1003,MATCH($A27,Documents!$A$4:$A$1003,0)),"")</f>
        <v/>
      </c>
      <c r="R27" s="27"/>
      <c r="S27" s="31" t="str">
        <f aca="false">IFERROR(INDEX('Lead Management'!$O$4:$O$1003,MATCH($B27,'Lead Management'!$A$4:$A$1003,0)),"")</f>
        <v/>
      </c>
      <c r="T27" s="36" t="str">
        <f aca="false">IFERROR(INDEX('Lead Management'!$P$4:$P$1003,MATCH($B27,'Lead Management'!$A$4:$A$1003,0)),"")</f>
        <v/>
      </c>
      <c r="U27" s="32"/>
    </row>
    <row r="28" customFormat="false" ht="15.75" hidden="false" customHeight="true" outlineLevel="0" collapsed="false">
      <c r="A28" s="27"/>
      <c r="B28" s="27"/>
      <c r="C28" s="33" t="str">
        <f aca="false">IFERROR(INDEX('Lead Management'!$B$4:$B$1003,MATCH($B28,'Lead Management'!$A$4:$A$1003,0)),"")</f>
        <v/>
      </c>
      <c r="D28" s="33" t="str">
        <f aca="false">IFERROR(INDEX('Lead Management'!$C$4:$C$1003,MATCH($B28,'Lead Management'!$A$4:$A$1003,0)),"")</f>
        <v/>
      </c>
      <c r="E28" s="33" t="str">
        <f aca="false">IFERROR(INDEX('Lead Management'!$F$4:$F$1003,MATCH($B28,'Lead Management'!$A$4:$A$1003,0)),"")</f>
        <v/>
      </c>
      <c r="F28" s="27"/>
      <c r="G28" s="28"/>
      <c r="H28" s="28"/>
      <c r="I28" s="27"/>
      <c r="J28" s="29"/>
      <c r="K28" s="28"/>
      <c r="L28" s="34" t="str">
        <f aca="false">IF($F28="","",IFERROR(INDEX(Settings!$B$18:$B$27,MATCH($F28,Settings!$A$18:$A$27,0)),""))</f>
        <v/>
      </c>
      <c r="M28" s="34" t="str">
        <f aca="false">IF($A28="","",SUMIFS(Finance!$E$4:$E$1003,Finance!$B$4:$B$1003,$A28,Finance!$J$4:$J$1003,"Paid"))</f>
        <v/>
      </c>
      <c r="N28" s="34" t="str">
        <f aca="false">IF($A28="","",IFERROR($L28-$M28,""))</f>
        <v/>
      </c>
      <c r="O28" s="35" t="str">
        <f aca="false">IF($A28="","",IFERROR($M28/$L28,""))</f>
        <v/>
      </c>
      <c r="P28" s="33" t="str">
        <f aca="false">IFERROR(INDEX('Process Tracking'!$E$5:$E$1003,MATCH($A28,'Process Tracking'!$A$5:$A$1003,0)),"")</f>
        <v/>
      </c>
      <c r="Q28" s="35" t="str">
        <f aca="false">IFERROR(INDEX(Documents!$Q$4:$Q$1003,MATCH($A28,Documents!$A$4:$A$1003,0)),"")</f>
        <v/>
      </c>
      <c r="R28" s="27"/>
      <c r="S28" s="31" t="str">
        <f aca="false">IFERROR(INDEX('Lead Management'!$O$4:$O$1003,MATCH($B28,'Lead Management'!$A$4:$A$1003,0)),"")</f>
        <v/>
      </c>
      <c r="T28" s="36" t="str">
        <f aca="false">IFERROR(INDEX('Lead Management'!$P$4:$P$1003,MATCH($B28,'Lead Management'!$A$4:$A$1003,0)),"")</f>
        <v/>
      </c>
      <c r="U28" s="32"/>
    </row>
    <row r="29" customFormat="false" ht="15.75" hidden="false" customHeight="true" outlineLevel="0" collapsed="false">
      <c r="A29" s="27"/>
      <c r="B29" s="27"/>
      <c r="C29" s="33" t="str">
        <f aca="false">IFERROR(INDEX('Lead Management'!$B$4:$B$1003,MATCH($B29,'Lead Management'!$A$4:$A$1003,0)),"")</f>
        <v/>
      </c>
      <c r="D29" s="33" t="str">
        <f aca="false">IFERROR(INDEX('Lead Management'!$C$4:$C$1003,MATCH($B29,'Lead Management'!$A$4:$A$1003,0)),"")</f>
        <v/>
      </c>
      <c r="E29" s="33" t="str">
        <f aca="false">IFERROR(INDEX('Lead Management'!$F$4:$F$1003,MATCH($B29,'Lead Management'!$A$4:$A$1003,0)),"")</f>
        <v/>
      </c>
      <c r="F29" s="27"/>
      <c r="G29" s="28"/>
      <c r="H29" s="28"/>
      <c r="I29" s="27"/>
      <c r="J29" s="29"/>
      <c r="K29" s="28"/>
      <c r="L29" s="34" t="str">
        <f aca="false">IF($F29="","",IFERROR(INDEX(Settings!$B$18:$B$27,MATCH($F29,Settings!$A$18:$A$27,0)),""))</f>
        <v/>
      </c>
      <c r="M29" s="34" t="str">
        <f aca="false">IF($A29="","",SUMIFS(Finance!$E$4:$E$1003,Finance!$B$4:$B$1003,$A29,Finance!$J$4:$J$1003,"Paid"))</f>
        <v/>
      </c>
      <c r="N29" s="34" t="str">
        <f aca="false">IF($A29="","",IFERROR($L29-$M29,""))</f>
        <v/>
      </c>
      <c r="O29" s="35" t="str">
        <f aca="false">IF($A29="","",IFERROR($M29/$L29,""))</f>
        <v/>
      </c>
      <c r="P29" s="33" t="str">
        <f aca="false">IFERROR(INDEX('Process Tracking'!$E$5:$E$1003,MATCH($A29,'Process Tracking'!$A$5:$A$1003,0)),"")</f>
        <v/>
      </c>
      <c r="Q29" s="35" t="str">
        <f aca="false">IFERROR(INDEX(Documents!$Q$4:$Q$1003,MATCH($A29,Documents!$A$4:$A$1003,0)),"")</f>
        <v/>
      </c>
      <c r="R29" s="27"/>
      <c r="S29" s="31" t="str">
        <f aca="false">IFERROR(INDEX('Lead Management'!$O$4:$O$1003,MATCH($B29,'Lead Management'!$A$4:$A$1003,0)),"")</f>
        <v/>
      </c>
      <c r="T29" s="36" t="str">
        <f aca="false">IFERROR(INDEX('Lead Management'!$P$4:$P$1003,MATCH($B29,'Lead Management'!$A$4:$A$1003,0)),"")</f>
        <v/>
      </c>
      <c r="U29" s="32"/>
    </row>
    <row r="30" customFormat="false" ht="15.75" hidden="false" customHeight="true" outlineLevel="0" collapsed="false">
      <c r="A30" s="27"/>
      <c r="B30" s="27"/>
      <c r="C30" s="33" t="str">
        <f aca="false">IFERROR(INDEX('Lead Management'!$B$4:$B$1003,MATCH($B30,'Lead Management'!$A$4:$A$1003,0)),"")</f>
        <v/>
      </c>
      <c r="D30" s="33" t="str">
        <f aca="false">IFERROR(INDEX('Lead Management'!$C$4:$C$1003,MATCH($B30,'Lead Management'!$A$4:$A$1003,0)),"")</f>
        <v/>
      </c>
      <c r="E30" s="33" t="str">
        <f aca="false">IFERROR(INDEX('Lead Management'!$F$4:$F$1003,MATCH($B30,'Lead Management'!$A$4:$A$1003,0)),"")</f>
        <v/>
      </c>
      <c r="F30" s="27"/>
      <c r="G30" s="28"/>
      <c r="H30" s="28"/>
      <c r="I30" s="27"/>
      <c r="J30" s="29"/>
      <c r="K30" s="28"/>
      <c r="L30" s="34" t="str">
        <f aca="false">IF($F30="","",IFERROR(INDEX(Settings!$B$18:$B$27,MATCH($F30,Settings!$A$18:$A$27,0)),""))</f>
        <v/>
      </c>
      <c r="M30" s="34" t="str">
        <f aca="false">IF($A30="","",SUMIFS(Finance!$E$4:$E$1003,Finance!$B$4:$B$1003,$A30,Finance!$J$4:$J$1003,"Paid"))</f>
        <v/>
      </c>
      <c r="N30" s="34" t="str">
        <f aca="false">IF($A30="","",IFERROR($L30-$M30,""))</f>
        <v/>
      </c>
      <c r="O30" s="35" t="str">
        <f aca="false">IF($A30="","",IFERROR($M30/$L30,""))</f>
        <v/>
      </c>
      <c r="P30" s="33" t="str">
        <f aca="false">IFERROR(INDEX('Process Tracking'!$E$5:$E$1003,MATCH($A30,'Process Tracking'!$A$5:$A$1003,0)),"")</f>
        <v/>
      </c>
      <c r="Q30" s="35" t="str">
        <f aca="false">IFERROR(INDEX(Documents!$Q$4:$Q$1003,MATCH($A30,Documents!$A$4:$A$1003,0)),"")</f>
        <v/>
      </c>
      <c r="R30" s="27"/>
      <c r="S30" s="31" t="str">
        <f aca="false">IFERROR(INDEX('Lead Management'!$O$4:$O$1003,MATCH($B30,'Lead Management'!$A$4:$A$1003,0)),"")</f>
        <v/>
      </c>
      <c r="T30" s="36" t="str">
        <f aca="false">IFERROR(INDEX('Lead Management'!$P$4:$P$1003,MATCH($B30,'Lead Management'!$A$4:$A$1003,0)),"")</f>
        <v/>
      </c>
      <c r="U30" s="32"/>
    </row>
    <row r="31" customFormat="false" ht="15.75" hidden="false" customHeight="true" outlineLevel="0" collapsed="false">
      <c r="A31" s="27"/>
      <c r="B31" s="27"/>
      <c r="C31" s="33" t="str">
        <f aca="false">IFERROR(INDEX('Lead Management'!$B$4:$B$1003,MATCH($B31,'Lead Management'!$A$4:$A$1003,0)),"")</f>
        <v/>
      </c>
      <c r="D31" s="33" t="str">
        <f aca="false">IFERROR(INDEX('Lead Management'!$C$4:$C$1003,MATCH($B31,'Lead Management'!$A$4:$A$1003,0)),"")</f>
        <v/>
      </c>
      <c r="E31" s="33" t="str">
        <f aca="false">IFERROR(INDEX('Lead Management'!$F$4:$F$1003,MATCH($B31,'Lead Management'!$A$4:$A$1003,0)),"")</f>
        <v/>
      </c>
      <c r="F31" s="27"/>
      <c r="G31" s="28"/>
      <c r="H31" s="28"/>
      <c r="I31" s="27"/>
      <c r="J31" s="29"/>
      <c r="K31" s="28"/>
      <c r="L31" s="34" t="str">
        <f aca="false">IF($F31="","",IFERROR(INDEX(Settings!$B$18:$B$27,MATCH($F31,Settings!$A$18:$A$27,0)),""))</f>
        <v/>
      </c>
      <c r="M31" s="34" t="str">
        <f aca="false">IF($A31="","",SUMIFS(Finance!$E$4:$E$1003,Finance!$B$4:$B$1003,$A31,Finance!$J$4:$J$1003,"Paid"))</f>
        <v/>
      </c>
      <c r="N31" s="34" t="str">
        <f aca="false">IF($A31="","",IFERROR($L31-$M31,""))</f>
        <v/>
      </c>
      <c r="O31" s="35" t="str">
        <f aca="false">IF($A31="","",IFERROR($M31/$L31,""))</f>
        <v/>
      </c>
      <c r="P31" s="33" t="str">
        <f aca="false">IFERROR(INDEX('Process Tracking'!$E$5:$E$1003,MATCH($A31,'Process Tracking'!$A$5:$A$1003,0)),"")</f>
        <v/>
      </c>
      <c r="Q31" s="35" t="str">
        <f aca="false">IFERROR(INDEX(Documents!$Q$4:$Q$1003,MATCH($A31,Documents!$A$4:$A$1003,0)),"")</f>
        <v/>
      </c>
      <c r="R31" s="27"/>
      <c r="S31" s="31" t="str">
        <f aca="false">IFERROR(INDEX('Lead Management'!$O$4:$O$1003,MATCH($B31,'Lead Management'!$A$4:$A$1003,0)),"")</f>
        <v/>
      </c>
      <c r="T31" s="36" t="str">
        <f aca="false">IFERROR(INDEX('Lead Management'!$P$4:$P$1003,MATCH($B31,'Lead Management'!$A$4:$A$1003,0)),"")</f>
        <v/>
      </c>
      <c r="U31" s="32"/>
    </row>
    <row r="32" customFormat="false" ht="15.75" hidden="false" customHeight="true" outlineLevel="0" collapsed="false">
      <c r="A32" s="27"/>
      <c r="B32" s="27"/>
      <c r="C32" s="33" t="str">
        <f aca="false">IFERROR(INDEX('Lead Management'!$B$4:$B$1003,MATCH($B32,'Lead Management'!$A$4:$A$1003,0)),"")</f>
        <v/>
      </c>
      <c r="D32" s="33" t="str">
        <f aca="false">IFERROR(INDEX('Lead Management'!$C$4:$C$1003,MATCH($B32,'Lead Management'!$A$4:$A$1003,0)),"")</f>
        <v/>
      </c>
      <c r="E32" s="33" t="str">
        <f aca="false">IFERROR(INDEX('Lead Management'!$F$4:$F$1003,MATCH($B32,'Lead Management'!$A$4:$A$1003,0)),"")</f>
        <v/>
      </c>
      <c r="F32" s="27"/>
      <c r="G32" s="28"/>
      <c r="H32" s="28"/>
      <c r="I32" s="27"/>
      <c r="J32" s="29"/>
      <c r="K32" s="28"/>
      <c r="L32" s="34" t="str">
        <f aca="false">IF($F32="","",IFERROR(INDEX(Settings!$B$18:$B$27,MATCH($F32,Settings!$A$18:$A$27,0)),""))</f>
        <v/>
      </c>
      <c r="M32" s="34" t="str">
        <f aca="false">IF($A32="","",SUMIFS(Finance!$E$4:$E$1003,Finance!$B$4:$B$1003,$A32,Finance!$J$4:$J$1003,"Paid"))</f>
        <v/>
      </c>
      <c r="N32" s="34" t="str">
        <f aca="false">IF($A32="","",IFERROR($L32-$M32,""))</f>
        <v/>
      </c>
      <c r="O32" s="35" t="str">
        <f aca="false">IF($A32="","",IFERROR($M32/$L32,""))</f>
        <v/>
      </c>
      <c r="P32" s="33" t="str">
        <f aca="false">IFERROR(INDEX('Process Tracking'!$E$5:$E$1003,MATCH($A32,'Process Tracking'!$A$5:$A$1003,0)),"")</f>
        <v/>
      </c>
      <c r="Q32" s="35" t="str">
        <f aca="false">IFERROR(INDEX(Documents!$Q$4:$Q$1003,MATCH($A32,Documents!$A$4:$A$1003,0)),"")</f>
        <v/>
      </c>
      <c r="R32" s="27"/>
      <c r="S32" s="31" t="str">
        <f aca="false">IFERROR(INDEX('Lead Management'!$O$4:$O$1003,MATCH($B32,'Lead Management'!$A$4:$A$1003,0)),"")</f>
        <v/>
      </c>
      <c r="T32" s="36" t="str">
        <f aca="false">IFERROR(INDEX('Lead Management'!$P$4:$P$1003,MATCH($B32,'Lead Management'!$A$4:$A$1003,0)),"")</f>
        <v/>
      </c>
      <c r="U32" s="32"/>
    </row>
    <row r="33" customFormat="false" ht="15.75" hidden="false" customHeight="true" outlineLevel="0" collapsed="false">
      <c r="A33" s="27"/>
      <c r="B33" s="27"/>
      <c r="C33" s="33" t="str">
        <f aca="false">IFERROR(INDEX('Lead Management'!$B$4:$B$1003,MATCH($B33,'Lead Management'!$A$4:$A$1003,0)),"")</f>
        <v/>
      </c>
      <c r="D33" s="33" t="str">
        <f aca="false">IFERROR(INDEX('Lead Management'!$C$4:$C$1003,MATCH($B33,'Lead Management'!$A$4:$A$1003,0)),"")</f>
        <v/>
      </c>
      <c r="E33" s="33" t="str">
        <f aca="false">IFERROR(INDEX('Lead Management'!$F$4:$F$1003,MATCH($B33,'Lead Management'!$A$4:$A$1003,0)),"")</f>
        <v/>
      </c>
      <c r="F33" s="27"/>
      <c r="G33" s="28"/>
      <c r="H33" s="28"/>
      <c r="I33" s="27"/>
      <c r="J33" s="29"/>
      <c r="K33" s="28"/>
      <c r="L33" s="34" t="str">
        <f aca="false">IF($F33="","",IFERROR(INDEX(Settings!$B$18:$B$27,MATCH($F33,Settings!$A$18:$A$27,0)),""))</f>
        <v/>
      </c>
      <c r="M33" s="34" t="str">
        <f aca="false">IF($A33="","",SUMIFS(Finance!$E$4:$E$1003,Finance!$B$4:$B$1003,$A33,Finance!$J$4:$J$1003,"Paid"))</f>
        <v/>
      </c>
      <c r="N33" s="34" t="str">
        <f aca="false">IF($A33="","",IFERROR($L33-$M33,""))</f>
        <v/>
      </c>
      <c r="O33" s="35" t="str">
        <f aca="false">IF($A33="","",IFERROR($M33/$L33,""))</f>
        <v/>
      </c>
      <c r="P33" s="33" t="str">
        <f aca="false">IFERROR(INDEX('Process Tracking'!$E$5:$E$1003,MATCH($A33,'Process Tracking'!$A$5:$A$1003,0)),"")</f>
        <v/>
      </c>
      <c r="Q33" s="35" t="str">
        <f aca="false">IFERROR(INDEX(Documents!$Q$4:$Q$1003,MATCH($A33,Documents!$A$4:$A$1003,0)),"")</f>
        <v/>
      </c>
      <c r="R33" s="27"/>
      <c r="S33" s="31" t="str">
        <f aca="false">IFERROR(INDEX('Lead Management'!$O$4:$O$1003,MATCH($B33,'Lead Management'!$A$4:$A$1003,0)),"")</f>
        <v/>
      </c>
      <c r="T33" s="36" t="str">
        <f aca="false">IFERROR(INDEX('Lead Management'!$P$4:$P$1003,MATCH($B33,'Lead Management'!$A$4:$A$1003,0)),"")</f>
        <v/>
      </c>
      <c r="U33" s="32"/>
    </row>
    <row r="34" customFormat="false" ht="15.75" hidden="false" customHeight="true" outlineLevel="0" collapsed="false">
      <c r="A34" s="27"/>
      <c r="B34" s="27"/>
      <c r="C34" s="33" t="str">
        <f aca="false">IFERROR(INDEX('Lead Management'!$B$4:$B$1003,MATCH($B34,'Lead Management'!$A$4:$A$1003,0)),"")</f>
        <v/>
      </c>
      <c r="D34" s="33" t="str">
        <f aca="false">IFERROR(INDEX('Lead Management'!$C$4:$C$1003,MATCH($B34,'Lead Management'!$A$4:$A$1003,0)),"")</f>
        <v/>
      </c>
      <c r="E34" s="33" t="str">
        <f aca="false">IFERROR(INDEX('Lead Management'!$F$4:$F$1003,MATCH($B34,'Lead Management'!$A$4:$A$1003,0)),"")</f>
        <v/>
      </c>
      <c r="F34" s="27"/>
      <c r="G34" s="28"/>
      <c r="H34" s="28"/>
      <c r="I34" s="27"/>
      <c r="J34" s="29"/>
      <c r="K34" s="28"/>
      <c r="L34" s="34" t="str">
        <f aca="false">IF($F34="","",IFERROR(INDEX(Settings!$B$18:$B$27,MATCH($F34,Settings!$A$18:$A$27,0)),""))</f>
        <v/>
      </c>
      <c r="M34" s="34" t="str">
        <f aca="false">IF($A34="","",SUMIFS(Finance!$E$4:$E$1003,Finance!$B$4:$B$1003,$A34,Finance!$J$4:$J$1003,"Paid"))</f>
        <v/>
      </c>
      <c r="N34" s="34" t="str">
        <f aca="false">IF($A34="","",IFERROR($L34-$M34,""))</f>
        <v/>
      </c>
      <c r="O34" s="35" t="str">
        <f aca="false">IF($A34="","",IFERROR($M34/$L34,""))</f>
        <v/>
      </c>
      <c r="P34" s="33" t="str">
        <f aca="false">IFERROR(INDEX('Process Tracking'!$E$5:$E$1003,MATCH($A34,'Process Tracking'!$A$5:$A$1003,0)),"")</f>
        <v/>
      </c>
      <c r="Q34" s="35" t="str">
        <f aca="false">IFERROR(INDEX(Documents!$Q$4:$Q$1003,MATCH($A34,Documents!$A$4:$A$1003,0)),"")</f>
        <v/>
      </c>
      <c r="R34" s="27"/>
      <c r="S34" s="31" t="str">
        <f aca="false">IFERROR(INDEX('Lead Management'!$O$4:$O$1003,MATCH($B34,'Lead Management'!$A$4:$A$1003,0)),"")</f>
        <v/>
      </c>
      <c r="T34" s="36" t="str">
        <f aca="false">IFERROR(INDEX('Lead Management'!$P$4:$P$1003,MATCH($B34,'Lead Management'!$A$4:$A$1003,0)),"")</f>
        <v/>
      </c>
      <c r="U34" s="32"/>
    </row>
    <row r="35" customFormat="false" ht="15.75" hidden="false" customHeight="true" outlineLevel="0" collapsed="false">
      <c r="A35" s="27"/>
      <c r="B35" s="27"/>
      <c r="C35" s="33" t="str">
        <f aca="false">IFERROR(INDEX('Lead Management'!$B$4:$B$1003,MATCH($B35,'Lead Management'!$A$4:$A$1003,0)),"")</f>
        <v/>
      </c>
      <c r="D35" s="33" t="str">
        <f aca="false">IFERROR(INDEX('Lead Management'!$C$4:$C$1003,MATCH($B35,'Lead Management'!$A$4:$A$1003,0)),"")</f>
        <v/>
      </c>
      <c r="E35" s="33" t="str">
        <f aca="false">IFERROR(INDEX('Lead Management'!$F$4:$F$1003,MATCH($B35,'Lead Management'!$A$4:$A$1003,0)),"")</f>
        <v/>
      </c>
      <c r="F35" s="27"/>
      <c r="G35" s="28"/>
      <c r="H35" s="28"/>
      <c r="I35" s="27"/>
      <c r="J35" s="29"/>
      <c r="K35" s="28"/>
      <c r="L35" s="34" t="str">
        <f aca="false">IF($F35="","",IFERROR(INDEX(Settings!$B$18:$B$27,MATCH($F35,Settings!$A$18:$A$27,0)),""))</f>
        <v/>
      </c>
      <c r="M35" s="34" t="str">
        <f aca="false">IF($A35="","",SUMIFS(Finance!$E$4:$E$1003,Finance!$B$4:$B$1003,$A35,Finance!$J$4:$J$1003,"Paid"))</f>
        <v/>
      </c>
      <c r="N35" s="34" t="str">
        <f aca="false">IF($A35="","",IFERROR($L35-$M35,""))</f>
        <v/>
      </c>
      <c r="O35" s="35" t="str">
        <f aca="false">IF($A35="","",IFERROR($M35/$L35,""))</f>
        <v/>
      </c>
      <c r="P35" s="33" t="str">
        <f aca="false">IFERROR(INDEX('Process Tracking'!$E$5:$E$1003,MATCH($A35,'Process Tracking'!$A$5:$A$1003,0)),"")</f>
        <v/>
      </c>
      <c r="Q35" s="35" t="str">
        <f aca="false">IFERROR(INDEX(Documents!$Q$4:$Q$1003,MATCH($A35,Documents!$A$4:$A$1003,0)),"")</f>
        <v/>
      </c>
      <c r="R35" s="27"/>
      <c r="S35" s="31" t="str">
        <f aca="false">IFERROR(INDEX('Lead Management'!$O$4:$O$1003,MATCH($B35,'Lead Management'!$A$4:$A$1003,0)),"")</f>
        <v/>
      </c>
      <c r="T35" s="36" t="str">
        <f aca="false">IFERROR(INDEX('Lead Management'!$P$4:$P$1003,MATCH($B35,'Lead Management'!$A$4:$A$1003,0)),"")</f>
        <v/>
      </c>
      <c r="U35" s="32"/>
    </row>
    <row r="36" customFormat="false" ht="15.75" hidden="false" customHeight="true" outlineLevel="0" collapsed="false">
      <c r="A36" s="27"/>
      <c r="B36" s="27"/>
      <c r="C36" s="33" t="str">
        <f aca="false">IFERROR(INDEX('Lead Management'!$B$4:$B$1003,MATCH($B36,'Lead Management'!$A$4:$A$1003,0)),"")</f>
        <v/>
      </c>
      <c r="D36" s="33" t="str">
        <f aca="false">IFERROR(INDEX('Lead Management'!$C$4:$C$1003,MATCH($B36,'Lead Management'!$A$4:$A$1003,0)),"")</f>
        <v/>
      </c>
      <c r="E36" s="33" t="str">
        <f aca="false">IFERROR(INDEX('Lead Management'!$F$4:$F$1003,MATCH($B36,'Lead Management'!$A$4:$A$1003,0)),"")</f>
        <v/>
      </c>
      <c r="F36" s="27"/>
      <c r="G36" s="28"/>
      <c r="H36" s="28"/>
      <c r="I36" s="27"/>
      <c r="J36" s="29"/>
      <c r="K36" s="28"/>
      <c r="L36" s="34" t="str">
        <f aca="false">IF($F36="","",IFERROR(INDEX(Settings!$B$18:$B$27,MATCH($F36,Settings!$A$18:$A$27,0)),""))</f>
        <v/>
      </c>
      <c r="M36" s="34" t="str">
        <f aca="false">IF($A36="","",SUMIFS(Finance!$E$4:$E$1003,Finance!$B$4:$B$1003,$A36,Finance!$J$4:$J$1003,"Paid"))</f>
        <v/>
      </c>
      <c r="N36" s="34" t="str">
        <f aca="false">IF($A36="","",IFERROR($L36-$M36,""))</f>
        <v/>
      </c>
      <c r="O36" s="35" t="str">
        <f aca="false">IF($A36="","",IFERROR($M36/$L36,""))</f>
        <v/>
      </c>
      <c r="P36" s="33" t="str">
        <f aca="false">IFERROR(INDEX('Process Tracking'!$E$5:$E$1003,MATCH($A36,'Process Tracking'!$A$5:$A$1003,0)),"")</f>
        <v/>
      </c>
      <c r="Q36" s="35" t="str">
        <f aca="false">IFERROR(INDEX(Documents!$Q$4:$Q$1003,MATCH($A36,Documents!$A$4:$A$1003,0)),"")</f>
        <v/>
      </c>
      <c r="R36" s="27"/>
      <c r="S36" s="31" t="str">
        <f aca="false">IFERROR(INDEX('Lead Management'!$O$4:$O$1003,MATCH($B36,'Lead Management'!$A$4:$A$1003,0)),"")</f>
        <v/>
      </c>
      <c r="T36" s="36" t="str">
        <f aca="false">IFERROR(INDEX('Lead Management'!$P$4:$P$1003,MATCH($B36,'Lead Management'!$A$4:$A$1003,0)),"")</f>
        <v/>
      </c>
      <c r="U36" s="32"/>
    </row>
    <row r="37" customFormat="false" ht="15.75" hidden="false" customHeight="true" outlineLevel="0" collapsed="false">
      <c r="A37" s="27"/>
      <c r="B37" s="27"/>
      <c r="C37" s="33" t="str">
        <f aca="false">IFERROR(INDEX('Lead Management'!$B$4:$B$1003,MATCH($B37,'Lead Management'!$A$4:$A$1003,0)),"")</f>
        <v/>
      </c>
      <c r="D37" s="33" t="str">
        <f aca="false">IFERROR(INDEX('Lead Management'!$C$4:$C$1003,MATCH($B37,'Lead Management'!$A$4:$A$1003,0)),"")</f>
        <v/>
      </c>
      <c r="E37" s="33" t="str">
        <f aca="false">IFERROR(INDEX('Lead Management'!$F$4:$F$1003,MATCH($B37,'Lead Management'!$A$4:$A$1003,0)),"")</f>
        <v/>
      </c>
      <c r="F37" s="27"/>
      <c r="G37" s="28"/>
      <c r="H37" s="28"/>
      <c r="I37" s="27"/>
      <c r="J37" s="29"/>
      <c r="K37" s="28"/>
      <c r="L37" s="34" t="str">
        <f aca="false">IF($F37="","",IFERROR(INDEX(Settings!$B$18:$B$27,MATCH($F37,Settings!$A$18:$A$27,0)),""))</f>
        <v/>
      </c>
      <c r="M37" s="34" t="str">
        <f aca="false">IF($A37="","",SUMIFS(Finance!$E$4:$E$1003,Finance!$B$4:$B$1003,$A37,Finance!$J$4:$J$1003,"Paid"))</f>
        <v/>
      </c>
      <c r="N37" s="34" t="str">
        <f aca="false">IF($A37="","",IFERROR($L37-$M37,""))</f>
        <v/>
      </c>
      <c r="O37" s="35" t="str">
        <f aca="false">IF($A37="","",IFERROR($M37/$L37,""))</f>
        <v/>
      </c>
      <c r="P37" s="33" t="str">
        <f aca="false">IFERROR(INDEX('Process Tracking'!$E$5:$E$1003,MATCH($A37,'Process Tracking'!$A$5:$A$1003,0)),"")</f>
        <v/>
      </c>
      <c r="Q37" s="35" t="str">
        <f aca="false">IFERROR(INDEX(Documents!$Q$4:$Q$1003,MATCH($A37,Documents!$A$4:$A$1003,0)),"")</f>
        <v/>
      </c>
      <c r="R37" s="27"/>
      <c r="S37" s="31" t="str">
        <f aca="false">IFERROR(INDEX('Lead Management'!$O$4:$O$1003,MATCH($B37,'Lead Management'!$A$4:$A$1003,0)),"")</f>
        <v/>
      </c>
      <c r="T37" s="36" t="str">
        <f aca="false">IFERROR(INDEX('Lead Management'!$P$4:$P$1003,MATCH($B37,'Lead Management'!$A$4:$A$1003,0)),"")</f>
        <v/>
      </c>
      <c r="U37" s="32"/>
    </row>
    <row r="38" customFormat="false" ht="15.75" hidden="false" customHeight="true" outlineLevel="0" collapsed="false">
      <c r="A38" s="27"/>
      <c r="B38" s="27"/>
      <c r="C38" s="33" t="str">
        <f aca="false">IFERROR(INDEX('Lead Management'!$B$4:$B$1003,MATCH($B38,'Lead Management'!$A$4:$A$1003,0)),"")</f>
        <v/>
      </c>
      <c r="D38" s="33" t="str">
        <f aca="false">IFERROR(INDEX('Lead Management'!$C$4:$C$1003,MATCH($B38,'Lead Management'!$A$4:$A$1003,0)),"")</f>
        <v/>
      </c>
      <c r="E38" s="33" t="str">
        <f aca="false">IFERROR(INDEX('Lead Management'!$F$4:$F$1003,MATCH($B38,'Lead Management'!$A$4:$A$1003,0)),"")</f>
        <v/>
      </c>
      <c r="F38" s="27"/>
      <c r="G38" s="28"/>
      <c r="H38" s="28"/>
      <c r="I38" s="27"/>
      <c r="J38" s="29"/>
      <c r="K38" s="28"/>
      <c r="L38" s="34" t="str">
        <f aca="false">IF($F38="","",IFERROR(INDEX(Settings!$B$18:$B$27,MATCH($F38,Settings!$A$18:$A$27,0)),""))</f>
        <v/>
      </c>
      <c r="M38" s="34" t="str">
        <f aca="false">IF($A38="","",SUMIFS(Finance!$E$4:$E$1003,Finance!$B$4:$B$1003,$A38,Finance!$J$4:$J$1003,"Paid"))</f>
        <v/>
      </c>
      <c r="N38" s="34" t="str">
        <f aca="false">IF($A38="","",IFERROR($L38-$M38,""))</f>
        <v/>
      </c>
      <c r="O38" s="35" t="str">
        <f aca="false">IF($A38="","",IFERROR($M38/$L38,""))</f>
        <v/>
      </c>
      <c r="P38" s="33" t="str">
        <f aca="false">IFERROR(INDEX('Process Tracking'!$E$5:$E$1003,MATCH($A38,'Process Tracking'!$A$5:$A$1003,0)),"")</f>
        <v/>
      </c>
      <c r="Q38" s="35" t="str">
        <f aca="false">IFERROR(INDEX(Documents!$Q$4:$Q$1003,MATCH($A38,Documents!$A$4:$A$1003,0)),"")</f>
        <v/>
      </c>
      <c r="R38" s="27"/>
      <c r="S38" s="31" t="str">
        <f aca="false">IFERROR(INDEX('Lead Management'!$O$4:$O$1003,MATCH($B38,'Lead Management'!$A$4:$A$1003,0)),"")</f>
        <v/>
      </c>
      <c r="T38" s="36" t="str">
        <f aca="false">IFERROR(INDEX('Lead Management'!$P$4:$P$1003,MATCH($B38,'Lead Management'!$A$4:$A$1003,0)),"")</f>
        <v/>
      </c>
      <c r="U38" s="32"/>
    </row>
    <row r="39" customFormat="false" ht="15.75" hidden="false" customHeight="true" outlineLevel="0" collapsed="false">
      <c r="A39" s="27"/>
      <c r="B39" s="27"/>
      <c r="C39" s="33" t="str">
        <f aca="false">IFERROR(INDEX('Lead Management'!$B$4:$B$1003,MATCH($B39,'Lead Management'!$A$4:$A$1003,0)),"")</f>
        <v/>
      </c>
      <c r="D39" s="33" t="str">
        <f aca="false">IFERROR(INDEX('Lead Management'!$C$4:$C$1003,MATCH($B39,'Lead Management'!$A$4:$A$1003,0)),"")</f>
        <v/>
      </c>
      <c r="E39" s="33" t="str">
        <f aca="false">IFERROR(INDEX('Lead Management'!$F$4:$F$1003,MATCH($B39,'Lead Management'!$A$4:$A$1003,0)),"")</f>
        <v/>
      </c>
      <c r="F39" s="27"/>
      <c r="G39" s="28"/>
      <c r="H39" s="28"/>
      <c r="I39" s="27"/>
      <c r="J39" s="29"/>
      <c r="K39" s="28"/>
      <c r="L39" s="34" t="str">
        <f aca="false">IF($F39="","",IFERROR(INDEX(Settings!$B$18:$B$27,MATCH($F39,Settings!$A$18:$A$27,0)),""))</f>
        <v/>
      </c>
      <c r="M39" s="34" t="str">
        <f aca="false">IF($A39="","",SUMIFS(Finance!$E$4:$E$1003,Finance!$B$4:$B$1003,$A39,Finance!$J$4:$J$1003,"Paid"))</f>
        <v/>
      </c>
      <c r="N39" s="34" t="str">
        <f aca="false">IF($A39="","",IFERROR($L39-$M39,""))</f>
        <v/>
      </c>
      <c r="O39" s="35" t="str">
        <f aca="false">IF($A39="","",IFERROR($M39/$L39,""))</f>
        <v/>
      </c>
      <c r="P39" s="33" t="str">
        <f aca="false">IFERROR(INDEX('Process Tracking'!$E$5:$E$1003,MATCH($A39,'Process Tracking'!$A$5:$A$1003,0)),"")</f>
        <v/>
      </c>
      <c r="Q39" s="35" t="str">
        <f aca="false">IFERROR(INDEX(Documents!$Q$4:$Q$1003,MATCH($A39,Documents!$A$4:$A$1003,0)),"")</f>
        <v/>
      </c>
      <c r="R39" s="27"/>
      <c r="S39" s="31" t="str">
        <f aca="false">IFERROR(INDEX('Lead Management'!$O$4:$O$1003,MATCH($B39,'Lead Management'!$A$4:$A$1003,0)),"")</f>
        <v/>
      </c>
      <c r="T39" s="36" t="str">
        <f aca="false">IFERROR(INDEX('Lead Management'!$P$4:$P$1003,MATCH($B39,'Lead Management'!$A$4:$A$1003,0)),"")</f>
        <v/>
      </c>
      <c r="U39" s="32"/>
    </row>
    <row r="40" customFormat="false" ht="15.75" hidden="false" customHeight="true" outlineLevel="0" collapsed="false">
      <c r="A40" s="27"/>
      <c r="B40" s="27"/>
      <c r="C40" s="33" t="str">
        <f aca="false">IFERROR(INDEX('Lead Management'!$B$4:$B$1003,MATCH($B40,'Lead Management'!$A$4:$A$1003,0)),"")</f>
        <v/>
      </c>
      <c r="D40" s="33" t="str">
        <f aca="false">IFERROR(INDEX('Lead Management'!$C$4:$C$1003,MATCH($B40,'Lead Management'!$A$4:$A$1003,0)),"")</f>
        <v/>
      </c>
      <c r="E40" s="33" t="str">
        <f aca="false">IFERROR(INDEX('Lead Management'!$F$4:$F$1003,MATCH($B40,'Lead Management'!$A$4:$A$1003,0)),"")</f>
        <v/>
      </c>
      <c r="F40" s="27"/>
      <c r="G40" s="28"/>
      <c r="H40" s="28"/>
      <c r="I40" s="27"/>
      <c r="J40" s="29"/>
      <c r="K40" s="28"/>
      <c r="L40" s="34" t="str">
        <f aca="false">IF($F40="","",IFERROR(INDEX(Settings!$B$18:$B$27,MATCH($F40,Settings!$A$18:$A$27,0)),""))</f>
        <v/>
      </c>
      <c r="M40" s="34" t="str">
        <f aca="false">IF($A40="","",SUMIFS(Finance!$E$4:$E$1003,Finance!$B$4:$B$1003,$A40,Finance!$J$4:$J$1003,"Paid"))</f>
        <v/>
      </c>
      <c r="N40" s="34" t="str">
        <f aca="false">IF($A40="","",IFERROR($L40-$M40,""))</f>
        <v/>
      </c>
      <c r="O40" s="35" t="str">
        <f aca="false">IF($A40="","",IFERROR($M40/$L40,""))</f>
        <v/>
      </c>
      <c r="P40" s="33" t="str">
        <f aca="false">IFERROR(INDEX('Process Tracking'!$E$5:$E$1003,MATCH($A40,'Process Tracking'!$A$5:$A$1003,0)),"")</f>
        <v/>
      </c>
      <c r="Q40" s="35" t="str">
        <f aca="false">IFERROR(INDEX(Documents!$Q$4:$Q$1003,MATCH($A40,Documents!$A$4:$A$1003,0)),"")</f>
        <v/>
      </c>
      <c r="R40" s="27"/>
      <c r="S40" s="31" t="str">
        <f aca="false">IFERROR(INDEX('Lead Management'!$O$4:$O$1003,MATCH($B40,'Lead Management'!$A$4:$A$1003,0)),"")</f>
        <v/>
      </c>
      <c r="T40" s="36" t="str">
        <f aca="false">IFERROR(INDEX('Lead Management'!$P$4:$P$1003,MATCH($B40,'Lead Management'!$A$4:$A$1003,0)),"")</f>
        <v/>
      </c>
      <c r="U40" s="32"/>
    </row>
    <row r="41" customFormat="false" ht="15.75" hidden="false" customHeight="true" outlineLevel="0" collapsed="false">
      <c r="A41" s="27"/>
      <c r="B41" s="27"/>
      <c r="C41" s="33" t="str">
        <f aca="false">IFERROR(INDEX('Lead Management'!$B$4:$B$1003,MATCH($B41,'Lead Management'!$A$4:$A$1003,0)),"")</f>
        <v/>
      </c>
      <c r="D41" s="33" t="str">
        <f aca="false">IFERROR(INDEX('Lead Management'!$C$4:$C$1003,MATCH($B41,'Lead Management'!$A$4:$A$1003,0)),"")</f>
        <v/>
      </c>
      <c r="E41" s="33" t="str">
        <f aca="false">IFERROR(INDEX('Lead Management'!$F$4:$F$1003,MATCH($B41,'Lead Management'!$A$4:$A$1003,0)),"")</f>
        <v/>
      </c>
      <c r="F41" s="27"/>
      <c r="G41" s="28"/>
      <c r="H41" s="28"/>
      <c r="I41" s="27"/>
      <c r="J41" s="29"/>
      <c r="K41" s="28"/>
      <c r="L41" s="34" t="str">
        <f aca="false">IF($F41="","",IFERROR(INDEX(Settings!$B$18:$B$27,MATCH($F41,Settings!$A$18:$A$27,0)),""))</f>
        <v/>
      </c>
      <c r="M41" s="34" t="str">
        <f aca="false">IF($A41="","",SUMIFS(Finance!$E$4:$E$1003,Finance!$B$4:$B$1003,$A41,Finance!$J$4:$J$1003,"Paid"))</f>
        <v/>
      </c>
      <c r="N41" s="34" t="str">
        <f aca="false">IF($A41="","",IFERROR($L41-$M41,""))</f>
        <v/>
      </c>
      <c r="O41" s="35" t="str">
        <f aca="false">IF($A41="","",IFERROR($M41/$L41,""))</f>
        <v/>
      </c>
      <c r="P41" s="33" t="str">
        <f aca="false">IFERROR(INDEX('Process Tracking'!$E$5:$E$1003,MATCH($A41,'Process Tracking'!$A$5:$A$1003,0)),"")</f>
        <v/>
      </c>
      <c r="Q41" s="35" t="str">
        <f aca="false">IFERROR(INDEX(Documents!$Q$4:$Q$1003,MATCH($A41,Documents!$A$4:$A$1003,0)),"")</f>
        <v/>
      </c>
      <c r="R41" s="27"/>
      <c r="S41" s="31" t="str">
        <f aca="false">IFERROR(INDEX('Lead Management'!$O$4:$O$1003,MATCH($B41,'Lead Management'!$A$4:$A$1003,0)),"")</f>
        <v/>
      </c>
      <c r="T41" s="36" t="str">
        <f aca="false">IFERROR(INDEX('Lead Management'!$P$4:$P$1003,MATCH($B41,'Lead Management'!$A$4:$A$1003,0)),"")</f>
        <v/>
      </c>
      <c r="U41" s="32"/>
    </row>
    <row r="42" customFormat="false" ht="15.75" hidden="false" customHeight="true" outlineLevel="0" collapsed="false">
      <c r="A42" s="27"/>
      <c r="B42" s="27"/>
      <c r="C42" s="33" t="str">
        <f aca="false">IFERROR(INDEX('Lead Management'!$B$4:$B$1003,MATCH($B42,'Lead Management'!$A$4:$A$1003,0)),"")</f>
        <v/>
      </c>
      <c r="D42" s="33" t="str">
        <f aca="false">IFERROR(INDEX('Lead Management'!$C$4:$C$1003,MATCH($B42,'Lead Management'!$A$4:$A$1003,0)),"")</f>
        <v/>
      </c>
      <c r="E42" s="33" t="str">
        <f aca="false">IFERROR(INDEX('Lead Management'!$F$4:$F$1003,MATCH($B42,'Lead Management'!$A$4:$A$1003,0)),"")</f>
        <v/>
      </c>
      <c r="F42" s="27"/>
      <c r="G42" s="28"/>
      <c r="H42" s="28"/>
      <c r="I42" s="27"/>
      <c r="J42" s="29"/>
      <c r="K42" s="28"/>
      <c r="L42" s="34" t="str">
        <f aca="false">IF($F42="","",IFERROR(INDEX(Settings!$B$18:$B$27,MATCH($F42,Settings!$A$18:$A$27,0)),""))</f>
        <v/>
      </c>
      <c r="M42" s="34" t="str">
        <f aca="false">IF($A42="","",SUMIFS(Finance!$E$4:$E$1003,Finance!$B$4:$B$1003,$A42,Finance!$J$4:$J$1003,"Paid"))</f>
        <v/>
      </c>
      <c r="N42" s="34" t="str">
        <f aca="false">IF($A42="","",IFERROR($L42-$M42,""))</f>
        <v/>
      </c>
      <c r="O42" s="35" t="str">
        <f aca="false">IF($A42="","",IFERROR($M42/$L42,""))</f>
        <v/>
      </c>
      <c r="P42" s="33" t="str">
        <f aca="false">IFERROR(INDEX('Process Tracking'!$E$5:$E$1003,MATCH($A42,'Process Tracking'!$A$5:$A$1003,0)),"")</f>
        <v/>
      </c>
      <c r="Q42" s="35" t="str">
        <f aca="false">IFERROR(INDEX(Documents!$Q$4:$Q$1003,MATCH($A42,Documents!$A$4:$A$1003,0)),"")</f>
        <v/>
      </c>
      <c r="R42" s="27"/>
      <c r="S42" s="31" t="str">
        <f aca="false">IFERROR(INDEX('Lead Management'!$O$4:$O$1003,MATCH($B42,'Lead Management'!$A$4:$A$1003,0)),"")</f>
        <v/>
      </c>
      <c r="T42" s="36" t="str">
        <f aca="false">IFERROR(INDEX('Lead Management'!$P$4:$P$1003,MATCH($B42,'Lead Management'!$A$4:$A$1003,0)),"")</f>
        <v/>
      </c>
      <c r="U42" s="32"/>
    </row>
    <row r="43" customFormat="false" ht="15.75" hidden="false" customHeight="true" outlineLevel="0" collapsed="false">
      <c r="A43" s="27"/>
      <c r="B43" s="27"/>
      <c r="C43" s="33" t="str">
        <f aca="false">IFERROR(INDEX('Lead Management'!$B$4:$B$1003,MATCH($B43,'Lead Management'!$A$4:$A$1003,0)),"")</f>
        <v/>
      </c>
      <c r="D43" s="33" t="str">
        <f aca="false">IFERROR(INDEX('Lead Management'!$C$4:$C$1003,MATCH($B43,'Lead Management'!$A$4:$A$1003,0)),"")</f>
        <v/>
      </c>
      <c r="E43" s="33" t="str">
        <f aca="false">IFERROR(INDEX('Lead Management'!$F$4:$F$1003,MATCH($B43,'Lead Management'!$A$4:$A$1003,0)),"")</f>
        <v/>
      </c>
      <c r="F43" s="27"/>
      <c r="G43" s="28"/>
      <c r="H43" s="28"/>
      <c r="I43" s="27"/>
      <c r="J43" s="29"/>
      <c r="K43" s="28"/>
      <c r="L43" s="34" t="str">
        <f aca="false">IF($F43="","",IFERROR(INDEX(Settings!$B$18:$B$27,MATCH($F43,Settings!$A$18:$A$27,0)),""))</f>
        <v/>
      </c>
      <c r="M43" s="34" t="str">
        <f aca="false">IF($A43="","",SUMIFS(Finance!$E$4:$E$1003,Finance!$B$4:$B$1003,$A43,Finance!$J$4:$J$1003,"Paid"))</f>
        <v/>
      </c>
      <c r="N43" s="34" t="str">
        <f aca="false">IF($A43="","",IFERROR($L43-$M43,""))</f>
        <v/>
      </c>
      <c r="O43" s="35" t="str">
        <f aca="false">IF($A43="","",IFERROR($M43/$L43,""))</f>
        <v/>
      </c>
      <c r="P43" s="33" t="str">
        <f aca="false">IFERROR(INDEX('Process Tracking'!$E$5:$E$1003,MATCH($A43,'Process Tracking'!$A$5:$A$1003,0)),"")</f>
        <v/>
      </c>
      <c r="Q43" s="35" t="str">
        <f aca="false">IFERROR(INDEX(Documents!$Q$4:$Q$1003,MATCH($A43,Documents!$A$4:$A$1003,0)),"")</f>
        <v/>
      </c>
      <c r="R43" s="27"/>
      <c r="S43" s="31" t="str">
        <f aca="false">IFERROR(INDEX('Lead Management'!$O$4:$O$1003,MATCH($B43,'Lead Management'!$A$4:$A$1003,0)),"")</f>
        <v/>
      </c>
      <c r="T43" s="36" t="str">
        <f aca="false">IFERROR(INDEX('Lead Management'!$P$4:$P$1003,MATCH($B43,'Lead Management'!$A$4:$A$1003,0)),"")</f>
        <v/>
      </c>
      <c r="U43" s="32"/>
    </row>
    <row r="44" customFormat="false" ht="15.75" hidden="false" customHeight="true" outlineLevel="0" collapsed="false">
      <c r="A44" s="27"/>
      <c r="B44" s="27"/>
      <c r="C44" s="33" t="str">
        <f aca="false">IFERROR(INDEX('Lead Management'!$B$4:$B$1003,MATCH($B44,'Lead Management'!$A$4:$A$1003,0)),"")</f>
        <v/>
      </c>
      <c r="D44" s="33" t="str">
        <f aca="false">IFERROR(INDEX('Lead Management'!$C$4:$C$1003,MATCH($B44,'Lead Management'!$A$4:$A$1003,0)),"")</f>
        <v/>
      </c>
      <c r="E44" s="33" t="str">
        <f aca="false">IFERROR(INDEX('Lead Management'!$F$4:$F$1003,MATCH($B44,'Lead Management'!$A$4:$A$1003,0)),"")</f>
        <v/>
      </c>
      <c r="F44" s="27"/>
      <c r="G44" s="28"/>
      <c r="H44" s="28"/>
      <c r="I44" s="27"/>
      <c r="J44" s="29"/>
      <c r="K44" s="28"/>
      <c r="L44" s="34" t="str">
        <f aca="false">IF($F44="","",IFERROR(INDEX(Settings!$B$18:$B$27,MATCH($F44,Settings!$A$18:$A$27,0)),""))</f>
        <v/>
      </c>
      <c r="M44" s="34" t="str">
        <f aca="false">IF($A44="","",SUMIFS(Finance!$E$4:$E$1003,Finance!$B$4:$B$1003,$A44,Finance!$J$4:$J$1003,"Paid"))</f>
        <v/>
      </c>
      <c r="N44" s="34" t="str">
        <f aca="false">IF($A44="","",IFERROR($L44-$M44,""))</f>
        <v/>
      </c>
      <c r="O44" s="35" t="str">
        <f aca="false">IF($A44="","",IFERROR($M44/$L44,""))</f>
        <v/>
      </c>
      <c r="P44" s="33" t="str">
        <f aca="false">IFERROR(INDEX('Process Tracking'!$E$5:$E$1003,MATCH($A44,'Process Tracking'!$A$5:$A$1003,0)),"")</f>
        <v/>
      </c>
      <c r="Q44" s="35" t="str">
        <f aca="false">IFERROR(INDEX(Documents!$Q$4:$Q$1003,MATCH($A44,Documents!$A$4:$A$1003,0)),"")</f>
        <v/>
      </c>
      <c r="R44" s="27"/>
      <c r="S44" s="31" t="str">
        <f aca="false">IFERROR(INDEX('Lead Management'!$O$4:$O$1003,MATCH($B44,'Lead Management'!$A$4:$A$1003,0)),"")</f>
        <v/>
      </c>
      <c r="T44" s="36" t="str">
        <f aca="false">IFERROR(INDEX('Lead Management'!$P$4:$P$1003,MATCH($B44,'Lead Management'!$A$4:$A$1003,0)),"")</f>
        <v/>
      </c>
      <c r="U44" s="32"/>
    </row>
    <row r="45" customFormat="false" ht="15.75" hidden="false" customHeight="true" outlineLevel="0" collapsed="false">
      <c r="A45" s="27"/>
      <c r="B45" s="27"/>
      <c r="C45" s="33" t="str">
        <f aca="false">IFERROR(INDEX('Lead Management'!$B$4:$B$1003,MATCH($B45,'Lead Management'!$A$4:$A$1003,0)),"")</f>
        <v/>
      </c>
      <c r="D45" s="33" t="str">
        <f aca="false">IFERROR(INDEX('Lead Management'!$C$4:$C$1003,MATCH($B45,'Lead Management'!$A$4:$A$1003,0)),"")</f>
        <v/>
      </c>
      <c r="E45" s="33" t="str">
        <f aca="false">IFERROR(INDEX('Lead Management'!$F$4:$F$1003,MATCH($B45,'Lead Management'!$A$4:$A$1003,0)),"")</f>
        <v/>
      </c>
      <c r="F45" s="27"/>
      <c r="G45" s="28"/>
      <c r="H45" s="28"/>
      <c r="I45" s="27"/>
      <c r="J45" s="29"/>
      <c r="K45" s="28"/>
      <c r="L45" s="34" t="str">
        <f aca="false">IF($F45="","",IFERROR(INDEX(Settings!$B$18:$B$27,MATCH($F45,Settings!$A$18:$A$27,0)),""))</f>
        <v/>
      </c>
      <c r="M45" s="34" t="str">
        <f aca="false">IF($A45="","",SUMIFS(Finance!$E$4:$E$1003,Finance!$B$4:$B$1003,$A45,Finance!$J$4:$J$1003,"Paid"))</f>
        <v/>
      </c>
      <c r="N45" s="34" t="str">
        <f aca="false">IF($A45="","",IFERROR($L45-$M45,""))</f>
        <v/>
      </c>
      <c r="O45" s="35" t="str">
        <f aca="false">IF($A45="","",IFERROR($M45/$L45,""))</f>
        <v/>
      </c>
      <c r="P45" s="33" t="str">
        <f aca="false">IFERROR(INDEX('Process Tracking'!$E$5:$E$1003,MATCH($A45,'Process Tracking'!$A$5:$A$1003,0)),"")</f>
        <v/>
      </c>
      <c r="Q45" s="35" t="str">
        <f aca="false">IFERROR(INDEX(Documents!$Q$4:$Q$1003,MATCH($A45,Documents!$A$4:$A$1003,0)),"")</f>
        <v/>
      </c>
      <c r="R45" s="27"/>
      <c r="S45" s="31" t="str">
        <f aca="false">IFERROR(INDEX('Lead Management'!$O$4:$O$1003,MATCH($B45,'Lead Management'!$A$4:$A$1003,0)),"")</f>
        <v/>
      </c>
      <c r="T45" s="36" t="str">
        <f aca="false">IFERROR(INDEX('Lead Management'!$P$4:$P$1003,MATCH($B45,'Lead Management'!$A$4:$A$1003,0)),"")</f>
        <v/>
      </c>
      <c r="U45" s="32"/>
    </row>
    <row r="46" customFormat="false" ht="15.75" hidden="false" customHeight="true" outlineLevel="0" collapsed="false">
      <c r="A46" s="27"/>
      <c r="B46" s="27"/>
      <c r="C46" s="33" t="str">
        <f aca="false">IFERROR(INDEX('Lead Management'!$B$4:$B$1003,MATCH($B46,'Lead Management'!$A$4:$A$1003,0)),"")</f>
        <v/>
      </c>
      <c r="D46" s="33" t="str">
        <f aca="false">IFERROR(INDEX('Lead Management'!$C$4:$C$1003,MATCH($B46,'Lead Management'!$A$4:$A$1003,0)),"")</f>
        <v/>
      </c>
      <c r="E46" s="33" t="str">
        <f aca="false">IFERROR(INDEX('Lead Management'!$F$4:$F$1003,MATCH($B46,'Lead Management'!$A$4:$A$1003,0)),"")</f>
        <v/>
      </c>
      <c r="F46" s="27"/>
      <c r="G46" s="28"/>
      <c r="H46" s="28"/>
      <c r="I46" s="27"/>
      <c r="J46" s="29"/>
      <c r="K46" s="28"/>
      <c r="L46" s="34" t="str">
        <f aca="false">IF($F46="","",IFERROR(INDEX(Settings!$B$18:$B$27,MATCH($F46,Settings!$A$18:$A$27,0)),""))</f>
        <v/>
      </c>
      <c r="M46" s="34" t="str">
        <f aca="false">IF($A46="","",SUMIFS(Finance!$E$4:$E$1003,Finance!$B$4:$B$1003,$A46,Finance!$J$4:$J$1003,"Paid"))</f>
        <v/>
      </c>
      <c r="N46" s="34" t="str">
        <f aca="false">IF($A46="","",IFERROR($L46-$M46,""))</f>
        <v/>
      </c>
      <c r="O46" s="35" t="str">
        <f aca="false">IF($A46="","",IFERROR($M46/$L46,""))</f>
        <v/>
      </c>
      <c r="P46" s="33" t="str">
        <f aca="false">IFERROR(INDEX('Process Tracking'!$E$5:$E$1003,MATCH($A46,'Process Tracking'!$A$5:$A$1003,0)),"")</f>
        <v/>
      </c>
      <c r="Q46" s="35" t="str">
        <f aca="false">IFERROR(INDEX(Documents!$Q$4:$Q$1003,MATCH($A46,Documents!$A$4:$A$1003,0)),"")</f>
        <v/>
      </c>
      <c r="R46" s="27"/>
      <c r="S46" s="31" t="str">
        <f aca="false">IFERROR(INDEX('Lead Management'!$O$4:$O$1003,MATCH($B46,'Lead Management'!$A$4:$A$1003,0)),"")</f>
        <v/>
      </c>
      <c r="T46" s="36" t="str">
        <f aca="false">IFERROR(INDEX('Lead Management'!$P$4:$P$1003,MATCH($B46,'Lead Management'!$A$4:$A$1003,0)),"")</f>
        <v/>
      </c>
      <c r="U46" s="32"/>
    </row>
    <row r="47" customFormat="false" ht="15.75" hidden="false" customHeight="true" outlineLevel="0" collapsed="false">
      <c r="A47" s="27"/>
      <c r="B47" s="27"/>
      <c r="C47" s="33" t="str">
        <f aca="false">IFERROR(INDEX('Lead Management'!$B$4:$B$1003,MATCH($B47,'Lead Management'!$A$4:$A$1003,0)),"")</f>
        <v/>
      </c>
      <c r="D47" s="33" t="str">
        <f aca="false">IFERROR(INDEX('Lead Management'!$C$4:$C$1003,MATCH($B47,'Lead Management'!$A$4:$A$1003,0)),"")</f>
        <v/>
      </c>
      <c r="E47" s="33" t="str">
        <f aca="false">IFERROR(INDEX('Lead Management'!$F$4:$F$1003,MATCH($B47,'Lead Management'!$A$4:$A$1003,0)),"")</f>
        <v/>
      </c>
      <c r="F47" s="27"/>
      <c r="G47" s="28"/>
      <c r="H47" s="28"/>
      <c r="I47" s="27"/>
      <c r="J47" s="29"/>
      <c r="K47" s="28"/>
      <c r="L47" s="34" t="str">
        <f aca="false">IF($F47="","",IFERROR(INDEX(Settings!$B$18:$B$27,MATCH($F47,Settings!$A$18:$A$27,0)),""))</f>
        <v/>
      </c>
      <c r="M47" s="34" t="str">
        <f aca="false">IF($A47="","",SUMIFS(Finance!$E$4:$E$1003,Finance!$B$4:$B$1003,$A47,Finance!$J$4:$J$1003,"Paid"))</f>
        <v/>
      </c>
      <c r="N47" s="34" t="str">
        <f aca="false">IF($A47="","",IFERROR($L47-$M47,""))</f>
        <v/>
      </c>
      <c r="O47" s="35" t="str">
        <f aca="false">IF($A47="","",IFERROR($M47/$L47,""))</f>
        <v/>
      </c>
      <c r="P47" s="33" t="str">
        <f aca="false">IFERROR(INDEX('Process Tracking'!$E$5:$E$1003,MATCH($A47,'Process Tracking'!$A$5:$A$1003,0)),"")</f>
        <v/>
      </c>
      <c r="Q47" s="35" t="str">
        <f aca="false">IFERROR(INDEX(Documents!$Q$4:$Q$1003,MATCH($A47,Documents!$A$4:$A$1003,0)),"")</f>
        <v/>
      </c>
      <c r="R47" s="27"/>
      <c r="S47" s="31" t="str">
        <f aca="false">IFERROR(INDEX('Lead Management'!$O$4:$O$1003,MATCH($B47,'Lead Management'!$A$4:$A$1003,0)),"")</f>
        <v/>
      </c>
      <c r="T47" s="36" t="str">
        <f aca="false">IFERROR(INDEX('Lead Management'!$P$4:$P$1003,MATCH($B47,'Lead Management'!$A$4:$A$1003,0)),"")</f>
        <v/>
      </c>
      <c r="U47" s="32"/>
    </row>
    <row r="48" customFormat="false" ht="15.75" hidden="false" customHeight="true" outlineLevel="0" collapsed="false">
      <c r="A48" s="27"/>
      <c r="B48" s="27"/>
      <c r="C48" s="33" t="str">
        <f aca="false">IFERROR(INDEX('Lead Management'!$B$4:$B$1003,MATCH($B48,'Lead Management'!$A$4:$A$1003,0)),"")</f>
        <v/>
      </c>
      <c r="D48" s="33" t="str">
        <f aca="false">IFERROR(INDEX('Lead Management'!$C$4:$C$1003,MATCH($B48,'Lead Management'!$A$4:$A$1003,0)),"")</f>
        <v/>
      </c>
      <c r="E48" s="33" t="str">
        <f aca="false">IFERROR(INDEX('Lead Management'!$F$4:$F$1003,MATCH($B48,'Lead Management'!$A$4:$A$1003,0)),"")</f>
        <v/>
      </c>
      <c r="F48" s="27"/>
      <c r="G48" s="28"/>
      <c r="H48" s="28"/>
      <c r="I48" s="27"/>
      <c r="J48" s="29"/>
      <c r="K48" s="28"/>
      <c r="L48" s="34" t="str">
        <f aca="false">IF($F48="","",IFERROR(INDEX(Settings!$B$18:$B$27,MATCH($F48,Settings!$A$18:$A$27,0)),""))</f>
        <v/>
      </c>
      <c r="M48" s="34" t="str">
        <f aca="false">IF($A48="","",SUMIFS(Finance!$E$4:$E$1003,Finance!$B$4:$B$1003,$A48,Finance!$J$4:$J$1003,"Paid"))</f>
        <v/>
      </c>
      <c r="N48" s="34" t="str">
        <f aca="false">IF($A48="","",IFERROR($L48-$M48,""))</f>
        <v/>
      </c>
      <c r="O48" s="35" t="str">
        <f aca="false">IF($A48="","",IFERROR($M48/$L48,""))</f>
        <v/>
      </c>
      <c r="P48" s="33" t="str">
        <f aca="false">IFERROR(INDEX('Process Tracking'!$E$5:$E$1003,MATCH($A48,'Process Tracking'!$A$5:$A$1003,0)),"")</f>
        <v/>
      </c>
      <c r="Q48" s="35" t="str">
        <f aca="false">IFERROR(INDEX(Documents!$Q$4:$Q$1003,MATCH($A48,Documents!$A$4:$A$1003,0)),"")</f>
        <v/>
      </c>
      <c r="R48" s="27"/>
      <c r="S48" s="31" t="str">
        <f aca="false">IFERROR(INDEX('Lead Management'!$O$4:$O$1003,MATCH($B48,'Lead Management'!$A$4:$A$1003,0)),"")</f>
        <v/>
      </c>
      <c r="T48" s="36" t="str">
        <f aca="false">IFERROR(INDEX('Lead Management'!$P$4:$P$1003,MATCH($B48,'Lead Management'!$A$4:$A$1003,0)),"")</f>
        <v/>
      </c>
      <c r="U48" s="32"/>
    </row>
    <row r="49" customFormat="false" ht="15.75" hidden="false" customHeight="true" outlineLevel="0" collapsed="false">
      <c r="A49" s="27"/>
      <c r="B49" s="27"/>
      <c r="C49" s="33" t="str">
        <f aca="false">IFERROR(INDEX('Lead Management'!$B$4:$B$1003,MATCH($B49,'Lead Management'!$A$4:$A$1003,0)),"")</f>
        <v/>
      </c>
      <c r="D49" s="33" t="str">
        <f aca="false">IFERROR(INDEX('Lead Management'!$C$4:$C$1003,MATCH($B49,'Lead Management'!$A$4:$A$1003,0)),"")</f>
        <v/>
      </c>
      <c r="E49" s="33" t="str">
        <f aca="false">IFERROR(INDEX('Lead Management'!$F$4:$F$1003,MATCH($B49,'Lead Management'!$A$4:$A$1003,0)),"")</f>
        <v/>
      </c>
      <c r="F49" s="27"/>
      <c r="G49" s="28"/>
      <c r="H49" s="28"/>
      <c r="I49" s="27"/>
      <c r="J49" s="29"/>
      <c r="K49" s="28"/>
      <c r="L49" s="34" t="str">
        <f aca="false">IF($F49="","",IFERROR(INDEX(Settings!$B$18:$B$27,MATCH($F49,Settings!$A$18:$A$27,0)),""))</f>
        <v/>
      </c>
      <c r="M49" s="34" t="str">
        <f aca="false">IF($A49="","",SUMIFS(Finance!$E$4:$E$1003,Finance!$B$4:$B$1003,$A49,Finance!$J$4:$J$1003,"Paid"))</f>
        <v/>
      </c>
      <c r="N49" s="34" t="str">
        <f aca="false">IF($A49="","",IFERROR($L49-$M49,""))</f>
        <v/>
      </c>
      <c r="O49" s="35" t="str">
        <f aca="false">IF($A49="","",IFERROR($M49/$L49,""))</f>
        <v/>
      </c>
      <c r="P49" s="33" t="str">
        <f aca="false">IFERROR(INDEX('Process Tracking'!$E$5:$E$1003,MATCH($A49,'Process Tracking'!$A$5:$A$1003,0)),"")</f>
        <v/>
      </c>
      <c r="Q49" s="35" t="str">
        <f aca="false">IFERROR(INDEX(Documents!$Q$4:$Q$1003,MATCH($A49,Documents!$A$4:$A$1003,0)),"")</f>
        <v/>
      </c>
      <c r="R49" s="27"/>
      <c r="S49" s="31" t="str">
        <f aca="false">IFERROR(INDEX('Lead Management'!$O$4:$O$1003,MATCH($B49,'Lead Management'!$A$4:$A$1003,0)),"")</f>
        <v/>
      </c>
      <c r="T49" s="36" t="str">
        <f aca="false">IFERROR(INDEX('Lead Management'!$P$4:$P$1003,MATCH($B49,'Lead Management'!$A$4:$A$1003,0)),"")</f>
        <v/>
      </c>
      <c r="U49" s="32"/>
    </row>
    <row r="50" customFormat="false" ht="15.75" hidden="false" customHeight="true" outlineLevel="0" collapsed="false">
      <c r="A50" s="27"/>
      <c r="B50" s="27"/>
      <c r="C50" s="33" t="str">
        <f aca="false">IFERROR(INDEX('Lead Management'!$B$4:$B$1003,MATCH($B50,'Lead Management'!$A$4:$A$1003,0)),"")</f>
        <v/>
      </c>
      <c r="D50" s="33" t="str">
        <f aca="false">IFERROR(INDEX('Lead Management'!$C$4:$C$1003,MATCH($B50,'Lead Management'!$A$4:$A$1003,0)),"")</f>
        <v/>
      </c>
      <c r="E50" s="33" t="str">
        <f aca="false">IFERROR(INDEX('Lead Management'!$F$4:$F$1003,MATCH($B50,'Lead Management'!$A$4:$A$1003,0)),"")</f>
        <v/>
      </c>
      <c r="F50" s="27"/>
      <c r="G50" s="28"/>
      <c r="H50" s="28"/>
      <c r="I50" s="27"/>
      <c r="J50" s="29"/>
      <c r="K50" s="28"/>
      <c r="L50" s="34" t="str">
        <f aca="false">IF($F50="","",IFERROR(INDEX(Settings!$B$18:$B$27,MATCH($F50,Settings!$A$18:$A$27,0)),""))</f>
        <v/>
      </c>
      <c r="M50" s="34" t="str">
        <f aca="false">IF($A50="","",SUMIFS(Finance!$E$4:$E$1003,Finance!$B$4:$B$1003,$A50,Finance!$J$4:$J$1003,"Paid"))</f>
        <v/>
      </c>
      <c r="N50" s="34" t="str">
        <f aca="false">IF($A50="","",IFERROR($L50-$M50,""))</f>
        <v/>
      </c>
      <c r="O50" s="35" t="str">
        <f aca="false">IF($A50="","",IFERROR($M50/$L50,""))</f>
        <v/>
      </c>
      <c r="P50" s="33" t="str">
        <f aca="false">IFERROR(INDEX('Process Tracking'!$E$5:$E$1003,MATCH($A50,'Process Tracking'!$A$5:$A$1003,0)),"")</f>
        <v/>
      </c>
      <c r="Q50" s="35" t="str">
        <f aca="false">IFERROR(INDEX(Documents!$Q$4:$Q$1003,MATCH($A50,Documents!$A$4:$A$1003,0)),"")</f>
        <v/>
      </c>
      <c r="R50" s="27"/>
      <c r="S50" s="31" t="str">
        <f aca="false">IFERROR(INDEX('Lead Management'!$O$4:$O$1003,MATCH($B50,'Lead Management'!$A$4:$A$1003,0)),"")</f>
        <v/>
      </c>
      <c r="T50" s="36" t="str">
        <f aca="false">IFERROR(INDEX('Lead Management'!$P$4:$P$1003,MATCH($B50,'Lead Management'!$A$4:$A$1003,0)),"")</f>
        <v/>
      </c>
      <c r="U50" s="32"/>
    </row>
    <row r="51" customFormat="false" ht="15.75" hidden="false" customHeight="true" outlineLevel="0" collapsed="false">
      <c r="A51" s="27"/>
      <c r="B51" s="27"/>
      <c r="C51" s="33" t="str">
        <f aca="false">IFERROR(INDEX('Lead Management'!$B$4:$B$1003,MATCH($B51,'Lead Management'!$A$4:$A$1003,0)),"")</f>
        <v/>
      </c>
      <c r="D51" s="33" t="str">
        <f aca="false">IFERROR(INDEX('Lead Management'!$C$4:$C$1003,MATCH($B51,'Lead Management'!$A$4:$A$1003,0)),"")</f>
        <v/>
      </c>
      <c r="E51" s="33" t="str">
        <f aca="false">IFERROR(INDEX('Lead Management'!$F$4:$F$1003,MATCH($B51,'Lead Management'!$A$4:$A$1003,0)),"")</f>
        <v/>
      </c>
      <c r="F51" s="27"/>
      <c r="G51" s="28"/>
      <c r="H51" s="28"/>
      <c r="I51" s="27"/>
      <c r="J51" s="29"/>
      <c r="K51" s="28"/>
      <c r="L51" s="34" t="str">
        <f aca="false">IF($F51="","",IFERROR(INDEX(Settings!$B$18:$B$27,MATCH($F51,Settings!$A$18:$A$27,0)),""))</f>
        <v/>
      </c>
      <c r="M51" s="34" t="str">
        <f aca="false">IF($A51="","",SUMIFS(Finance!$E$4:$E$1003,Finance!$B$4:$B$1003,$A51,Finance!$J$4:$J$1003,"Paid"))</f>
        <v/>
      </c>
      <c r="N51" s="34" t="str">
        <f aca="false">IF($A51="","",IFERROR($L51-$M51,""))</f>
        <v/>
      </c>
      <c r="O51" s="35" t="str">
        <f aca="false">IF($A51="","",IFERROR($M51/$L51,""))</f>
        <v/>
      </c>
      <c r="P51" s="33" t="str">
        <f aca="false">IFERROR(INDEX('Process Tracking'!$E$5:$E$1003,MATCH($A51,'Process Tracking'!$A$5:$A$1003,0)),"")</f>
        <v/>
      </c>
      <c r="Q51" s="35" t="str">
        <f aca="false">IFERROR(INDEX(Documents!$Q$4:$Q$1003,MATCH($A51,Documents!$A$4:$A$1003,0)),"")</f>
        <v/>
      </c>
      <c r="R51" s="27"/>
      <c r="S51" s="31" t="str">
        <f aca="false">IFERROR(INDEX('Lead Management'!$O$4:$O$1003,MATCH($B51,'Lead Management'!$A$4:$A$1003,0)),"")</f>
        <v/>
      </c>
      <c r="T51" s="36" t="str">
        <f aca="false">IFERROR(INDEX('Lead Management'!$P$4:$P$1003,MATCH($B51,'Lead Management'!$A$4:$A$1003,0)),"")</f>
        <v/>
      </c>
      <c r="U51" s="32"/>
    </row>
    <row r="52" customFormat="false" ht="15.75" hidden="false" customHeight="true" outlineLevel="0" collapsed="false">
      <c r="A52" s="27"/>
      <c r="B52" s="27"/>
      <c r="C52" s="33" t="str">
        <f aca="false">IFERROR(INDEX('Lead Management'!$B$4:$B$1003,MATCH($B52,'Lead Management'!$A$4:$A$1003,0)),"")</f>
        <v/>
      </c>
      <c r="D52" s="33" t="str">
        <f aca="false">IFERROR(INDEX('Lead Management'!$C$4:$C$1003,MATCH($B52,'Lead Management'!$A$4:$A$1003,0)),"")</f>
        <v/>
      </c>
      <c r="E52" s="33" t="str">
        <f aca="false">IFERROR(INDEX('Lead Management'!$F$4:$F$1003,MATCH($B52,'Lead Management'!$A$4:$A$1003,0)),"")</f>
        <v/>
      </c>
      <c r="F52" s="27"/>
      <c r="G52" s="28"/>
      <c r="H52" s="28"/>
      <c r="I52" s="27"/>
      <c r="J52" s="29"/>
      <c r="K52" s="28"/>
      <c r="L52" s="34" t="str">
        <f aca="false">IF($F52="","",IFERROR(INDEX(Settings!$B$18:$B$27,MATCH($F52,Settings!$A$18:$A$27,0)),""))</f>
        <v/>
      </c>
      <c r="M52" s="34" t="str">
        <f aca="false">IF($A52="","",SUMIFS(Finance!$E$4:$E$1003,Finance!$B$4:$B$1003,$A52,Finance!$J$4:$J$1003,"Paid"))</f>
        <v/>
      </c>
      <c r="N52" s="34" t="str">
        <f aca="false">IF($A52="","",IFERROR($L52-$M52,""))</f>
        <v/>
      </c>
      <c r="O52" s="35" t="str">
        <f aca="false">IF($A52="","",IFERROR($M52/$L52,""))</f>
        <v/>
      </c>
      <c r="P52" s="33" t="str">
        <f aca="false">IFERROR(INDEX('Process Tracking'!$E$5:$E$1003,MATCH($A52,'Process Tracking'!$A$5:$A$1003,0)),"")</f>
        <v/>
      </c>
      <c r="Q52" s="35" t="str">
        <f aca="false">IFERROR(INDEX(Documents!$Q$4:$Q$1003,MATCH($A52,Documents!$A$4:$A$1003,0)),"")</f>
        <v/>
      </c>
      <c r="R52" s="27"/>
      <c r="S52" s="31" t="str">
        <f aca="false">IFERROR(INDEX('Lead Management'!$O$4:$O$1003,MATCH($B52,'Lead Management'!$A$4:$A$1003,0)),"")</f>
        <v/>
      </c>
      <c r="T52" s="36" t="str">
        <f aca="false">IFERROR(INDEX('Lead Management'!$P$4:$P$1003,MATCH($B52,'Lead Management'!$A$4:$A$1003,0)),"")</f>
        <v/>
      </c>
      <c r="U52" s="32"/>
    </row>
    <row r="53" customFormat="false" ht="15.75" hidden="false" customHeight="true" outlineLevel="0" collapsed="false">
      <c r="A53" s="27"/>
      <c r="B53" s="27"/>
      <c r="C53" s="33" t="str">
        <f aca="false">IFERROR(INDEX('Lead Management'!$B$4:$B$1003,MATCH($B53,'Lead Management'!$A$4:$A$1003,0)),"")</f>
        <v/>
      </c>
      <c r="D53" s="33" t="str">
        <f aca="false">IFERROR(INDEX('Lead Management'!$C$4:$C$1003,MATCH($B53,'Lead Management'!$A$4:$A$1003,0)),"")</f>
        <v/>
      </c>
      <c r="E53" s="33" t="str">
        <f aca="false">IFERROR(INDEX('Lead Management'!$F$4:$F$1003,MATCH($B53,'Lead Management'!$A$4:$A$1003,0)),"")</f>
        <v/>
      </c>
      <c r="F53" s="27"/>
      <c r="G53" s="28"/>
      <c r="H53" s="28"/>
      <c r="I53" s="27"/>
      <c r="J53" s="29"/>
      <c r="K53" s="28"/>
      <c r="L53" s="34" t="str">
        <f aca="false">IF($F53="","",IFERROR(INDEX(Settings!$B$18:$B$27,MATCH($F53,Settings!$A$18:$A$27,0)),""))</f>
        <v/>
      </c>
      <c r="M53" s="34" t="str">
        <f aca="false">IF($A53="","",SUMIFS(Finance!$E$4:$E$1003,Finance!$B$4:$B$1003,$A53,Finance!$J$4:$J$1003,"Paid"))</f>
        <v/>
      </c>
      <c r="N53" s="34" t="str">
        <f aca="false">IF($A53="","",IFERROR($L53-$M53,""))</f>
        <v/>
      </c>
      <c r="O53" s="35" t="str">
        <f aca="false">IF($A53="","",IFERROR($M53/$L53,""))</f>
        <v/>
      </c>
      <c r="P53" s="33" t="str">
        <f aca="false">IFERROR(INDEX('Process Tracking'!$E$5:$E$1003,MATCH($A53,'Process Tracking'!$A$5:$A$1003,0)),"")</f>
        <v/>
      </c>
      <c r="Q53" s="35" t="str">
        <f aca="false">IFERROR(INDEX(Documents!$Q$4:$Q$1003,MATCH($A53,Documents!$A$4:$A$1003,0)),"")</f>
        <v/>
      </c>
      <c r="R53" s="27"/>
      <c r="S53" s="31" t="str">
        <f aca="false">IFERROR(INDEX('Lead Management'!$O$4:$O$1003,MATCH($B53,'Lead Management'!$A$4:$A$1003,0)),"")</f>
        <v/>
      </c>
      <c r="T53" s="36" t="str">
        <f aca="false">IFERROR(INDEX('Lead Management'!$P$4:$P$1003,MATCH($B53,'Lead Management'!$A$4:$A$1003,0)),"")</f>
        <v/>
      </c>
      <c r="U53" s="32"/>
    </row>
    <row r="54" customFormat="false" ht="15.75" hidden="false" customHeight="true" outlineLevel="0" collapsed="false">
      <c r="A54" s="27"/>
      <c r="B54" s="27"/>
      <c r="C54" s="33" t="str">
        <f aca="false">IFERROR(INDEX('Lead Management'!$B$4:$B$1003,MATCH($B54,'Lead Management'!$A$4:$A$1003,0)),"")</f>
        <v/>
      </c>
      <c r="D54" s="33" t="str">
        <f aca="false">IFERROR(INDEX('Lead Management'!$C$4:$C$1003,MATCH($B54,'Lead Management'!$A$4:$A$1003,0)),"")</f>
        <v/>
      </c>
      <c r="E54" s="33" t="str">
        <f aca="false">IFERROR(INDEX('Lead Management'!$F$4:$F$1003,MATCH($B54,'Lead Management'!$A$4:$A$1003,0)),"")</f>
        <v/>
      </c>
      <c r="F54" s="27"/>
      <c r="G54" s="28"/>
      <c r="H54" s="28"/>
      <c r="I54" s="27"/>
      <c r="J54" s="29"/>
      <c r="K54" s="28"/>
      <c r="L54" s="34" t="str">
        <f aca="false">IF($F54="","",IFERROR(INDEX(Settings!$B$18:$B$27,MATCH($F54,Settings!$A$18:$A$27,0)),""))</f>
        <v/>
      </c>
      <c r="M54" s="34" t="str">
        <f aca="false">IF($A54="","",SUMIFS(Finance!$E$4:$E$1003,Finance!$B$4:$B$1003,$A54,Finance!$J$4:$J$1003,"Paid"))</f>
        <v/>
      </c>
      <c r="N54" s="34" t="str">
        <f aca="false">IF($A54="","",IFERROR($L54-$M54,""))</f>
        <v/>
      </c>
      <c r="O54" s="35" t="str">
        <f aca="false">IF($A54="","",IFERROR($M54/$L54,""))</f>
        <v/>
      </c>
      <c r="P54" s="33" t="str">
        <f aca="false">IFERROR(INDEX('Process Tracking'!$E$5:$E$1003,MATCH($A54,'Process Tracking'!$A$5:$A$1003,0)),"")</f>
        <v/>
      </c>
      <c r="Q54" s="35" t="str">
        <f aca="false">IFERROR(INDEX(Documents!$Q$4:$Q$1003,MATCH($A54,Documents!$A$4:$A$1003,0)),"")</f>
        <v/>
      </c>
      <c r="R54" s="27"/>
      <c r="S54" s="31" t="str">
        <f aca="false">IFERROR(INDEX('Lead Management'!$O$4:$O$1003,MATCH($B54,'Lead Management'!$A$4:$A$1003,0)),"")</f>
        <v/>
      </c>
      <c r="T54" s="36" t="str">
        <f aca="false">IFERROR(INDEX('Lead Management'!$P$4:$P$1003,MATCH($B54,'Lead Management'!$A$4:$A$1003,0)),"")</f>
        <v/>
      </c>
      <c r="U54" s="32"/>
    </row>
    <row r="55" customFormat="false" ht="15.75" hidden="false" customHeight="true" outlineLevel="0" collapsed="false">
      <c r="A55" s="27"/>
      <c r="B55" s="27"/>
      <c r="C55" s="33" t="str">
        <f aca="false">IFERROR(INDEX('Lead Management'!$B$4:$B$1003,MATCH($B55,'Lead Management'!$A$4:$A$1003,0)),"")</f>
        <v/>
      </c>
      <c r="D55" s="33" t="str">
        <f aca="false">IFERROR(INDEX('Lead Management'!$C$4:$C$1003,MATCH($B55,'Lead Management'!$A$4:$A$1003,0)),"")</f>
        <v/>
      </c>
      <c r="E55" s="33" t="str">
        <f aca="false">IFERROR(INDEX('Lead Management'!$F$4:$F$1003,MATCH($B55,'Lead Management'!$A$4:$A$1003,0)),"")</f>
        <v/>
      </c>
      <c r="F55" s="27"/>
      <c r="G55" s="28"/>
      <c r="H55" s="28"/>
      <c r="I55" s="27"/>
      <c r="J55" s="29"/>
      <c r="K55" s="28"/>
      <c r="L55" s="34" t="str">
        <f aca="false">IF($F55="","",IFERROR(INDEX(Settings!$B$18:$B$27,MATCH($F55,Settings!$A$18:$A$27,0)),""))</f>
        <v/>
      </c>
      <c r="M55" s="34" t="str">
        <f aca="false">IF($A55="","",SUMIFS(Finance!$E$4:$E$1003,Finance!$B$4:$B$1003,$A55,Finance!$J$4:$J$1003,"Paid"))</f>
        <v/>
      </c>
      <c r="N55" s="34" t="str">
        <f aca="false">IF($A55="","",IFERROR($L55-$M55,""))</f>
        <v/>
      </c>
      <c r="O55" s="35" t="str">
        <f aca="false">IF($A55="","",IFERROR($M55/$L55,""))</f>
        <v/>
      </c>
      <c r="P55" s="33" t="str">
        <f aca="false">IFERROR(INDEX('Process Tracking'!$E$5:$E$1003,MATCH($A55,'Process Tracking'!$A$5:$A$1003,0)),"")</f>
        <v/>
      </c>
      <c r="Q55" s="35" t="str">
        <f aca="false">IFERROR(INDEX(Documents!$Q$4:$Q$1003,MATCH($A55,Documents!$A$4:$A$1003,0)),"")</f>
        <v/>
      </c>
      <c r="R55" s="27"/>
      <c r="S55" s="31" t="str">
        <f aca="false">IFERROR(INDEX('Lead Management'!$O$4:$O$1003,MATCH($B55,'Lead Management'!$A$4:$A$1003,0)),"")</f>
        <v/>
      </c>
      <c r="T55" s="36" t="str">
        <f aca="false">IFERROR(INDEX('Lead Management'!$P$4:$P$1003,MATCH($B55,'Lead Management'!$A$4:$A$1003,0)),"")</f>
        <v/>
      </c>
      <c r="U55" s="32"/>
    </row>
    <row r="56" customFormat="false" ht="15.75" hidden="false" customHeight="true" outlineLevel="0" collapsed="false">
      <c r="A56" s="27"/>
      <c r="B56" s="27"/>
      <c r="C56" s="33" t="str">
        <f aca="false">IFERROR(INDEX('Lead Management'!$B$4:$B$1003,MATCH($B56,'Lead Management'!$A$4:$A$1003,0)),"")</f>
        <v/>
      </c>
      <c r="D56" s="33" t="str">
        <f aca="false">IFERROR(INDEX('Lead Management'!$C$4:$C$1003,MATCH($B56,'Lead Management'!$A$4:$A$1003,0)),"")</f>
        <v/>
      </c>
      <c r="E56" s="33" t="str">
        <f aca="false">IFERROR(INDEX('Lead Management'!$F$4:$F$1003,MATCH($B56,'Lead Management'!$A$4:$A$1003,0)),"")</f>
        <v/>
      </c>
      <c r="F56" s="27"/>
      <c r="G56" s="28"/>
      <c r="H56" s="28"/>
      <c r="I56" s="27"/>
      <c r="J56" s="29"/>
      <c r="K56" s="28"/>
      <c r="L56" s="34" t="str">
        <f aca="false">IF($F56="","",IFERROR(INDEX(Settings!$B$18:$B$27,MATCH($F56,Settings!$A$18:$A$27,0)),""))</f>
        <v/>
      </c>
      <c r="M56" s="34" t="str">
        <f aca="false">IF($A56="","",SUMIFS(Finance!$E$4:$E$1003,Finance!$B$4:$B$1003,$A56,Finance!$J$4:$J$1003,"Paid"))</f>
        <v/>
      </c>
      <c r="N56" s="34" t="str">
        <f aca="false">IF($A56="","",IFERROR($L56-$M56,""))</f>
        <v/>
      </c>
      <c r="O56" s="35" t="str">
        <f aca="false">IF($A56="","",IFERROR($M56/$L56,""))</f>
        <v/>
      </c>
      <c r="P56" s="33" t="str">
        <f aca="false">IFERROR(INDEX('Process Tracking'!$E$5:$E$1003,MATCH($A56,'Process Tracking'!$A$5:$A$1003,0)),"")</f>
        <v/>
      </c>
      <c r="Q56" s="35" t="str">
        <f aca="false">IFERROR(INDEX(Documents!$Q$4:$Q$1003,MATCH($A56,Documents!$A$4:$A$1003,0)),"")</f>
        <v/>
      </c>
      <c r="R56" s="27"/>
      <c r="S56" s="31" t="str">
        <f aca="false">IFERROR(INDEX('Lead Management'!$O$4:$O$1003,MATCH($B56,'Lead Management'!$A$4:$A$1003,0)),"")</f>
        <v/>
      </c>
      <c r="T56" s="36" t="str">
        <f aca="false">IFERROR(INDEX('Lead Management'!$P$4:$P$1003,MATCH($B56,'Lead Management'!$A$4:$A$1003,0)),"")</f>
        <v/>
      </c>
      <c r="U56" s="32"/>
    </row>
    <row r="57" customFormat="false" ht="15.75" hidden="false" customHeight="true" outlineLevel="0" collapsed="false">
      <c r="A57" s="27"/>
      <c r="B57" s="27"/>
      <c r="C57" s="33" t="str">
        <f aca="false">IFERROR(INDEX('Lead Management'!$B$4:$B$1003,MATCH($B57,'Lead Management'!$A$4:$A$1003,0)),"")</f>
        <v/>
      </c>
      <c r="D57" s="33" t="str">
        <f aca="false">IFERROR(INDEX('Lead Management'!$C$4:$C$1003,MATCH($B57,'Lead Management'!$A$4:$A$1003,0)),"")</f>
        <v/>
      </c>
      <c r="E57" s="33" t="str">
        <f aca="false">IFERROR(INDEX('Lead Management'!$F$4:$F$1003,MATCH($B57,'Lead Management'!$A$4:$A$1003,0)),"")</f>
        <v/>
      </c>
      <c r="F57" s="27"/>
      <c r="G57" s="28"/>
      <c r="H57" s="28"/>
      <c r="I57" s="27"/>
      <c r="J57" s="29"/>
      <c r="K57" s="28"/>
      <c r="L57" s="34" t="str">
        <f aca="false">IF($F57="","",IFERROR(INDEX(Settings!$B$18:$B$27,MATCH($F57,Settings!$A$18:$A$27,0)),""))</f>
        <v/>
      </c>
      <c r="M57" s="34" t="str">
        <f aca="false">IF($A57="","",SUMIFS(Finance!$E$4:$E$1003,Finance!$B$4:$B$1003,$A57,Finance!$J$4:$J$1003,"Paid"))</f>
        <v/>
      </c>
      <c r="N57" s="34" t="str">
        <f aca="false">IF($A57="","",IFERROR($L57-$M57,""))</f>
        <v/>
      </c>
      <c r="O57" s="35" t="str">
        <f aca="false">IF($A57="","",IFERROR($M57/$L57,""))</f>
        <v/>
      </c>
      <c r="P57" s="33" t="str">
        <f aca="false">IFERROR(INDEX('Process Tracking'!$E$5:$E$1003,MATCH($A57,'Process Tracking'!$A$5:$A$1003,0)),"")</f>
        <v/>
      </c>
      <c r="Q57" s="35" t="str">
        <f aca="false">IFERROR(INDEX(Documents!$Q$4:$Q$1003,MATCH($A57,Documents!$A$4:$A$1003,0)),"")</f>
        <v/>
      </c>
      <c r="R57" s="27"/>
      <c r="S57" s="31" t="str">
        <f aca="false">IFERROR(INDEX('Lead Management'!$O$4:$O$1003,MATCH($B57,'Lead Management'!$A$4:$A$1003,0)),"")</f>
        <v/>
      </c>
      <c r="T57" s="36" t="str">
        <f aca="false">IFERROR(INDEX('Lead Management'!$P$4:$P$1003,MATCH($B57,'Lead Management'!$A$4:$A$1003,0)),"")</f>
        <v/>
      </c>
      <c r="U57" s="32"/>
    </row>
    <row r="58" customFormat="false" ht="15.75" hidden="false" customHeight="true" outlineLevel="0" collapsed="false">
      <c r="A58" s="27"/>
      <c r="B58" s="27"/>
      <c r="C58" s="33" t="str">
        <f aca="false">IFERROR(INDEX('Lead Management'!$B$4:$B$1003,MATCH($B58,'Lead Management'!$A$4:$A$1003,0)),"")</f>
        <v/>
      </c>
      <c r="D58" s="33" t="str">
        <f aca="false">IFERROR(INDEX('Lead Management'!$C$4:$C$1003,MATCH($B58,'Lead Management'!$A$4:$A$1003,0)),"")</f>
        <v/>
      </c>
      <c r="E58" s="33" t="str">
        <f aca="false">IFERROR(INDEX('Lead Management'!$F$4:$F$1003,MATCH($B58,'Lead Management'!$A$4:$A$1003,0)),"")</f>
        <v/>
      </c>
      <c r="F58" s="27"/>
      <c r="G58" s="28"/>
      <c r="H58" s="28"/>
      <c r="I58" s="27"/>
      <c r="J58" s="29"/>
      <c r="K58" s="28"/>
      <c r="L58" s="34" t="str">
        <f aca="false">IF($F58="","",IFERROR(INDEX(Settings!$B$18:$B$27,MATCH($F58,Settings!$A$18:$A$27,0)),""))</f>
        <v/>
      </c>
      <c r="M58" s="34" t="str">
        <f aca="false">IF($A58="","",SUMIFS(Finance!$E$4:$E$1003,Finance!$B$4:$B$1003,$A58,Finance!$J$4:$J$1003,"Paid"))</f>
        <v/>
      </c>
      <c r="N58" s="34" t="str">
        <f aca="false">IF($A58="","",IFERROR($L58-$M58,""))</f>
        <v/>
      </c>
      <c r="O58" s="35" t="str">
        <f aca="false">IF($A58="","",IFERROR($M58/$L58,""))</f>
        <v/>
      </c>
      <c r="P58" s="33" t="str">
        <f aca="false">IFERROR(INDEX('Process Tracking'!$E$5:$E$1003,MATCH($A58,'Process Tracking'!$A$5:$A$1003,0)),"")</f>
        <v/>
      </c>
      <c r="Q58" s="35" t="str">
        <f aca="false">IFERROR(INDEX(Documents!$Q$4:$Q$1003,MATCH($A58,Documents!$A$4:$A$1003,0)),"")</f>
        <v/>
      </c>
      <c r="R58" s="27"/>
      <c r="S58" s="31" t="str">
        <f aca="false">IFERROR(INDEX('Lead Management'!$O$4:$O$1003,MATCH($B58,'Lead Management'!$A$4:$A$1003,0)),"")</f>
        <v/>
      </c>
      <c r="T58" s="36" t="str">
        <f aca="false">IFERROR(INDEX('Lead Management'!$P$4:$P$1003,MATCH($B58,'Lead Management'!$A$4:$A$1003,0)),"")</f>
        <v/>
      </c>
      <c r="U58" s="32"/>
    </row>
    <row r="59" customFormat="false" ht="15.75" hidden="false" customHeight="true" outlineLevel="0" collapsed="false">
      <c r="A59" s="27"/>
      <c r="B59" s="27"/>
      <c r="C59" s="33" t="str">
        <f aca="false">IFERROR(INDEX('Lead Management'!$B$4:$B$1003,MATCH($B59,'Lead Management'!$A$4:$A$1003,0)),"")</f>
        <v/>
      </c>
      <c r="D59" s="33" t="str">
        <f aca="false">IFERROR(INDEX('Lead Management'!$C$4:$C$1003,MATCH($B59,'Lead Management'!$A$4:$A$1003,0)),"")</f>
        <v/>
      </c>
      <c r="E59" s="33" t="str">
        <f aca="false">IFERROR(INDEX('Lead Management'!$F$4:$F$1003,MATCH($B59,'Lead Management'!$A$4:$A$1003,0)),"")</f>
        <v/>
      </c>
      <c r="F59" s="27"/>
      <c r="G59" s="28"/>
      <c r="H59" s="28"/>
      <c r="I59" s="27"/>
      <c r="J59" s="29"/>
      <c r="K59" s="28"/>
      <c r="L59" s="34" t="str">
        <f aca="false">IF($F59="","",IFERROR(INDEX(Settings!$B$18:$B$27,MATCH($F59,Settings!$A$18:$A$27,0)),""))</f>
        <v/>
      </c>
      <c r="M59" s="34" t="str">
        <f aca="false">IF($A59="","",SUMIFS(Finance!$E$4:$E$1003,Finance!$B$4:$B$1003,$A59,Finance!$J$4:$J$1003,"Paid"))</f>
        <v/>
      </c>
      <c r="N59" s="34" t="str">
        <f aca="false">IF($A59="","",IFERROR($L59-$M59,""))</f>
        <v/>
      </c>
      <c r="O59" s="35" t="str">
        <f aca="false">IF($A59="","",IFERROR($M59/$L59,""))</f>
        <v/>
      </c>
      <c r="P59" s="33" t="str">
        <f aca="false">IFERROR(INDEX('Process Tracking'!$E$5:$E$1003,MATCH($A59,'Process Tracking'!$A$5:$A$1003,0)),"")</f>
        <v/>
      </c>
      <c r="Q59" s="35" t="str">
        <f aca="false">IFERROR(INDEX(Documents!$Q$4:$Q$1003,MATCH($A59,Documents!$A$4:$A$1003,0)),"")</f>
        <v/>
      </c>
      <c r="R59" s="27"/>
      <c r="S59" s="31" t="str">
        <f aca="false">IFERROR(INDEX('Lead Management'!$O$4:$O$1003,MATCH($B59,'Lead Management'!$A$4:$A$1003,0)),"")</f>
        <v/>
      </c>
      <c r="T59" s="36" t="str">
        <f aca="false">IFERROR(INDEX('Lead Management'!$P$4:$P$1003,MATCH($B59,'Lead Management'!$A$4:$A$1003,0)),"")</f>
        <v/>
      </c>
      <c r="U59" s="32"/>
    </row>
    <row r="60" customFormat="false" ht="15.75" hidden="false" customHeight="true" outlineLevel="0" collapsed="false">
      <c r="A60" s="27"/>
      <c r="B60" s="27"/>
      <c r="C60" s="33" t="str">
        <f aca="false">IFERROR(INDEX('Lead Management'!$B$4:$B$1003,MATCH($B60,'Lead Management'!$A$4:$A$1003,0)),"")</f>
        <v/>
      </c>
      <c r="D60" s="33" t="str">
        <f aca="false">IFERROR(INDEX('Lead Management'!$C$4:$C$1003,MATCH($B60,'Lead Management'!$A$4:$A$1003,0)),"")</f>
        <v/>
      </c>
      <c r="E60" s="33" t="str">
        <f aca="false">IFERROR(INDEX('Lead Management'!$F$4:$F$1003,MATCH($B60,'Lead Management'!$A$4:$A$1003,0)),"")</f>
        <v/>
      </c>
      <c r="F60" s="27"/>
      <c r="G60" s="28"/>
      <c r="H60" s="28"/>
      <c r="I60" s="27"/>
      <c r="J60" s="29"/>
      <c r="K60" s="28"/>
      <c r="L60" s="34" t="str">
        <f aca="false">IF($F60="","",IFERROR(INDEX(Settings!$B$18:$B$27,MATCH($F60,Settings!$A$18:$A$27,0)),""))</f>
        <v/>
      </c>
      <c r="M60" s="34" t="str">
        <f aca="false">IF($A60="","",SUMIFS(Finance!$E$4:$E$1003,Finance!$B$4:$B$1003,$A60,Finance!$J$4:$J$1003,"Paid"))</f>
        <v/>
      </c>
      <c r="N60" s="34" t="str">
        <f aca="false">IF($A60="","",IFERROR($L60-$M60,""))</f>
        <v/>
      </c>
      <c r="O60" s="35" t="str">
        <f aca="false">IF($A60="","",IFERROR($M60/$L60,""))</f>
        <v/>
      </c>
      <c r="P60" s="33" t="str">
        <f aca="false">IFERROR(INDEX('Process Tracking'!$E$5:$E$1003,MATCH($A60,'Process Tracking'!$A$5:$A$1003,0)),"")</f>
        <v/>
      </c>
      <c r="Q60" s="35" t="str">
        <f aca="false">IFERROR(INDEX(Documents!$Q$4:$Q$1003,MATCH($A60,Documents!$A$4:$A$1003,0)),"")</f>
        <v/>
      </c>
      <c r="R60" s="27"/>
      <c r="S60" s="31" t="str">
        <f aca="false">IFERROR(INDEX('Lead Management'!$O$4:$O$1003,MATCH($B60,'Lead Management'!$A$4:$A$1003,0)),"")</f>
        <v/>
      </c>
      <c r="T60" s="36" t="str">
        <f aca="false">IFERROR(INDEX('Lead Management'!$P$4:$P$1003,MATCH($B60,'Lead Management'!$A$4:$A$1003,0)),"")</f>
        <v/>
      </c>
      <c r="U60" s="32"/>
    </row>
    <row r="61" customFormat="false" ht="15.75" hidden="false" customHeight="true" outlineLevel="0" collapsed="false">
      <c r="A61" s="27"/>
      <c r="B61" s="27"/>
      <c r="C61" s="33" t="str">
        <f aca="false">IFERROR(INDEX('Lead Management'!$B$4:$B$1003,MATCH($B61,'Lead Management'!$A$4:$A$1003,0)),"")</f>
        <v/>
      </c>
      <c r="D61" s="33" t="str">
        <f aca="false">IFERROR(INDEX('Lead Management'!$C$4:$C$1003,MATCH($B61,'Lead Management'!$A$4:$A$1003,0)),"")</f>
        <v/>
      </c>
      <c r="E61" s="33" t="str">
        <f aca="false">IFERROR(INDEX('Lead Management'!$F$4:$F$1003,MATCH($B61,'Lead Management'!$A$4:$A$1003,0)),"")</f>
        <v/>
      </c>
      <c r="F61" s="27"/>
      <c r="G61" s="28"/>
      <c r="H61" s="28"/>
      <c r="I61" s="27"/>
      <c r="J61" s="29"/>
      <c r="K61" s="28"/>
      <c r="L61" s="34" t="str">
        <f aca="false">IF($F61="","",IFERROR(INDEX(Settings!$B$18:$B$27,MATCH($F61,Settings!$A$18:$A$27,0)),""))</f>
        <v/>
      </c>
      <c r="M61" s="34" t="str">
        <f aca="false">IF($A61="","",SUMIFS(Finance!$E$4:$E$1003,Finance!$B$4:$B$1003,$A61,Finance!$J$4:$J$1003,"Paid"))</f>
        <v/>
      </c>
      <c r="N61" s="34" t="str">
        <f aca="false">IF($A61="","",IFERROR($L61-$M61,""))</f>
        <v/>
      </c>
      <c r="O61" s="35" t="str">
        <f aca="false">IF($A61="","",IFERROR($M61/$L61,""))</f>
        <v/>
      </c>
      <c r="P61" s="33" t="str">
        <f aca="false">IFERROR(INDEX('Process Tracking'!$E$5:$E$1003,MATCH($A61,'Process Tracking'!$A$5:$A$1003,0)),"")</f>
        <v/>
      </c>
      <c r="Q61" s="35" t="str">
        <f aca="false">IFERROR(INDEX(Documents!$Q$4:$Q$1003,MATCH($A61,Documents!$A$4:$A$1003,0)),"")</f>
        <v/>
      </c>
      <c r="R61" s="27"/>
      <c r="S61" s="31" t="str">
        <f aca="false">IFERROR(INDEX('Lead Management'!$O$4:$O$1003,MATCH($B61,'Lead Management'!$A$4:$A$1003,0)),"")</f>
        <v/>
      </c>
      <c r="T61" s="36" t="str">
        <f aca="false">IFERROR(INDEX('Lead Management'!$P$4:$P$1003,MATCH($B61,'Lead Management'!$A$4:$A$1003,0)),"")</f>
        <v/>
      </c>
      <c r="U61" s="32"/>
    </row>
    <row r="62" customFormat="false" ht="15.75" hidden="false" customHeight="true" outlineLevel="0" collapsed="false">
      <c r="A62" s="27"/>
      <c r="B62" s="27"/>
      <c r="C62" s="33" t="str">
        <f aca="false">IFERROR(INDEX('Lead Management'!$B$4:$B$1003,MATCH($B62,'Lead Management'!$A$4:$A$1003,0)),"")</f>
        <v/>
      </c>
      <c r="D62" s="33" t="str">
        <f aca="false">IFERROR(INDEX('Lead Management'!$C$4:$C$1003,MATCH($B62,'Lead Management'!$A$4:$A$1003,0)),"")</f>
        <v/>
      </c>
      <c r="E62" s="33" t="str">
        <f aca="false">IFERROR(INDEX('Lead Management'!$F$4:$F$1003,MATCH($B62,'Lead Management'!$A$4:$A$1003,0)),"")</f>
        <v/>
      </c>
      <c r="F62" s="27"/>
      <c r="G62" s="28"/>
      <c r="H62" s="28"/>
      <c r="I62" s="27"/>
      <c r="J62" s="29"/>
      <c r="K62" s="28"/>
      <c r="L62" s="34" t="str">
        <f aca="false">IF($F62="","",IFERROR(INDEX(Settings!$B$18:$B$27,MATCH($F62,Settings!$A$18:$A$27,0)),""))</f>
        <v/>
      </c>
      <c r="M62" s="34" t="str">
        <f aca="false">IF($A62="","",SUMIFS(Finance!$E$4:$E$1003,Finance!$B$4:$B$1003,$A62,Finance!$J$4:$J$1003,"Paid"))</f>
        <v/>
      </c>
      <c r="N62" s="34" t="str">
        <f aca="false">IF($A62="","",IFERROR($L62-$M62,""))</f>
        <v/>
      </c>
      <c r="O62" s="35" t="str">
        <f aca="false">IF($A62="","",IFERROR($M62/$L62,""))</f>
        <v/>
      </c>
      <c r="P62" s="33" t="str">
        <f aca="false">IFERROR(INDEX('Process Tracking'!$E$5:$E$1003,MATCH($A62,'Process Tracking'!$A$5:$A$1003,0)),"")</f>
        <v/>
      </c>
      <c r="Q62" s="35" t="str">
        <f aca="false">IFERROR(INDEX(Documents!$Q$4:$Q$1003,MATCH($A62,Documents!$A$4:$A$1003,0)),"")</f>
        <v/>
      </c>
      <c r="R62" s="27"/>
      <c r="S62" s="31" t="str">
        <f aca="false">IFERROR(INDEX('Lead Management'!$O$4:$O$1003,MATCH($B62,'Lead Management'!$A$4:$A$1003,0)),"")</f>
        <v/>
      </c>
      <c r="T62" s="36" t="str">
        <f aca="false">IFERROR(INDEX('Lead Management'!$P$4:$P$1003,MATCH($B62,'Lead Management'!$A$4:$A$1003,0)),"")</f>
        <v/>
      </c>
      <c r="U62" s="32"/>
    </row>
    <row r="63" customFormat="false" ht="15.75" hidden="false" customHeight="true" outlineLevel="0" collapsed="false">
      <c r="A63" s="27"/>
      <c r="B63" s="27"/>
      <c r="C63" s="33" t="str">
        <f aca="false">IFERROR(INDEX('Lead Management'!$B$4:$B$1003,MATCH($B63,'Lead Management'!$A$4:$A$1003,0)),"")</f>
        <v/>
      </c>
      <c r="D63" s="33" t="str">
        <f aca="false">IFERROR(INDEX('Lead Management'!$C$4:$C$1003,MATCH($B63,'Lead Management'!$A$4:$A$1003,0)),"")</f>
        <v/>
      </c>
      <c r="E63" s="33" t="str">
        <f aca="false">IFERROR(INDEX('Lead Management'!$F$4:$F$1003,MATCH($B63,'Lead Management'!$A$4:$A$1003,0)),"")</f>
        <v/>
      </c>
      <c r="F63" s="27"/>
      <c r="G63" s="28"/>
      <c r="H63" s="28"/>
      <c r="I63" s="27"/>
      <c r="J63" s="29"/>
      <c r="K63" s="28"/>
      <c r="L63" s="34" t="str">
        <f aca="false">IF($F63="","",IFERROR(INDEX(Settings!$B$18:$B$27,MATCH($F63,Settings!$A$18:$A$27,0)),""))</f>
        <v/>
      </c>
      <c r="M63" s="34" t="str">
        <f aca="false">IF($A63="","",SUMIFS(Finance!$E$4:$E$1003,Finance!$B$4:$B$1003,$A63,Finance!$J$4:$J$1003,"Paid"))</f>
        <v/>
      </c>
      <c r="N63" s="34" t="str">
        <f aca="false">IF($A63="","",IFERROR($L63-$M63,""))</f>
        <v/>
      </c>
      <c r="O63" s="35" t="str">
        <f aca="false">IF($A63="","",IFERROR($M63/$L63,""))</f>
        <v/>
      </c>
      <c r="P63" s="33" t="str">
        <f aca="false">IFERROR(INDEX('Process Tracking'!$E$5:$E$1003,MATCH($A63,'Process Tracking'!$A$5:$A$1003,0)),"")</f>
        <v/>
      </c>
      <c r="Q63" s="35" t="str">
        <f aca="false">IFERROR(INDEX(Documents!$Q$4:$Q$1003,MATCH($A63,Documents!$A$4:$A$1003,0)),"")</f>
        <v/>
      </c>
      <c r="R63" s="27"/>
      <c r="S63" s="31" t="str">
        <f aca="false">IFERROR(INDEX('Lead Management'!$O$4:$O$1003,MATCH($B63,'Lead Management'!$A$4:$A$1003,0)),"")</f>
        <v/>
      </c>
      <c r="T63" s="36" t="str">
        <f aca="false">IFERROR(INDEX('Lead Management'!$P$4:$P$1003,MATCH($B63,'Lead Management'!$A$4:$A$1003,0)),"")</f>
        <v/>
      </c>
      <c r="U63" s="32"/>
    </row>
    <row r="64" customFormat="false" ht="15.75" hidden="false" customHeight="true" outlineLevel="0" collapsed="false">
      <c r="A64" s="27"/>
      <c r="B64" s="27"/>
      <c r="C64" s="33" t="str">
        <f aca="false">IFERROR(INDEX('Lead Management'!$B$4:$B$1003,MATCH($B64,'Lead Management'!$A$4:$A$1003,0)),"")</f>
        <v/>
      </c>
      <c r="D64" s="33" t="str">
        <f aca="false">IFERROR(INDEX('Lead Management'!$C$4:$C$1003,MATCH($B64,'Lead Management'!$A$4:$A$1003,0)),"")</f>
        <v/>
      </c>
      <c r="E64" s="33" t="str">
        <f aca="false">IFERROR(INDEX('Lead Management'!$F$4:$F$1003,MATCH($B64,'Lead Management'!$A$4:$A$1003,0)),"")</f>
        <v/>
      </c>
      <c r="F64" s="27"/>
      <c r="G64" s="28"/>
      <c r="H64" s="28"/>
      <c r="I64" s="27"/>
      <c r="J64" s="29"/>
      <c r="K64" s="28"/>
      <c r="L64" s="34" t="str">
        <f aca="false">IF($F64="","",IFERROR(INDEX(Settings!$B$18:$B$27,MATCH($F64,Settings!$A$18:$A$27,0)),""))</f>
        <v/>
      </c>
      <c r="M64" s="34" t="str">
        <f aca="false">IF($A64="","",SUMIFS(Finance!$E$4:$E$1003,Finance!$B$4:$B$1003,$A64,Finance!$J$4:$J$1003,"Paid"))</f>
        <v/>
      </c>
      <c r="N64" s="34" t="str">
        <f aca="false">IF($A64="","",IFERROR($L64-$M64,""))</f>
        <v/>
      </c>
      <c r="O64" s="35" t="str">
        <f aca="false">IF($A64="","",IFERROR($M64/$L64,""))</f>
        <v/>
      </c>
      <c r="P64" s="33" t="str">
        <f aca="false">IFERROR(INDEX('Process Tracking'!$E$5:$E$1003,MATCH($A64,'Process Tracking'!$A$5:$A$1003,0)),"")</f>
        <v/>
      </c>
      <c r="Q64" s="35" t="str">
        <f aca="false">IFERROR(INDEX(Documents!$Q$4:$Q$1003,MATCH($A64,Documents!$A$4:$A$1003,0)),"")</f>
        <v/>
      </c>
      <c r="R64" s="27"/>
      <c r="S64" s="31" t="str">
        <f aca="false">IFERROR(INDEX('Lead Management'!$O$4:$O$1003,MATCH($B64,'Lead Management'!$A$4:$A$1003,0)),"")</f>
        <v/>
      </c>
      <c r="T64" s="36" t="str">
        <f aca="false">IFERROR(INDEX('Lead Management'!$P$4:$P$1003,MATCH($B64,'Lead Management'!$A$4:$A$1003,0)),"")</f>
        <v/>
      </c>
      <c r="U64" s="32"/>
    </row>
    <row r="65" customFormat="false" ht="15.75" hidden="false" customHeight="true" outlineLevel="0" collapsed="false">
      <c r="A65" s="27"/>
      <c r="B65" s="27"/>
      <c r="C65" s="33" t="str">
        <f aca="false">IFERROR(INDEX('Lead Management'!$B$4:$B$1003,MATCH($B65,'Lead Management'!$A$4:$A$1003,0)),"")</f>
        <v/>
      </c>
      <c r="D65" s="33" t="str">
        <f aca="false">IFERROR(INDEX('Lead Management'!$C$4:$C$1003,MATCH($B65,'Lead Management'!$A$4:$A$1003,0)),"")</f>
        <v/>
      </c>
      <c r="E65" s="33" t="str">
        <f aca="false">IFERROR(INDEX('Lead Management'!$F$4:$F$1003,MATCH($B65,'Lead Management'!$A$4:$A$1003,0)),"")</f>
        <v/>
      </c>
      <c r="F65" s="27"/>
      <c r="G65" s="28"/>
      <c r="H65" s="28"/>
      <c r="I65" s="27"/>
      <c r="J65" s="29"/>
      <c r="K65" s="28"/>
      <c r="L65" s="34" t="str">
        <f aca="false">IF($F65="","",IFERROR(INDEX(Settings!$B$18:$B$27,MATCH($F65,Settings!$A$18:$A$27,0)),""))</f>
        <v/>
      </c>
      <c r="M65" s="34" t="str">
        <f aca="false">IF($A65="","",SUMIFS(Finance!$E$4:$E$1003,Finance!$B$4:$B$1003,$A65,Finance!$J$4:$J$1003,"Paid"))</f>
        <v/>
      </c>
      <c r="N65" s="34" t="str">
        <f aca="false">IF($A65="","",IFERROR($L65-$M65,""))</f>
        <v/>
      </c>
      <c r="O65" s="35" t="str">
        <f aca="false">IF($A65="","",IFERROR($M65/$L65,""))</f>
        <v/>
      </c>
      <c r="P65" s="33" t="str">
        <f aca="false">IFERROR(INDEX('Process Tracking'!$E$5:$E$1003,MATCH($A65,'Process Tracking'!$A$5:$A$1003,0)),"")</f>
        <v/>
      </c>
      <c r="Q65" s="35" t="str">
        <f aca="false">IFERROR(INDEX(Documents!$Q$4:$Q$1003,MATCH($A65,Documents!$A$4:$A$1003,0)),"")</f>
        <v/>
      </c>
      <c r="R65" s="27"/>
      <c r="S65" s="31" t="str">
        <f aca="false">IFERROR(INDEX('Lead Management'!$O$4:$O$1003,MATCH($B65,'Lead Management'!$A$4:$A$1003,0)),"")</f>
        <v/>
      </c>
      <c r="T65" s="36" t="str">
        <f aca="false">IFERROR(INDEX('Lead Management'!$P$4:$P$1003,MATCH($B65,'Lead Management'!$A$4:$A$1003,0)),"")</f>
        <v/>
      </c>
      <c r="U65" s="32"/>
    </row>
    <row r="66" customFormat="false" ht="15.75" hidden="false" customHeight="true" outlineLevel="0" collapsed="false">
      <c r="A66" s="27"/>
      <c r="B66" s="27"/>
      <c r="C66" s="33" t="str">
        <f aca="false">IFERROR(INDEX('Lead Management'!$B$4:$B$1003,MATCH($B66,'Lead Management'!$A$4:$A$1003,0)),"")</f>
        <v/>
      </c>
      <c r="D66" s="33" t="str">
        <f aca="false">IFERROR(INDEX('Lead Management'!$C$4:$C$1003,MATCH($B66,'Lead Management'!$A$4:$A$1003,0)),"")</f>
        <v/>
      </c>
      <c r="E66" s="33" t="str">
        <f aca="false">IFERROR(INDEX('Lead Management'!$F$4:$F$1003,MATCH($B66,'Lead Management'!$A$4:$A$1003,0)),"")</f>
        <v/>
      </c>
      <c r="F66" s="27"/>
      <c r="G66" s="28"/>
      <c r="H66" s="28"/>
      <c r="I66" s="27"/>
      <c r="J66" s="29"/>
      <c r="K66" s="28"/>
      <c r="L66" s="34" t="str">
        <f aca="false">IF($F66="","",IFERROR(INDEX(Settings!$B$18:$B$27,MATCH($F66,Settings!$A$18:$A$27,0)),""))</f>
        <v/>
      </c>
      <c r="M66" s="34" t="str">
        <f aca="false">IF($A66="","",SUMIFS(Finance!$E$4:$E$1003,Finance!$B$4:$B$1003,$A66,Finance!$J$4:$J$1003,"Paid"))</f>
        <v/>
      </c>
      <c r="N66" s="34" t="str">
        <f aca="false">IF($A66="","",IFERROR($L66-$M66,""))</f>
        <v/>
      </c>
      <c r="O66" s="35" t="str">
        <f aca="false">IF($A66="","",IFERROR($M66/$L66,""))</f>
        <v/>
      </c>
      <c r="P66" s="33" t="str">
        <f aca="false">IFERROR(INDEX('Process Tracking'!$E$5:$E$1003,MATCH($A66,'Process Tracking'!$A$5:$A$1003,0)),"")</f>
        <v/>
      </c>
      <c r="Q66" s="35" t="str">
        <f aca="false">IFERROR(INDEX(Documents!$Q$4:$Q$1003,MATCH($A66,Documents!$A$4:$A$1003,0)),"")</f>
        <v/>
      </c>
      <c r="R66" s="27"/>
      <c r="S66" s="31" t="str">
        <f aca="false">IFERROR(INDEX('Lead Management'!$O$4:$O$1003,MATCH($B66,'Lead Management'!$A$4:$A$1003,0)),"")</f>
        <v/>
      </c>
      <c r="T66" s="36" t="str">
        <f aca="false">IFERROR(INDEX('Lead Management'!$P$4:$P$1003,MATCH($B66,'Lead Management'!$A$4:$A$1003,0)),"")</f>
        <v/>
      </c>
      <c r="U66" s="32"/>
    </row>
    <row r="67" customFormat="false" ht="15.75" hidden="false" customHeight="true" outlineLevel="0" collapsed="false">
      <c r="A67" s="27"/>
      <c r="B67" s="27"/>
      <c r="C67" s="33" t="str">
        <f aca="false">IFERROR(INDEX('Lead Management'!$B$4:$B$1003,MATCH($B67,'Lead Management'!$A$4:$A$1003,0)),"")</f>
        <v/>
      </c>
      <c r="D67" s="33" t="str">
        <f aca="false">IFERROR(INDEX('Lead Management'!$C$4:$C$1003,MATCH($B67,'Lead Management'!$A$4:$A$1003,0)),"")</f>
        <v/>
      </c>
      <c r="E67" s="33" t="str">
        <f aca="false">IFERROR(INDEX('Lead Management'!$F$4:$F$1003,MATCH($B67,'Lead Management'!$A$4:$A$1003,0)),"")</f>
        <v/>
      </c>
      <c r="F67" s="27"/>
      <c r="G67" s="28"/>
      <c r="H67" s="28"/>
      <c r="I67" s="27"/>
      <c r="J67" s="29"/>
      <c r="K67" s="28"/>
      <c r="L67" s="34" t="str">
        <f aca="false">IF($F67="","",IFERROR(INDEX(Settings!$B$18:$B$27,MATCH($F67,Settings!$A$18:$A$27,0)),""))</f>
        <v/>
      </c>
      <c r="M67" s="34" t="str">
        <f aca="false">IF($A67="","",SUMIFS(Finance!$E$4:$E$1003,Finance!$B$4:$B$1003,$A67,Finance!$J$4:$J$1003,"Paid"))</f>
        <v/>
      </c>
      <c r="N67" s="34" t="str">
        <f aca="false">IF($A67="","",IFERROR($L67-$M67,""))</f>
        <v/>
      </c>
      <c r="O67" s="35" t="str">
        <f aca="false">IF($A67="","",IFERROR($M67/$L67,""))</f>
        <v/>
      </c>
      <c r="P67" s="33" t="str">
        <f aca="false">IFERROR(INDEX('Process Tracking'!$E$5:$E$1003,MATCH($A67,'Process Tracking'!$A$5:$A$1003,0)),"")</f>
        <v/>
      </c>
      <c r="Q67" s="35" t="str">
        <f aca="false">IFERROR(INDEX(Documents!$Q$4:$Q$1003,MATCH($A67,Documents!$A$4:$A$1003,0)),"")</f>
        <v/>
      </c>
      <c r="R67" s="27"/>
      <c r="S67" s="31" t="str">
        <f aca="false">IFERROR(INDEX('Lead Management'!$O$4:$O$1003,MATCH($B67,'Lead Management'!$A$4:$A$1003,0)),"")</f>
        <v/>
      </c>
      <c r="T67" s="36" t="str">
        <f aca="false">IFERROR(INDEX('Lead Management'!$P$4:$P$1003,MATCH($B67,'Lead Management'!$A$4:$A$1003,0)),"")</f>
        <v/>
      </c>
      <c r="U67" s="32"/>
    </row>
    <row r="68" customFormat="false" ht="15.75" hidden="false" customHeight="true" outlineLevel="0" collapsed="false">
      <c r="A68" s="27"/>
      <c r="B68" s="27"/>
      <c r="C68" s="33" t="str">
        <f aca="false">IFERROR(INDEX('Lead Management'!$B$4:$B$1003,MATCH($B68,'Lead Management'!$A$4:$A$1003,0)),"")</f>
        <v/>
      </c>
      <c r="D68" s="33" t="str">
        <f aca="false">IFERROR(INDEX('Lead Management'!$C$4:$C$1003,MATCH($B68,'Lead Management'!$A$4:$A$1003,0)),"")</f>
        <v/>
      </c>
      <c r="E68" s="33" t="str">
        <f aca="false">IFERROR(INDEX('Lead Management'!$F$4:$F$1003,MATCH($B68,'Lead Management'!$A$4:$A$1003,0)),"")</f>
        <v/>
      </c>
      <c r="F68" s="27"/>
      <c r="G68" s="28"/>
      <c r="H68" s="28"/>
      <c r="I68" s="27"/>
      <c r="J68" s="29"/>
      <c r="K68" s="28"/>
      <c r="L68" s="34" t="str">
        <f aca="false">IF($F68="","",IFERROR(INDEX(Settings!$B$18:$B$27,MATCH($F68,Settings!$A$18:$A$27,0)),""))</f>
        <v/>
      </c>
      <c r="M68" s="34" t="str">
        <f aca="false">IF($A68="","",SUMIFS(Finance!$E$4:$E$1003,Finance!$B$4:$B$1003,$A68,Finance!$J$4:$J$1003,"Paid"))</f>
        <v/>
      </c>
      <c r="N68" s="34" t="str">
        <f aca="false">IF($A68="","",IFERROR($L68-$M68,""))</f>
        <v/>
      </c>
      <c r="O68" s="35" t="str">
        <f aca="false">IF($A68="","",IFERROR($M68/$L68,""))</f>
        <v/>
      </c>
      <c r="P68" s="33" t="str">
        <f aca="false">IFERROR(INDEX('Process Tracking'!$E$5:$E$1003,MATCH($A68,'Process Tracking'!$A$5:$A$1003,0)),"")</f>
        <v/>
      </c>
      <c r="Q68" s="35" t="str">
        <f aca="false">IFERROR(INDEX(Documents!$Q$4:$Q$1003,MATCH($A68,Documents!$A$4:$A$1003,0)),"")</f>
        <v/>
      </c>
      <c r="R68" s="27"/>
      <c r="S68" s="31" t="str">
        <f aca="false">IFERROR(INDEX('Lead Management'!$O$4:$O$1003,MATCH($B68,'Lead Management'!$A$4:$A$1003,0)),"")</f>
        <v/>
      </c>
      <c r="T68" s="36" t="str">
        <f aca="false">IFERROR(INDEX('Lead Management'!$P$4:$P$1003,MATCH($B68,'Lead Management'!$A$4:$A$1003,0)),"")</f>
        <v/>
      </c>
      <c r="U68" s="32"/>
    </row>
    <row r="69" customFormat="false" ht="15.75" hidden="false" customHeight="true" outlineLevel="0" collapsed="false">
      <c r="A69" s="27"/>
      <c r="B69" s="27"/>
      <c r="C69" s="33" t="str">
        <f aca="false">IFERROR(INDEX('Lead Management'!$B$4:$B$1003,MATCH($B69,'Lead Management'!$A$4:$A$1003,0)),"")</f>
        <v/>
      </c>
      <c r="D69" s="33" t="str">
        <f aca="false">IFERROR(INDEX('Lead Management'!$C$4:$C$1003,MATCH($B69,'Lead Management'!$A$4:$A$1003,0)),"")</f>
        <v/>
      </c>
      <c r="E69" s="33" t="str">
        <f aca="false">IFERROR(INDEX('Lead Management'!$F$4:$F$1003,MATCH($B69,'Lead Management'!$A$4:$A$1003,0)),"")</f>
        <v/>
      </c>
      <c r="F69" s="27"/>
      <c r="G69" s="28"/>
      <c r="H69" s="28"/>
      <c r="I69" s="27"/>
      <c r="J69" s="29"/>
      <c r="K69" s="28"/>
      <c r="L69" s="34" t="str">
        <f aca="false">IF($F69="","",IFERROR(INDEX(Settings!$B$18:$B$27,MATCH($F69,Settings!$A$18:$A$27,0)),""))</f>
        <v/>
      </c>
      <c r="M69" s="34" t="str">
        <f aca="false">IF($A69="","",SUMIFS(Finance!$E$4:$E$1003,Finance!$B$4:$B$1003,$A69,Finance!$J$4:$J$1003,"Paid"))</f>
        <v/>
      </c>
      <c r="N69" s="34" t="str">
        <f aca="false">IF($A69="","",IFERROR($L69-$M69,""))</f>
        <v/>
      </c>
      <c r="O69" s="35" t="str">
        <f aca="false">IF($A69="","",IFERROR($M69/$L69,""))</f>
        <v/>
      </c>
      <c r="P69" s="33" t="str">
        <f aca="false">IFERROR(INDEX('Process Tracking'!$E$5:$E$1003,MATCH($A69,'Process Tracking'!$A$5:$A$1003,0)),"")</f>
        <v/>
      </c>
      <c r="Q69" s="35" t="str">
        <f aca="false">IFERROR(INDEX(Documents!$Q$4:$Q$1003,MATCH($A69,Documents!$A$4:$A$1003,0)),"")</f>
        <v/>
      </c>
      <c r="R69" s="27"/>
      <c r="S69" s="31" t="str">
        <f aca="false">IFERROR(INDEX('Lead Management'!$O$4:$O$1003,MATCH($B69,'Lead Management'!$A$4:$A$1003,0)),"")</f>
        <v/>
      </c>
      <c r="T69" s="36" t="str">
        <f aca="false">IFERROR(INDEX('Lead Management'!$P$4:$P$1003,MATCH($B69,'Lead Management'!$A$4:$A$1003,0)),"")</f>
        <v/>
      </c>
      <c r="U69" s="32"/>
    </row>
    <row r="70" customFormat="false" ht="15.75" hidden="false" customHeight="true" outlineLevel="0" collapsed="false">
      <c r="A70" s="27"/>
      <c r="B70" s="27"/>
      <c r="C70" s="33" t="str">
        <f aca="false">IFERROR(INDEX('Lead Management'!$B$4:$B$1003,MATCH($B70,'Lead Management'!$A$4:$A$1003,0)),"")</f>
        <v/>
      </c>
      <c r="D70" s="33" t="str">
        <f aca="false">IFERROR(INDEX('Lead Management'!$C$4:$C$1003,MATCH($B70,'Lead Management'!$A$4:$A$1003,0)),"")</f>
        <v/>
      </c>
      <c r="E70" s="33" t="str">
        <f aca="false">IFERROR(INDEX('Lead Management'!$F$4:$F$1003,MATCH($B70,'Lead Management'!$A$4:$A$1003,0)),"")</f>
        <v/>
      </c>
      <c r="F70" s="27"/>
      <c r="G70" s="28"/>
      <c r="H70" s="28"/>
      <c r="I70" s="27"/>
      <c r="J70" s="29"/>
      <c r="K70" s="28"/>
      <c r="L70" s="34" t="str">
        <f aca="false">IF($F70="","",IFERROR(INDEX(Settings!$B$18:$B$27,MATCH($F70,Settings!$A$18:$A$27,0)),""))</f>
        <v/>
      </c>
      <c r="M70" s="34" t="str">
        <f aca="false">IF($A70="","",SUMIFS(Finance!$E$4:$E$1003,Finance!$B$4:$B$1003,$A70,Finance!$J$4:$J$1003,"Paid"))</f>
        <v/>
      </c>
      <c r="N70" s="34" t="str">
        <f aca="false">IF($A70="","",IFERROR($L70-$M70,""))</f>
        <v/>
      </c>
      <c r="O70" s="35" t="str">
        <f aca="false">IF($A70="","",IFERROR($M70/$L70,""))</f>
        <v/>
      </c>
      <c r="P70" s="33" t="str">
        <f aca="false">IFERROR(INDEX('Process Tracking'!$E$5:$E$1003,MATCH($A70,'Process Tracking'!$A$5:$A$1003,0)),"")</f>
        <v/>
      </c>
      <c r="Q70" s="35" t="str">
        <f aca="false">IFERROR(INDEX(Documents!$Q$4:$Q$1003,MATCH($A70,Documents!$A$4:$A$1003,0)),"")</f>
        <v/>
      </c>
      <c r="R70" s="27"/>
      <c r="S70" s="31" t="str">
        <f aca="false">IFERROR(INDEX('Lead Management'!$O$4:$O$1003,MATCH($B70,'Lead Management'!$A$4:$A$1003,0)),"")</f>
        <v/>
      </c>
      <c r="T70" s="36" t="str">
        <f aca="false">IFERROR(INDEX('Lead Management'!$P$4:$P$1003,MATCH($B70,'Lead Management'!$A$4:$A$1003,0)),"")</f>
        <v/>
      </c>
      <c r="U70" s="32"/>
    </row>
    <row r="71" customFormat="false" ht="15.75" hidden="false" customHeight="true" outlineLevel="0" collapsed="false">
      <c r="A71" s="27"/>
      <c r="B71" s="27"/>
      <c r="C71" s="33" t="str">
        <f aca="false">IFERROR(INDEX('Lead Management'!$B$4:$B$1003,MATCH($B71,'Lead Management'!$A$4:$A$1003,0)),"")</f>
        <v/>
      </c>
      <c r="D71" s="33" t="str">
        <f aca="false">IFERROR(INDEX('Lead Management'!$C$4:$C$1003,MATCH($B71,'Lead Management'!$A$4:$A$1003,0)),"")</f>
        <v/>
      </c>
      <c r="E71" s="33" t="str">
        <f aca="false">IFERROR(INDEX('Lead Management'!$F$4:$F$1003,MATCH($B71,'Lead Management'!$A$4:$A$1003,0)),"")</f>
        <v/>
      </c>
      <c r="F71" s="27"/>
      <c r="G71" s="28"/>
      <c r="H71" s="28"/>
      <c r="I71" s="27"/>
      <c r="J71" s="29"/>
      <c r="K71" s="28"/>
      <c r="L71" s="34" t="str">
        <f aca="false">IF($F71="","",IFERROR(INDEX(Settings!$B$18:$B$27,MATCH($F71,Settings!$A$18:$A$27,0)),""))</f>
        <v/>
      </c>
      <c r="M71" s="34" t="str">
        <f aca="false">IF($A71="","",SUMIFS(Finance!$E$4:$E$1003,Finance!$B$4:$B$1003,$A71,Finance!$J$4:$J$1003,"Paid"))</f>
        <v/>
      </c>
      <c r="N71" s="34" t="str">
        <f aca="false">IF($A71="","",IFERROR($L71-$M71,""))</f>
        <v/>
      </c>
      <c r="O71" s="35" t="str">
        <f aca="false">IF($A71="","",IFERROR($M71/$L71,""))</f>
        <v/>
      </c>
      <c r="P71" s="33" t="str">
        <f aca="false">IFERROR(INDEX('Process Tracking'!$E$5:$E$1003,MATCH($A71,'Process Tracking'!$A$5:$A$1003,0)),"")</f>
        <v/>
      </c>
      <c r="Q71" s="35" t="str">
        <f aca="false">IFERROR(INDEX(Documents!$Q$4:$Q$1003,MATCH($A71,Documents!$A$4:$A$1003,0)),"")</f>
        <v/>
      </c>
      <c r="R71" s="27"/>
      <c r="S71" s="31" t="str">
        <f aca="false">IFERROR(INDEX('Lead Management'!$O$4:$O$1003,MATCH($B71,'Lead Management'!$A$4:$A$1003,0)),"")</f>
        <v/>
      </c>
      <c r="T71" s="36" t="str">
        <f aca="false">IFERROR(INDEX('Lead Management'!$P$4:$P$1003,MATCH($B71,'Lead Management'!$A$4:$A$1003,0)),"")</f>
        <v/>
      </c>
      <c r="U71" s="32"/>
    </row>
    <row r="72" customFormat="false" ht="15.75" hidden="false" customHeight="true" outlineLevel="0" collapsed="false">
      <c r="A72" s="27"/>
      <c r="B72" s="27"/>
      <c r="C72" s="33" t="str">
        <f aca="false">IFERROR(INDEX('Lead Management'!$B$4:$B$1003,MATCH($B72,'Lead Management'!$A$4:$A$1003,0)),"")</f>
        <v/>
      </c>
      <c r="D72" s="33" t="str">
        <f aca="false">IFERROR(INDEX('Lead Management'!$C$4:$C$1003,MATCH($B72,'Lead Management'!$A$4:$A$1003,0)),"")</f>
        <v/>
      </c>
      <c r="E72" s="33" t="str">
        <f aca="false">IFERROR(INDEX('Lead Management'!$F$4:$F$1003,MATCH($B72,'Lead Management'!$A$4:$A$1003,0)),"")</f>
        <v/>
      </c>
      <c r="F72" s="27"/>
      <c r="G72" s="28"/>
      <c r="H72" s="28"/>
      <c r="I72" s="27"/>
      <c r="J72" s="29"/>
      <c r="K72" s="28"/>
      <c r="L72" s="34" t="str">
        <f aca="false">IF($F72="","",IFERROR(INDEX(Settings!$B$18:$B$27,MATCH($F72,Settings!$A$18:$A$27,0)),""))</f>
        <v/>
      </c>
      <c r="M72" s="34" t="str">
        <f aca="false">IF($A72="","",SUMIFS(Finance!$E$4:$E$1003,Finance!$B$4:$B$1003,$A72,Finance!$J$4:$J$1003,"Paid"))</f>
        <v/>
      </c>
      <c r="N72" s="34" t="str">
        <f aca="false">IF($A72="","",IFERROR($L72-$M72,""))</f>
        <v/>
      </c>
      <c r="O72" s="35" t="str">
        <f aca="false">IF($A72="","",IFERROR($M72/$L72,""))</f>
        <v/>
      </c>
      <c r="P72" s="33" t="str">
        <f aca="false">IFERROR(INDEX('Process Tracking'!$E$5:$E$1003,MATCH($A72,'Process Tracking'!$A$5:$A$1003,0)),"")</f>
        <v/>
      </c>
      <c r="Q72" s="35" t="str">
        <f aca="false">IFERROR(INDEX(Documents!$Q$4:$Q$1003,MATCH($A72,Documents!$A$4:$A$1003,0)),"")</f>
        <v/>
      </c>
      <c r="R72" s="27"/>
      <c r="S72" s="31" t="str">
        <f aca="false">IFERROR(INDEX('Lead Management'!$O$4:$O$1003,MATCH($B72,'Lead Management'!$A$4:$A$1003,0)),"")</f>
        <v/>
      </c>
      <c r="T72" s="36" t="str">
        <f aca="false">IFERROR(INDEX('Lead Management'!$P$4:$P$1003,MATCH($B72,'Lead Management'!$A$4:$A$1003,0)),"")</f>
        <v/>
      </c>
      <c r="U72" s="32"/>
    </row>
    <row r="73" customFormat="false" ht="15.75" hidden="false" customHeight="true" outlineLevel="0" collapsed="false">
      <c r="A73" s="27"/>
      <c r="B73" s="27"/>
      <c r="C73" s="33" t="str">
        <f aca="false">IFERROR(INDEX('Lead Management'!$B$4:$B$1003,MATCH($B73,'Lead Management'!$A$4:$A$1003,0)),"")</f>
        <v/>
      </c>
      <c r="D73" s="33" t="str">
        <f aca="false">IFERROR(INDEX('Lead Management'!$C$4:$C$1003,MATCH($B73,'Lead Management'!$A$4:$A$1003,0)),"")</f>
        <v/>
      </c>
      <c r="E73" s="33" t="str">
        <f aca="false">IFERROR(INDEX('Lead Management'!$F$4:$F$1003,MATCH($B73,'Lead Management'!$A$4:$A$1003,0)),"")</f>
        <v/>
      </c>
      <c r="F73" s="27"/>
      <c r="G73" s="28"/>
      <c r="H73" s="28"/>
      <c r="I73" s="27"/>
      <c r="J73" s="29"/>
      <c r="K73" s="28"/>
      <c r="L73" s="34" t="str">
        <f aca="false">IF($F73="","",IFERROR(INDEX(Settings!$B$18:$B$27,MATCH($F73,Settings!$A$18:$A$27,0)),""))</f>
        <v/>
      </c>
      <c r="M73" s="34" t="str">
        <f aca="false">IF($A73="","",SUMIFS(Finance!$E$4:$E$1003,Finance!$B$4:$B$1003,$A73,Finance!$J$4:$J$1003,"Paid"))</f>
        <v/>
      </c>
      <c r="N73" s="34" t="str">
        <f aca="false">IF($A73="","",IFERROR($L73-$M73,""))</f>
        <v/>
      </c>
      <c r="O73" s="35" t="str">
        <f aca="false">IF($A73="","",IFERROR($M73/$L73,""))</f>
        <v/>
      </c>
      <c r="P73" s="33" t="str">
        <f aca="false">IFERROR(INDEX('Process Tracking'!$E$5:$E$1003,MATCH($A73,'Process Tracking'!$A$5:$A$1003,0)),"")</f>
        <v/>
      </c>
      <c r="Q73" s="35" t="str">
        <f aca="false">IFERROR(INDEX(Documents!$Q$4:$Q$1003,MATCH($A73,Documents!$A$4:$A$1003,0)),"")</f>
        <v/>
      </c>
      <c r="R73" s="27"/>
      <c r="S73" s="31" t="str">
        <f aca="false">IFERROR(INDEX('Lead Management'!$O$4:$O$1003,MATCH($B73,'Lead Management'!$A$4:$A$1003,0)),"")</f>
        <v/>
      </c>
      <c r="T73" s="36" t="str">
        <f aca="false">IFERROR(INDEX('Lead Management'!$P$4:$P$1003,MATCH($B73,'Lead Management'!$A$4:$A$1003,0)),"")</f>
        <v/>
      </c>
      <c r="U73" s="32"/>
    </row>
    <row r="74" customFormat="false" ht="15.75" hidden="false" customHeight="true" outlineLevel="0" collapsed="false">
      <c r="A74" s="27"/>
      <c r="B74" s="27"/>
      <c r="C74" s="33" t="str">
        <f aca="false">IFERROR(INDEX('Lead Management'!$B$4:$B$1003,MATCH($B74,'Lead Management'!$A$4:$A$1003,0)),"")</f>
        <v/>
      </c>
      <c r="D74" s="33" t="str">
        <f aca="false">IFERROR(INDEX('Lead Management'!$C$4:$C$1003,MATCH($B74,'Lead Management'!$A$4:$A$1003,0)),"")</f>
        <v/>
      </c>
      <c r="E74" s="33" t="str">
        <f aca="false">IFERROR(INDEX('Lead Management'!$F$4:$F$1003,MATCH($B74,'Lead Management'!$A$4:$A$1003,0)),"")</f>
        <v/>
      </c>
      <c r="F74" s="27"/>
      <c r="G74" s="28"/>
      <c r="H74" s="28"/>
      <c r="I74" s="27"/>
      <c r="J74" s="29"/>
      <c r="K74" s="28"/>
      <c r="L74" s="34" t="str">
        <f aca="false">IF($F74="","",IFERROR(INDEX(Settings!$B$18:$B$27,MATCH($F74,Settings!$A$18:$A$27,0)),""))</f>
        <v/>
      </c>
      <c r="M74" s="34" t="str">
        <f aca="false">IF($A74="","",SUMIFS(Finance!$E$4:$E$1003,Finance!$B$4:$B$1003,$A74,Finance!$J$4:$J$1003,"Paid"))</f>
        <v/>
      </c>
      <c r="N74" s="34" t="str">
        <f aca="false">IF($A74="","",IFERROR($L74-$M74,""))</f>
        <v/>
      </c>
      <c r="O74" s="35" t="str">
        <f aca="false">IF($A74="","",IFERROR($M74/$L74,""))</f>
        <v/>
      </c>
      <c r="P74" s="33" t="str">
        <f aca="false">IFERROR(INDEX('Process Tracking'!$E$5:$E$1003,MATCH($A74,'Process Tracking'!$A$5:$A$1003,0)),"")</f>
        <v/>
      </c>
      <c r="Q74" s="35" t="str">
        <f aca="false">IFERROR(INDEX(Documents!$Q$4:$Q$1003,MATCH($A74,Documents!$A$4:$A$1003,0)),"")</f>
        <v/>
      </c>
      <c r="R74" s="27"/>
      <c r="S74" s="31" t="str">
        <f aca="false">IFERROR(INDEX('Lead Management'!$O$4:$O$1003,MATCH($B74,'Lead Management'!$A$4:$A$1003,0)),"")</f>
        <v/>
      </c>
      <c r="T74" s="36" t="str">
        <f aca="false">IFERROR(INDEX('Lead Management'!$P$4:$P$1003,MATCH($B74,'Lead Management'!$A$4:$A$1003,0)),"")</f>
        <v/>
      </c>
      <c r="U74" s="32"/>
    </row>
    <row r="75" customFormat="false" ht="15.75" hidden="false" customHeight="true" outlineLevel="0" collapsed="false">
      <c r="A75" s="27"/>
      <c r="B75" s="27"/>
      <c r="C75" s="33" t="str">
        <f aca="false">IFERROR(INDEX('Lead Management'!$B$4:$B$1003,MATCH($B75,'Lead Management'!$A$4:$A$1003,0)),"")</f>
        <v/>
      </c>
      <c r="D75" s="33" t="str">
        <f aca="false">IFERROR(INDEX('Lead Management'!$C$4:$C$1003,MATCH($B75,'Lead Management'!$A$4:$A$1003,0)),"")</f>
        <v/>
      </c>
      <c r="E75" s="33" t="str">
        <f aca="false">IFERROR(INDEX('Lead Management'!$F$4:$F$1003,MATCH($B75,'Lead Management'!$A$4:$A$1003,0)),"")</f>
        <v/>
      </c>
      <c r="F75" s="27"/>
      <c r="G75" s="28"/>
      <c r="H75" s="28"/>
      <c r="I75" s="27"/>
      <c r="J75" s="29"/>
      <c r="K75" s="28"/>
      <c r="L75" s="34" t="str">
        <f aca="false">IF($F75="","",IFERROR(INDEX(Settings!$B$18:$B$27,MATCH($F75,Settings!$A$18:$A$27,0)),""))</f>
        <v/>
      </c>
      <c r="M75" s="34" t="str">
        <f aca="false">IF($A75="","",SUMIFS(Finance!$E$4:$E$1003,Finance!$B$4:$B$1003,$A75,Finance!$J$4:$J$1003,"Paid"))</f>
        <v/>
      </c>
      <c r="N75" s="34" t="str">
        <f aca="false">IF($A75="","",IFERROR($L75-$M75,""))</f>
        <v/>
      </c>
      <c r="O75" s="35" t="str">
        <f aca="false">IF($A75="","",IFERROR($M75/$L75,""))</f>
        <v/>
      </c>
      <c r="P75" s="33" t="str">
        <f aca="false">IFERROR(INDEX('Process Tracking'!$E$5:$E$1003,MATCH($A75,'Process Tracking'!$A$5:$A$1003,0)),"")</f>
        <v/>
      </c>
      <c r="Q75" s="35" t="str">
        <f aca="false">IFERROR(INDEX(Documents!$Q$4:$Q$1003,MATCH($A75,Documents!$A$4:$A$1003,0)),"")</f>
        <v/>
      </c>
      <c r="R75" s="27"/>
      <c r="S75" s="31" t="str">
        <f aca="false">IFERROR(INDEX('Lead Management'!$O$4:$O$1003,MATCH($B75,'Lead Management'!$A$4:$A$1003,0)),"")</f>
        <v/>
      </c>
      <c r="T75" s="36" t="str">
        <f aca="false">IFERROR(INDEX('Lead Management'!$P$4:$P$1003,MATCH($B75,'Lead Management'!$A$4:$A$1003,0)),"")</f>
        <v/>
      </c>
      <c r="U75" s="32"/>
    </row>
    <row r="76" customFormat="false" ht="15.75" hidden="false" customHeight="true" outlineLevel="0" collapsed="false">
      <c r="A76" s="27"/>
      <c r="B76" s="27"/>
      <c r="C76" s="33" t="str">
        <f aca="false">IFERROR(INDEX('Lead Management'!$B$4:$B$1003,MATCH($B76,'Lead Management'!$A$4:$A$1003,0)),"")</f>
        <v/>
      </c>
      <c r="D76" s="33" t="str">
        <f aca="false">IFERROR(INDEX('Lead Management'!$C$4:$C$1003,MATCH($B76,'Lead Management'!$A$4:$A$1003,0)),"")</f>
        <v/>
      </c>
      <c r="E76" s="33" t="str">
        <f aca="false">IFERROR(INDEX('Lead Management'!$F$4:$F$1003,MATCH($B76,'Lead Management'!$A$4:$A$1003,0)),"")</f>
        <v/>
      </c>
      <c r="F76" s="27"/>
      <c r="G76" s="28"/>
      <c r="H76" s="28"/>
      <c r="I76" s="27"/>
      <c r="J76" s="29"/>
      <c r="K76" s="28"/>
      <c r="L76" s="34" t="str">
        <f aca="false">IF($F76="","",IFERROR(INDEX(Settings!$B$18:$B$27,MATCH($F76,Settings!$A$18:$A$27,0)),""))</f>
        <v/>
      </c>
      <c r="M76" s="34" t="str">
        <f aca="false">IF($A76="","",SUMIFS(Finance!$E$4:$E$1003,Finance!$B$4:$B$1003,$A76,Finance!$J$4:$J$1003,"Paid"))</f>
        <v/>
      </c>
      <c r="N76" s="34" t="str">
        <f aca="false">IF($A76="","",IFERROR($L76-$M76,""))</f>
        <v/>
      </c>
      <c r="O76" s="35" t="str">
        <f aca="false">IF($A76="","",IFERROR($M76/$L76,""))</f>
        <v/>
      </c>
      <c r="P76" s="33" t="str">
        <f aca="false">IFERROR(INDEX('Process Tracking'!$E$5:$E$1003,MATCH($A76,'Process Tracking'!$A$5:$A$1003,0)),"")</f>
        <v/>
      </c>
      <c r="Q76" s="35" t="str">
        <f aca="false">IFERROR(INDEX(Documents!$Q$4:$Q$1003,MATCH($A76,Documents!$A$4:$A$1003,0)),"")</f>
        <v/>
      </c>
      <c r="R76" s="27"/>
      <c r="S76" s="31" t="str">
        <f aca="false">IFERROR(INDEX('Lead Management'!$O$4:$O$1003,MATCH($B76,'Lead Management'!$A$4:$A$1003,0)),"")</f>
        <v/>
      </c>
      <c r="T76" s="36" t="str">
        <f aca="false">IFERROR(INDEX('Lead Management'!$P$4:$P$1003,MATCH($B76,'Lead Management'!$A$4:$A$1003,0)),"")</f>
        <v/>
      </c>
      <c r="U76" s="32"/>
    </row>
    <row r="77" customFormat="false" ht="15.75" hidden="false" customHeight="true" outlineLevel="0" collapsed="false">
      <c r="A77" s="27"/>
      <c r="B77" s="27"/>
      <c r="C77" s="33" t="str">
        <f aca="false">IFERROR(INDEX('Lead Management'!$B$4:$B$1003,MATCH($B77,'Lead Management'!$A$4:$A$1003,0)),"")</f>
        <v/>
      </c>
      <c r="D77" s="33" t="str">
        <f aca="false">IFERROR(INDEX('Lead Management'!$C$4:$C$1003,MATCH($B77,'Lead Management'!$A$4:$A$1003,0)),"")</f>
        <v/>
      </c>
      <c r="E77" s="33" t="str">
        <f aca="false">IFERROR(INDEX('Lead Management'!$F$4:$F$1003,MATCH($B77,'Lead Management'!$A$4:$A$1003,0)),"")</f>
        <v/>
      </c>
      <c r="F77" s="27"/>
      <c r="G77" s="28"/>
      <c r="H77" s="28"/>
      <c r="I77" s="27"/>
      <c r="J77" s="29"/>
      <c r="K77" s="28"/>
      <c r="L77" s="34" t="str">
        <f aca="false">IF($F77="","",IFERROR(INDEX(Settings!$B$18:$B$27,MATCH($F77,Settings!$A$18:$A$27,0)),""))</f>
        <v/>
      </c>
      <c r="M77" s="34" t="str">
        <f aca="false">IF($A77="","",SUMIFS(Finance!$E$4:$E$1003,Finance!$B$4:$B$1003,$A77,Finance!$J$4:$J$1003,"Paid"))</f>
        <v/>
      </c>
      <c r="N77" s="34" t="str">
        <f aca="false">IF($A77="","",IFERROR($L77-$M77,""))</f>
        <v/>
      </c>
      <c r="O77" s="35" t="str">
        <f aca="false">IF($A77="","",IFERROR($M77/$L77,""))</f>
        <v/>
      </c>
      <c r="P77" s="33" t="str">
        <f aca="false">IFERROR(INDEX('Process Tracking'!$E$5:$E$1003,MATCH($A77,'Process Tracking'!$A$5:$A$1003,0)),"")</f>
        <v/>
      </c>
      <c r="Q77" s="35" t="str">
        <f aca="false">IFERROR(INDEX(Documents!$Q$4:$Q$1003,MATCH($A77,Documents!$A$4:$A$1003,0)),"")</f>
        <v/>
      </c>
      <c r="R77" s="27"/>
      <c r="S77" s="31" t="str">
        <f aca="false">IFERROR(INDEX('Lead Management'!$O$4:$O$1003,MATCH($B77,'Lead Management'!$A$4:$A$1003,0)),"")</f>
        <v/>
      </c>
      <c r="T77" s="36" t="str">
        <f aca="false">IFERROR(INDEX('Lead Management'!$P$4:$P$1003,MATCH($B77,'Lead Management'!$A$4:$A$1003,0)),"")</f>
        <v/>
      </c>
      <c r="U77" s="32"/>
    </row>
    <row r="78" customFormat="false" ht="15.75" hidden="false" customHeight="true" outlineLevel="0" collapsed="false">
      <c r="A78" s="27"/>
      <c r="B78" s="27"/>
      <c r="C78" s="33" t="str">
        <f aca="false">IFERROR(INDEX('Lead Management'!$B$4:$B$1003,MATCH($B78,'Lead Management'!$A$4:$A$1003,0)),"")</f>
        <v/>
      </c>
      <c r="D78" s="33" t="str">
        <f aca="false">IFERROR(INDEX('Lead Management'!$C$4:$C$1003,MATCH($B78,'Lead Management'!$A$4:$A$1003,0)),"")</f>
        <v/>
      </c>
      <c r="E78" s="33" t="str">
        <f aca="false">IFERROR(INDEX('Lead Management'!$F$4:$F$1003,MATCH($B78,'Lead Management'!$A$4:$A$1003,0)),"")</f>
        <v/>
      </c>
      <c r="F78" s="27"/>
      <c r="G78" s="28"/>
      <c r="H78" s="28"/>
      <c r="I78" s="27"/>
      <c r="J78" s="29"/>
      <c r="K78" s="28"/>
      <c r="L78" s="34" t="str">
        <f aca="false">IF($F78="","",IFERROR(INDEX(Settings!$B$18:$B$27,MATCH($F78,Settings!$A$18:$A$27,0)),""))</f>
        <v/>
      </c>
      <c r="M78" s="34" t="str">
        <f aca="false">IF($A78="","",SUMIFS(Finance!$E$4:$E$1003,Finance!$B$4:$B$1003,$A78,Finance!$J$4:$J$1003,"Paid"))</f>
        <v/>
      </c>
      <c r="N78" s="34" t="str">
        <f aca="false">IF($A78="","",IFERROR($L78-$M78,""))</f>
        <v/>
      </c>
      <c r="O78" s="35" t="str">
        <f aca="false">IF($A78="","",IFERROR($M78/$L78,""))</f>
        <v/>
      </c>
      <c r="P78" s="33" t="str">
        <f aca="false">IFERROR(INDEX('Process Tracking'!$E$5:$E$1003,MATCH($A78,'Process Tracking'!$A$5:$A$1003,0)),"")</f>
        <v/>
      </c>
      <c r="Q78" s="35" t="str">
        <f aca="false">IFERROR(INDEX(Documents!$Q$4:$Q$1003,MATCH($A78,Documents!$A$4:$A$1003,0)),"")</f>
        <v/>
      </c>
      <c r="R78" s="27"/>
      <c r="S78" s="31" t="str">
        <f aca="false">IFERROR(INDEX('Lead Management'!$O$4:$O$1003,MATCH($B78,'Lead Management'!$A$4:$A$1003,0)),"")</f>
        <v/>
      </c>
      <c r="T78" s="36" t="str">
        <f aca="false">IFERROR(INDEX('Lead Management'!$P$4:$P$1003,MATCH($B78,'Lead Management'!$A$4:$A$1003,0)),"")</f>
        <v/>
      </c>
      <c r="U78" s="32"/>
    </row>
    <row r="79" customFormat="false" ht="15.75" hidden="false" customHeight="true" outlineLevel="0" collapsed="false">
      <c r="A79" s="27"/>
      <c r="B79" s="27"/>
      <c r="C79" s="33" t="str">
        <f aca="false">IFERROR(INDEX('Lead Management'!$B$4:$B$1003,MATCH($B79,'Lead Management'!$A$4:$A$1003,0)),"")</f>
        <v/>
      </c>
      <c r="D79" s="33" t="str">
        <f aca="false">IFERROR(INDEX('Lead Management'!$C$4:$C$1003,MATCH($B79,'Lead Management'!$A$4:$A$1003,0)),"")</f>
        <v/>
      </c>
      <c r="E79" s="33" t="str">
        <f aca="false">IFERROR(INDEX('Lead Management'!$F$4:$F$1003,MATCH($B79,'Lead Management'!$A$4:$A$1003,0)),"")</f>
        <v/>
      </c>
      <c r="F79" s="27"/>
      <c r="G79" s="28"/>
      <c r="H79" s="28"/>
      <c r="I79" s="27"/>
      <c r="J79" s="29"/>
      <c r="K79" s="28"/>
      <c r="L79" s="34" t="str">
        <f aca="false">IF($F79="","",IFERROR(INDEX(Settings!$B$18:$B$27,MATCH($F79,Settings!$A$18:$A$27,0)),""))</f>
        <v/>
      </c>
      <c r="M79" s="34" t="str">
        <f aca="false">IF($A79="","",SUMIFS(Finance!$E$4:$E$1003,Finance!$B$4:$B$1003,$A79,Finance!$J$4:$J$1003,"Paid"))</f>
        <v/>
      </c>
      <c r="N79" s="34" t="str">
        <f aca="false">IF($A79="","",IFERROR($L79-$M79,""))</f>
        <v/>
      </c>
      <c r="O79" s="35" t="str">
        <f aca="false">IF($A79="","",IFERROR($M79/$L79,""))</f>
        <v/>
      </c>
      <c r="P79" s="33" t="str">
        <f aca="false">IFERROR(INDEX('Process Tracking'!$E$5:$E$1003,MATCH($A79,'Process Tracking'!$A$5:$A$1003,0)),"")</f>
        <v/>
      </c>
      <c r="Q79" s="35" t="str">
        <f aca="false">IFERROR(INDEX(Documents!$Q$4:$Q$1003,MATCH($A79,Documents!$A$4:$A$1003,0)),"")</f>
        <v/>
      </c>
      <c r="R79" s="27"/>
      <c r="S79" s="31" t="str">
        <f aca="false">IFERROR(INDEX('Lead Management'!$O$4:$O$1003,MATCH($B79,'Lead Management'!$A$4:$A$1003,0)),"")</f>
        <v/>
      </c>
      <c r="T79" s="36" t="str">
        <f aca="false">IFERROR(INDEX('Lead Management'!$P$4:$P$1003,MATCH($B79,'Lead Management'!$A$4:$A$1003,0)),"")</f>
        <v/>
      </c>
      <c r="U79" s="32"/>
    </row>
    <row r="80" customFormat="false" ht="15.75" hidden="false" customHeight="true" outlineLevel="0" collapsed="false">
      <c r="A80" s="27"/>
      <c r="B80" s="27"/>
      <c r="C80" s="33" t="str">
        <f aca="false">IFERROR(INDEX('Lead Management'!$B$4:$B$1003,MATCH($B80,'Lead Management'!$A$4:$A$1003,0)),"")</f>
        <v/>
      </c>
      <c r="D80" s="33" t="str">
        <f aca="false">IFERROR(INDEX('Lead Management'!$C$4:$C$1003,MATCH($B80,'Lead Management'!$A$4:$A$1003,0)),"")</f>
        <v/>
      </c>
      <c r="E80" s="33" t="str">
        <f aca="false">IFERROR(INDEX('Lead Management'!$F$4:$F$1003,MATCH($B80,'Lead Management'!$A$4:$A$1003,0)),"")</f>
        <v/>
      </c>
      <c r="F80" s="27"/>
      <c r="G80" s="28"/>
      <c r="H80" s="28"/>
      <c r="I80" s="27"/>
      <c r="J80" s="29"/>
      <c r="K80" s="28"/>
      <c r="L80" s="34" t="str">
        <f aca="false">IF($F80="","",IFERROR(INDEX(Settings!$B$18:$B$27,MATCH($F80,Settings!$A$18:$A$27,0)),""))</f>
        <v/>
      </c>
      <c r="M80" s="34" t="str">
        <f aca="false">IF($A80="","",SUMIFS(Finance!$E$4:$E$1003,Finance!$B$4:$B$1003,$A80,Finance!$J$4:$J$1003,"Paid"))</f>
        <v/>
      </c>
      <c r="N80" s="34" t="str">
        <f aca="false">IF($A80="","",IFERROR($L80-$M80,""))</f>
        <v/>
      </c>
      <c r="O80" s="35" t="str">
        <f aca="false">IF($A80="","",IFERROR($M80/$L80,""))</f>
        <v/>
      </c>
      <c r="P80" s="33" t="str">
        <f aca="false">IFERROR(INDEX('Process Tracking'!$E$5:$E$1003,MATCH($A80,'Process Tracking'!$A$5:$A$1003,0)),"")</f>
        <v/>
      </c>
      <c r="Q80" s="35" t="str">
        <f aca="false">IFERROR(INDEX(Documents!$Q$4:$Q$1003,MATCH($A80,Documents!$A$4:$A$1003,0)),"")</f>
        <v/>
      </c>
      <c r="R80" s="27"/>
      <c r="S80" s="31" t="str">
        <f aca="false">IFERROR(INDEX('Lead Management'!$O$4:$O$1003,MATCH($B80,'Lead Management'!$A$4:$A$1003,0)),"")</f>
        <v/>
      </c>
      <c r="T80" s="36" t="str">
        <f aca="false">IFERROR(INDEX('Lead Management'!$P$4:$P$1003,MATCH($B80,'Lead Management'!$A$4:$A$1003,0)),"")</f>
        <v/>
      </c>
      <c r="U80" s="32"/>
    </row>
    <row r="81" customFormat="false" ht="15.75" hidden="false" customHeight="true" outlineLevel="0" collapsed="false">
      <c r="A81" s="27"/>
      <c r="B81" s="27"/>
      <c r="C81" s="33" t="str">
        <f aca="false">IFERROR(INDEX('Lead Management'!$B$4:$B$1003,MATCH($B81,'Lead Management'!$A$4:$A$1003,0)),"")</f>
        <v/>
      </c>
      <c r="D81" s="33" t="str">
        <f aca="false">IFERROR(INDEX('Lead Management'!$C$4:$C$1003,MATCH($B81,'Lead Management'!$A$4:$A$1003,0)),"")</f>
        <v/>
      </c>
      <c r="E81" s="33" t="str">
        <f aca="false">IFERROR(INDEX('Lead Management'!$F$4:$F$1003,MATCH($B81,'Lead Management'!$A$4:$A$1003,0)),"")</f>
        <v/>
      </c>
      <c r="F81" s="27"/>
      <c r="G81" s="28"/>
      <c r="H81" s="28"/>
      <c r="I81" s="27"/>
      <c r="J81" s="29"/>
      <c r="K81" s="28"/>
      <c r="L81" s="34" t="str">
        <f aca="false">IF($F81="","",IFERROR(INDEX(Settings!$B$18:$B$27,MATCH($F81,Settings!$A$18:$A$27,0)),""))</f>
        <v/>
      </c>
      <c r="M81" s="34" t="str">
        <f aca="false">IF($A81="","",SUMIFS(Finance!$E$4:$E$1003,Finance!$B$4:$B$1003,$A81,Finance!$J$4:$J$1003,"Paid"))</f>
        <v/>
      </c>
      <c r="N81" s="34" t="str">
        <f aca="false">IF($A81="","",IFERROR($L81-$M81,""))</f>
        <v/>
      </c>
      <c r="O81" s="35" t="str">
        <f aca="false">IF($A81="","",IFERROR($M81/$L81,""))</f>
        <v/>
      </c>
      <c r="P81" s="33" t="str">
        <f aca="false">IFERROR(INDEX('Process Tracking'!$E$5:$E$1003,MATCH($A81,'Process Tracking'!$A$5:$A$1003,0)),"")</f>
        <v/>
      </c>
      <c r="Q81" s="35" t="str">
        <f aca="false">IFERROR(INDEX(Documents!$Q$4:$Q$1003,MATCH($A81,Documents!$A$4:$A$1003,0)),"")</f>
        <v/>
      </c>
      <c r="R81" s="27"/>
      <c r="S81" s="31" t="str">
        <f aca="false">IFERROR(INDEX('Lead Management'!$O$4:$O$1003,MATCH($B81,'Lead Management'!$A$4:$A$1003,0)),"")</f>
        <v/>
      </c>
      <c r="T81" s="36" t="str">
        <f aca="false">IFERROR(INDEX('Lead Management'!$P$4:$P$1003,MATCH($B81,'Lead Management'!$A$4:$A$1003,0)),"")</f>
        <v/>
      </c>
      <c r="U81" s="32"/>
    </row>
    <row r="82" customFormat="false" ht="15.75" hidden="false" customHeight="true" outlineLevel="0" collapsed="false">
      <c r="A82" s="27"/>
      <c r="B82" s="27"/>
      <c r="C82" s="33" t="str">
        <f aca="false">IFERROR(INDEX('Lead Management'!$B$4:$B$1003,MATCH($B82,'Lead Management'!$A$4:$A$1003,0)),"")</f>
        <v/>
      </c>
      <c r="D82" s="33" t="str">
        <f aca="false">IFERROR(INDEX('Lead Management'!$C$4:$C$1003,MATCH($B82,'Lead Management'!$A$4:$A$1003,0)),"")</f>
        <v/>
      </c>
      <c r="E82" s="33" t="str">
        <f aca="false">IFERROR(INDEX('Lead Management'!$F$4:$F$1003,MATCH($B82,'Lead Management'!$A$4:$A$1003,0)),"")</f>
        <v/>
      </c>
      <c r="F82" s="27"/>
      <c r="G82" s="28"/>
      <c r="H82" s="28"/>
      <c r="I82" s="27"/>
      <c r="J82" s="29"/>
      <c r="K82" s="28"/>
      <c r="L82" s="34" t="str">
        <f aca="false">IF($F82="","",IFERROR(INDEX(Settings!$B$18:$B$27,MATCH($F82,Settings!$A$18:$A$27,0)),""))</f>
        <v/>
      </c>
      <c r="M82" s="34" t="str">
        <f aca="false">IF($A82="","",SUMIFS(Finance!$E$4:$E$1003,Finance!$B$4:$B$1003,$A82,Finance!$J$4:$J$1003,"Paid"))</f>
        <v/>
      </c>
      <c r="N82" s="34" t="str">
        <f aca="false">IF($A82="","",IFERROR($L82-$M82,""))</f>
        <v/>
      </c>
      <c r="O82" s="35" t="str">
        <f aca="false">IF($A82="","",IFERROR($M82/$L82,""))</f>
        <v/>
      </c>
      <c r="P82" s="33" t="str">
        <f aca="false">IFERROR(INDEX('Process Tracking'!$E$5:$E$1003,MATCH($A82,'Process Tracking'!$A$5:$A$1003,0)),"")</f>
        <v/>
      </c>
      <c r="Q82" s="35" t="str">
        <f aca="false">IFERROR(INDEX(Documents!$Q$4:$Q$1003,MATCH($A82,Documents!$A$4:$A$1003,0)),"")</f>
        <v/>
      </c>
      <c r="R82" s="27"/>
      <c r="S82" s="31" t="str">
        <f aca="false">IFERROR(INDEX('Lead Management'!$O$4:$O$1003,MATCH($B82,'Lead Management'!$A$4:$A$1003,0)),"")</f>
        <v/>
      </c>
      <c r="T82" s="36" t="str">
        <f aca="false">IFERROR(INDEX('Lead Management'!$P$4:$P$1003,MATCH($B82,'Lead Management'!$A$4:$A$1003,0)),"")</f>
        <v/>
      </c>
      <c r="U82" s="32"/>
    </row>
    <row r="83" customFormat="false" ht="15.75" hidden="false" customHeight="true" outlineLevel="0" collapsed="false">
      <c r="A83" s="27"/>
      <c r="B83" s="27"/>
      <c r="C83" s="33" t="str">
        <f aca="false">IFERROR(INDEX('Lead Management'!$B$4:$B$1003,MATCH($B83,'Lead Management'!$A$4:$A$1003,0)),"")</f>
        <v/>
      </c>
      <c r="D83" s="33" t="str">
        <f aca="false">IFERROR(INDEX('Lead Management'!$C$4:$C$1003,MATCH($B83,'Lead Management'!$A$4:$A$1003,0)),"")</f>
        <v/>
      </c>
      <c r="E83" s="33" t="str">
        <f aca="false">IFERROR(INDEX('Lead Management'!$F$4:$F$1003,MATCH($B83,'Lead Management'!$A$4:$A$1003,0)),"")</f>
        <v/>
      </c>
      <c r="F83" s="27"/>
      <c r="G83" s="28"/>
      <c r="H83" s="28"/>
      <c r="I83" s="27"/>
      <c r="J83" s="29"/>
      <c r="K83" s="28"/>
      <c r="L83" s="34" t="str">
        <f aca="false">IF($F83="","",IFERROR(INDEX(Settings!$B$18:$B$27,MATCH($F83,Settings!$A$18:$A$27,0)),""))</f>
        <v/>
      </c>
      <c r="M83" s="34" t="str">
        <f aca="false">IF($A83="","",SUMIFS(Finance!$E$4:$E$1003,Finance!$B$4:$B$1003,$A83,Finance!$J$4:$J$1003,"Paid"))</f>
        <v/>
      </c>
      <c r="N83" s="34" t="str">
        <f aca="false">IF($A83="","",IFERROR($L83-$M83,""))</f>
        <v/>
      </c>
      <c r="O83" s="35" t="str">
        <f aca="false">IF($A83="","",IFERROR($M83/$L83,""))</f>
        <v/>
      </c>
      <c r="P83" s="33" t="str">
        <f aca="false">IFERROR(INDEX('Process Tracking'!$E$5:$E$1003,MATCH($A83,'Process Tracking'!$A$5:$A$1003,0)),"")</f>
        <v/>
      </c>
      <c r="Q83" s="35" t="str">
        <f aca="false">IFERROR(INDEX(Documents!$Q$4:$Q$1003,MATCH($A83,Documents!$A$4:$A$1003,0)),"")</f>
        <v/>
      </c>
      <c r="R83" s="27"/>
      <c r="S83" s="31" t="str">
        <f aca="false">IFERROR(INDEX('Lead Management'!$O$4:$O$1003,MATCH($B83,'Lead Management'!$A$4:$A$1003,0)),"")</f>
        <v/>
      </c>
      <c r="T83" s="36" t="str">
        <f aca="false">IFERROR(INDEX('Lead Management'!$P$4:$P$1003,MATCH($B83,'Lead Management'!$A$4:$A$1003,0)),"")</f>
        <v/>
      </c>
      <c r="U83" s="32"/>
    </row>
    <row r="84" customFormat="false" ht="15.75" hidden="false" customHeight="true" outlineLevel="0" collapsed="false">
      <c r="A84" s="27"/>
      <c r="B84" s="27"/>
      <c r="C84" s="33" t="str">
        <f aca="false">IFERROR(INDEX('Lead Management'!$B$4:$B$1003,MATCH($B84,'Lead Management'!$A$4:$A$1003,0)),"")</f>
        <v/>
      </c>
      <c r="D84" s="33" t="str">
        <f aca="false">IFERROR(INDEX('Lead Management'!$C$4:$C$1003,MATCH($B84,'Lead Management'!$A$4:$A$1003,0)),"")</f>
        <v/>
      </c>
      <c r="E84" s="33" t="str">
        <f aca="false">IFERROR(INDEX('Lead Management'!$F$4:$F$1003,MATCH($B84,'Lead Management'!$A$4:$A$1003,0)),"")</f>
        <v/>
      </c>
      <c r="F84" s="27"/>
      <c r="G84" s="28"/>
      <c r="H84" s="28"/>
      <c r="I84" s="27"/>
      <c r="J84" s="29"/>
      <c r="K84" s="28"/>
      <c r="L84" s="34" t="str">
        <f aca="false">IF($F84="","",IFERROR(INDEX(Settings!$B$18:$B$27,MATCH($F84,Settings!$A$18:$A$27,0)),""))</f>
        <v/>
      </c>
      <c r="M84" s="34" t="str">
        <f aca="false">IF($A84="","",SUMIFS(Finance!$E$4:$E$1003,Finance!$B$4:$B$1003,$A84,Finance!$J$4:$J$1003,"Paid"))</f>
        <v/>
      </c>
      <c r="N84" s="34" t="str">
        <f aca="false">IF($A84="","",IFERROR($L84-$M84,""))</f>
        <v/>
      </c>
      <c r="O84" s="35" t="str">
        <f aca="false">IF($A84="","",IFERROR($M84/$L84,""))</f>
        <v/>
      </c>
      <c r="P84" s="33" t="str">
        <f aca="false">IFERROR(INDEX('Process Tracking'!$E$5:$E$1003,MATCH($A84,'Process Tracking'!$A$5:$A$1003,0)),"")</f>
        <v/>
      </c>
      <c r="Q84" s="35" t="str">
        <f aca="false">IFERROR(INDEX(Documents!$Q$4:$Q$1003,MATCH($A84,Documents!$A$4:$A$1003,0)),"")</f>
        <v/>
      </c>
      <c r="R84" s="27"/>
      <c r="S84" s="31" t="str">
        <f aca="false">IFERROR(INDEX('Lead Management'!$O$4:$O$1003,MATCH($B84,'Lead Management'!$A$4:$A$1003,0)),"")</f>
        <v/>
      </c>
      <c r="T84" s="36" t="str">
        <f aca="false">IFERROR(INDEX('Lead Management'!$P$4:$P$1003,MATCH($B84,'Lead Management'!$A$4:$A$1003,0)),"")</f>
        <v/>
      </c>
      <c r="U84" s="32"/>
    </row>
    <row r="85" customFormat="false" ht="15.75" hidden="false" customHeight="true" outlineLevel="0" collapsed="false">
      <c r="A85" s="27"/>
      <c r="B85" s="27"/>
      <c r="C85" s="33" t="str">
        <f aca="false">IFERROR(INDEX('Lead Management'!$B$4:$B$1003,MATCH($B85,'Lead Management'!$A$4:$A$1003,0)),"")</f>
        <v/>
      </c>
      <c r="D85" s="33" t="str">
        <f aca="false">IFERROR(INDEX('Lead Management'!$C$4:$C$1003,MATCH($B85,'Lead Management'!$A$4:$A$1003,0)),"")</f>
        <v/>
      </c>
      <c r="E85" s="33" t="str">
        <f aca="false">IFERROR(INDEX('Lead Management'!$F$4:$F$1003,MATCH($B85,'Lead Management'!$A$4:$A$1003,0)),"")</f>
        <v/>
      </c>
      <c r="F85" s="27"/>
      <c r="G85" s="28"/>
      <c r="H85" s="28"/>
      <c r="I85" s="27"/>
      <c r="J85" s="29"/>
      <c r="K85" s="28"/>
      <c r="L85" s="34" t="str">
        <f aca="false">IF($F85="","",IFERROR(INDEX(Settings!$B$18:$B$27,MATCH($F85,Settings!$A$18:$A$27,0)),""))</f>
        <v/>
      </c>
      <c r="M85" s="34" t="str">
        <f aca="false">IF($A85="","",SUMIFS(Finance!$E$4:$E$1003,Finance!$B$4:$B$1003,$A85,Finance!$J$4:$J$1003,"Paid"))</f>
        <v/>
      </c>
      <c r="N85" s="34" t="str">
        <f aca="false">IF($A85="","",IFERROR($L85-$M85,""))</f>
        <v/>
      </c>
      <c r="O85" s="35" t="str">
        <f aca="false">IF($A85="","",IFERROR($M85/$L85,""))</f>
        <v/>
      </c>
      <c r="P85" s="33" t="str">
        <f aca="false">IFERROR(INDEX('Process Tracking'!$E$5:$E$1003,MATCH($A85,'Process Tracking'!$A$5:$A$1003,0)),"")</f>
        <v/>
      </c>
      <c r="Q85" s="35" t="str">
        <f aca="false">IFERROR(INDEX(Documents!$Q$4:$Q$1003,MATCH($A85,Documents!$A$4:$A$1003,0)),"")</f>
        <v/>
      </c>
      <c r="R85" s="27"/>
      <c r="S85" s="31" t="str">
        <f aca="false">IFERROR(INDEX('Lead Management'!$O$4:$O$1003,MATCH($B85,'Lead Management'!$A$4:$A$1003,0)),"")</f>
        <v/>
      </c>
      <c r="T85" s="36" t="str">
        <f aca="false">IFERROR(INDEX('Lead Management'!$P$4:$P$1003,MATCH($B85,'Lead Management'!$A$4:$A$1003,0)),"")</f>
        <v/>
      </c>
      <c r="U85" s="32"/>
    </row>
    <row r="86" customFormat="false" ht="15.75" hidden="false" customHeight="true" outlineLevel="0" collapsed="false">
      <c r="A86" s="27"/>
      <c r="B86" s="27"/>
      <c r="C86" s="33" t="str">
        <f aca="false">IFERROR(INDEX('Lead Management'!$B$4:$B$1003,MATCH($B86,'Lead Management'!$A$4:$A$1003,0)),"")</f>
        <v/>
      </c>
      <c r="D86" s="33" t="str">
        <f aca="false">IFERROR(INDEX('Lead Management'!$C$4:$C$1003,MATCH($B86,'Lead Management'!$A$4:$A$1003,0)),"")</f>
        <v/>
      </c>
      <c r="E86" s="33" t="str">
        <f aca="false">IFERROR(INDEX('Lead Management'!$F$4:$F$1003,MATCH($B86,'Lead Management'!$A$4:$A$1003,0)),"")</f>
        <v/>
      </c>
      <c r="F86" s="27"/>
      <c r="G86" s="28"/>
      <c r="H86" s="28"/>
      <c r="I86" s="27"/>
      <c r="J86" s="29"/>
      <c r="K86" s="28"/>
      <c r="L86" s="34" t="str">
        <f aca="false">IF($F86="","",IFERROR(INDEX(Settings!$B$18:$B$27,MATCH($F86,Settings!$A$18:$A$27,0)),""))</f>
        <v/>
      </c>
      <c r="M86" s="34" t="str">
        <f aca="false">IF($A86="","",SUMIFS(Finance!$E$4:$E$1003,Finance!$B$4:$B$1003,$A86,Finance!$J$4:$J$1003,"Paid"))</f>
        <v/>
      </c>
      <c r="N86" s="34" t="str">
        <f aca="false">IF($A86="","",IFERROR($L86-$M86,""))</f>
        <v/>
      </c>
      <c r="O86" s="35" t="str">
        <f aca="false">IF($A86="","",IFERROR($M86/$L86,""))</f>
        <v/>
      </c>
      <c r="P86" s="33" t="str">
        <f aca="false">IFERROR(INDEX('Process Tracking'!$E$5:$E$1003,MATCH($A86,'Process Tracking'!$A$5:$A$1003,0)),"")</f>
        <v/>
      </c>
      <c r="Q86" s="35" t="str">
        <f aca="false">IFERROR(INDEX(Documents!$Q$4:$Q$1003,MATCH($A86,Documents!$A$4:$A$1003,0)),"")</f>
        <v/>
      </c>
      <c r="R86" s="27"/>
      <c r="S86" s="31" t="str">
        <f aca="false">IFERROR(INDEX('Lead Management'!$O$4:$O$1003,MATCH($B86,'Lead Management'!$A$4:$A$1003,0)),"")</f>
        <v/>
      </c>
      <c r="T86" s="36" t="str">
        <f aca="false">IFERROR(INDEX('Lead Management'!$P$4:$P$1003,MATCH($B86,'Lead Management'!$A$4:$A$1003,0)),"")</f>
        <v/>
      </c>
      <c r="U86" s="32"/>
    </row>
    <row r="87" customFormat="false" ht="15.75" hidden="false" customHeight="true" outlineLevel="0" collapsed="false">
      <c r="A87" s="27"/>
      <c r="B87" s="27"/>
      <c r="C87" s="33" t="str">
        <f aca="false">IFERROR(INDEX('Lead Management'!$B$4:$B$1003,MATCH($B87,'Lead Management'!$A$4:$A$1003,0)),"")</f>
        <v/>
      </c>
      <c r="D87" s="33" t="str">
        <f aca="false">IFERROR(INDEX('Lead Management'!$C$4:$C$1003,MATCH($B87,'Lead Management'!$A$4:$A$1003,0)),"")</f>
        <v/>
      </c>
      <c r="E87" s="33" t="str">
        <f aca="false">IFERROR(INDEX('Lead Management'!$F$4:$F$1003,MATCH($B87,'Lead Management'!$A$4:$A$1003,0)),"")</f>
        <v/>
      </c>
      <c r="F87" s="27"/>
      <c r="G87" s="28"/>
      <c r="H87" s="28"/>
      <c r="I87" s="27"/>
      <c r="J87" s="29"/>
      <c r="K87" s="28"/>
      <c r="L87" s="34" t="str">
        <f aca="false">IF($F87="","",IFERROR(INDEX(Settings!$B$18:$B$27,MATCH($F87,Settings!$A$18:$A$27,0)),""))</f>
        <v/>
      </c>
      <c r="M87" s="34" t="str">
        <f aca="false">IF($A87="","",SUMIFS(Finance!$E$4:$E$1003,Finance!$B$4:$B$1003,$A87,Finance!$J$4:$J$1003,"Paid"))</f>
        <v/>
      </c>
      <c r="N87" s="34" t="str">
        <f aca="false">IF($A87="","",IFERROR($L87-$M87,""))</f>
        <v/>
      </c>
      <c r="O87" s="35" t="str">
        <f aca="false">IF($A87="","",IFERROR($M87/$L87,""))</f>
        <v/>
      </c>
      <c r="P87" s="33" t="str">
        <f aca="false">IFERROR(INDEX('Process Tracking'!$E$5:$E$1003,MATCH($A87,'Process Tracking'!$A$5:$A$1003,0)),"")</f>
        <v/>
      </c>
      <c r="Q87" s="35" t="str">
        <f aca="false">IFERROR(INDEX(Documents!$Q$4:$Q$1003,MATCH($A87,Documents!$A$4:$A$1003,0)),"")</f>
        <v/>
      </c>
      <c r="R87" s="27"/>
      <c r="S87" s="31" t="str">
        <f aca="false">IFERROR(INDEX('Lead Management'!$O$4:$O$1003,MATCH($B87,'Lead Management'!$A$4:$A$1003,0)),"")</f>
        <v/>
      </c>
      <c r="T87" s="36" t="str">
        <f aca="false">IFERROR(INDEX('Lead Management'!$P$4:$P$1003,MATCH($B87,'Lead Management'!$A$4:$A$1003,0)),"")</f>
        <v/>
      </c>
      <c r="U87" s="32"/>
    </row>
    <row r="88" customFormat="false" ht="15.75" hidden="false" customHeight="true" outlineLevel="0" collapsed="false">
      <c r="A88" s="27"/>
      <c r="B88" s="27"/>
      <c r="C88" s="33" t="str">
        <f aca="false">IFERROR(INDEX('Lead Management'!$B$4:$B$1003,MATCH($B88,'Lead Management'!$A$4:$A$1003,0)),"")</f>
        <v/>
      </c>
      <c r="D88" s="33" t="str">
        <f aca="false">IFERROR(INDEX('Lead Management'!$C$4:$C$1003,MATCH($B88,'Lead Management'!$A$4:$A$1003,0)),"")</f>
        <v/>
      </c>
      <c r="E88" s="33" t="str">
        <f aca="false">IFERROR(INDEX('Lead Management'!$F$4:$F$1003,MATCH($B88,'Lead Management'!$A$4:$A$1003,0)),"")</f>
        <v/>
      </c>
      <c r="F88" s="27"/>
      <c r="G88" s="28"/>
      <c r="H88" s="28"/>
      <c r="I88" s="27"/>
      <c r="J88" s="29"/>
      <c r="K88" s="28"/>
      <c r="L88" s="34" t="str">
        <f aca="false">IF($F88="","",IFERROR(INDEX(Settings!$B$18:$B$27,MATCH($F88,Settings!$A$18:$A$27,0)),""))</f>
        <v/>
      </c>
      <c r="M88" s="34" t="str">
        <f aca="false">IF($A88="","",SUMIFS(Finance!$E$4:$E$1003,Finance!$B$4:$B$1003,$A88,Finance!$J$4:$J$1003,"Paid"))</f>
        <v/>
      </c>
      <c r="N88" s="34" t="str">
        <f aca="false">IF($A88="","",IFERROR($L88-$M88,""))</f>
        <v/>
      </c>
      <c r="O88" s="35" t="str">
        <f aca="false">IF($A88="","",IFERROR($M88/$L88,""))</f>
        <v/>
      </c>
      <c r="P88" s="33" t="str">
        <f aca="false">IFERROR(INDEX('Process Tracking'!$E$5:$E$1003,MATCH($A88,'Process Tracking'!$A$5:$A$1003,0)),"")</f>
        <v/>
      </c>
      <c r="Q88" s="35" t="str">
        <f aca="false">IFERROR(INDEX(Documents!$Q$4:$Q$1003,MATCH($A88,Documents!$A$4:$A$1003,0)),"")</f>
        <v/>
      </c>
      <c r="R88" s="27"/>
      <c r="S88" s="31" t="str">
        <f aca="false">IFERROR(INDEX('Lead Management'!$O$4:$O$1003,MATCH($B88,'Lead Management'!$A$4:$A$1003,0)),"")</f>
        <v/>
      </c>
      <c r="T88" s="36" t="str">
        <f aca="false">IFERROR(INDEX('Lead Management'!$P$4:$P$1003,MATCH($B88,'Lead Management'!$A$4:$A$1003,0)),"")</f>
        <v/>
      </c>
      <c r="U88" s="32"/>
    </row>
    <row r="89" customFormat="false" ht="15.75" hidden="false" customHeight="true" outlineLevel="0" collapsed="false">
      <c r="A89" s="27"/>
      <c r="B89" s="27"/>
      <c r="C89" s="33" t="str">
        <f aca="false">IFERROR(INDEX('Lead Management'!$B$4:$B$1003,MATCH($B89,'Lead Management'!$A$4:$A$1003,0)),"")</f>
        <v/>
      </c>
      <c r="D89" s="33" t="str">
        <f aca="false">IFERROR(INDEX('Lead Management'!$C$4:$C$1003,MATCH($B89,'Lead Management'!$A$4:$A$1003,0)),"")</f>
        <v/>
      </c>
      <c r="E89" s="33" t="str">
        <f aca="false">IFERROR(INDEX('Lead Management'!$F$4:$F$1003,MATCH($B89,'Lead Management'!$A$4:$A$1003,0)),"")</f>
        <v/>
      </c>
      <c r="F89" s="27"/>
      <c r="G89" s="28"/>
      <c r="H89" s="28"/>
      <c r="I89" s="27"/>
      <c r="J89" s="29"/>
      <c r="K89" s="28"/>
      <c r="L89" s="34" t="str">
        <f aca="false">IF($F89="","",IFERROR(INDEX(Settings!$B$18:$B$27,MATCH($F89,Settings!$A$18:$A$27,0)),""))</f>
        <v/>
      </c>
      <c r="M89" s="34" t="str">
        <f aca="false">IF($A89="","",SUMIFS(Finance!$E$4:$E$1003,Finance!$B$4:$B$1003,$A89,Finance!$J$4:$J$1003,"Paid"))</f>
        <v/>
      </c>
      <c r="N89" s="34" t="str">
        <f aca="false">IF($A89="","",IFERROR($L89-$M89,""))</f>
        <v/>
      </c>
      <c r="O89" s="35" t="str">
        <f aca="false">IF($A89="","",IFERROR($M89/$L89,""))</f>
        <v/>
      </c>
      <c r="P89" s="33" t="str">
        <f aca="false">IFERROR(INDEX('Process Tracking'!$E$5:$E$1003,MATCH($A89,'Process Tracking'!$A$5:$A$1003,0)),"")</f>
        <v/>
      </c>
      <c r="Q89" s="35" t="str">
        <f aca="false">IFERROR(INDEX(Documents!$Q$4:$Q$1003,MATCH($A89,Documents!$A$4:$A$1003,0)),"")</f>
        <v/>
      </c>
      <c r="R89" s="27"/>
      <c r="S89" s="31" t="str">
        <f aca="false">IFERROR(INDEX('Lead Management'!$O$4:$O$1003,MATCH($B89,'Lead Management'!$A$4:$A$1003,0)),"")</f>
        <v/>
      </c>
      <c r="T89" s="36" t="str">
        <f aca="false">IFERROR(INDEX('Lead Management'!$P$4:$P$1003,MATCH($B89,'Lead Management'!$A$4:$A$1003,0)),"")</f>
        <v/>
      </c>
      <c r="U89" s="32"/>
    </row>
    <row r="90" customFormat="false" ht="15.75" hidden="false" customHeight="true" outlineLevel="0" collapsed="false">
      <c r="A90" s="27"/>
      <c r="B90" s="27"/>
      <c r="C90" s="33" t="str">
        <f aca="false">IFERROR(INDEX('Lead Management'!$B$4:$B$1003,MATCH($B90,'Lead Management'!$A$4:$A$1003,0)),"")</f>
        <v/>
      </c>
      <c r="D90" s="33" t="str">
        <f aca="false">IFERROR(INDEX('Lead Management'!$C$4:$C$1003,MATCH($B90,'Lead Management'!$A$4:$A$1003,0)),"")</f>
        <v/>
      </c>
      <c r="E90" s="33" t="str">
        <f aca="false">IFERROR(INDEX('Lead Management'!$F$4:$F$1003,MATCH($B90,'Lead Management'!$A$4:$A$1003,0)),"")</f>
        <v/>
      </c>
      <c r="F90" s="27"/>
      <c r="G90" s="28"/>
      <c r="H90" s="28"/>
      <c r="I90" s="27"/>
      <c r="J90" s="29"/>
      <c r="K90" s="28"/>
      <c r="L90" s="34" t="str">
        <f aca="false">IF($F90="","",IFERROR(INDEX(Settings!$B$18:$B$27,MATCH($F90,Settings!$A$18:$A$27,0)),""))</f>
        <v/>
      </c>
      <c r="M90" s="34" t="str">
        <f aca="false">IF($A90="","",SUMIFS(Finance!$E$4:$E$1003,Finance!$B$4:$B$1003,$A90,Finance!$J$4:$J$1003,"Paid"))</f>
        <v/>
      </c>
      <c r="N90" s="34" t="str">
        <f aca="false">IF($A90="","",IFERROR($L90-$M90,""))</f>
        <v/>
      </c>
      <c r="O90" s="35" t="str">
        <f aca="false">IF($A90="","",IFERROR($M90/$L90,""))</f>
        <v/>
      </c>
      <c r="P90" s="33" t="str">
        <f aca="false">IFERROR(INDEX('Process Tracking'!$E$5:$E$1003,MATCH($A90,'Process Tracking'!$A$5:$A$1003,0)),"")</f>
        <v/>
      </c>
      <c r="Q90" s="35" t="str">
        <f aca="false">IFERROR(INDEX(Documents!$Q$4:$Q$1003,MATCH($A90,Documents!$A$4:$A$1003,0)),"")</f>
        <v/>
      </c>
      <c r="R90" s="27"/>
      <c r="S90" s="31" t="str">
        <f aca="false">IFERROR(INDEX('Lead Management'!$O$4:$O$1003,MATCH($B90,'Lead Management'!$A$4:$A$1003,0)),"")</f>
        <v/>
      </c>
      <c r="T90" s="36" t="str">
        <f aca="false">IFERROR(INDEX('Lead Management'!$P$4:$P$1003,MATCH($B90,'Lead Management'!$A$4:$A$1003,0)),"")</f>
        <v/>
      </c>
      <c r="U90" s="32"/>
    </row>
    <row r="91" customFormat="false" ht="15.75" hidden="false" customHeight="true" outlineLevel="0" collapsed="false">
      <c r="A91" s="27"/>
      <c r="B91" s="27"/>
      <c r="C91" s="33" t="str">
        <f aca="false">IFERROR(INDEX('Lead Management'!$B$4:$B$1003,MATCH($B91,'Lead Management'!$A$4:$A$1003,0)),"")</f>
        <v/>
      </c>
      <c r="D91" s="33" t="str">
        <f aca="false">IFERROR(INDEX('Lead Management'!$C$4:$C$1003,MATCH($B91,'Lead Management'!$A$4:$A$1003,0)),"")</f>
        <v/>
      </c>
      <c r="E91" s="33" t="str">
        <f aca="false">IFERROR(INDEX('Lead Management'!$F$4:$F$1003,MATCH($B91,'Lead Management'!$A$4:$A$1003,0)),"")</f>
        <v/>
      </c>
      <c r="F91" s="27"/>
      <c r="G91" s="28"/>
      <c r="H91" s="28"/>
      <c r="I91" s="27"/>
      <c r="J91" s="29"/>
      <c r="K91" s="28"/>
      <c r="L91" s="34" t="str">
        <f aca="false">IF($F91="","",IFERROR(INDEX(Settings!$B$18:$B$27,MATCH($F91,Settings!$A$18:$A$27,0)),""))</f>
        <v/>
      </c>
      <c r="M91" s="34" t="str">
        <f aca="false">IF($A91="","",SUMIFS(Finance!$E$4:$E$1003,Finance!$B$4:$B$1003,$A91,Finance!$J$4:$J$1003,"Paid"))</f>
        <v/>
      </c>
      <c r="N91" s="34" t="str">
        <f aca="false">IF($A91="","",IFERROR($L91-$M91,""))</f>
        <v/>
      </c>
      <c r="O91" s="35" t="str">
        <f aca="false">IF($A91="","",IFERROR($M91/$L91,""))</f>
        <v/>
      </c>
      <c r="P91" s="33" t="str">
        <f aca="false">IFERROR(INDEX('Process Tracking'!$E$5:$E$1003,MATCH($A91,'Process Tracking'!$A$5:$A$1003,0)),"")</f>
        <v/>
      </c>
      <c r="Q91" s="35" t="str">
        <f aca="false">IFERROR(INDEX(Documents!$Q$4:$Q$1003,MATCH($A91,Documents!$A$4:$A$1003,0)),"")</f>
        <v/>
      </c>
      <c r="R91" s="27"/>
      <c r="S91" s="31" t="str">
        <f aca="false">IFERROR(INDEX('Lead Management'!$O$4:$O$1003,MATCH($B91,'Lead Management'!$A$4:$A$1003,0)),"")</f>
        <v/>
      </c>
      <c r="T91" s="36" t="str">
        <f aca="false">IFERROR(INDEX('Lead Management'!$P$4:$P$1003,MATCH($B91,'Lead Management'!$A$4:$A$1003,0)),"")</f>
        <v/>
      </c>
      <c r="U91" s="32"/>
    </row>
    <row r="92" customFormat="false" ht="15.75" hidden="false" customHeight="true" outlineLevel="0" collapsed="false">
      <c r="A92" s="27"/>
      <c r="B92" s="27"/>
      <c r="C92" s="33" t="str">
        <f aca="false">IFERROR(INDEX('Lead Management'!$B$4:$B$1003,MATCH($B92,'Lead Management'!$A$4:$A$1003,0)),"")</f>
        <v/>
      </c>
      <c r="D92" s="33" t="str">
        <f aca="false">IFERROR(INDEX('Lead Management'!$C$4:$C$1003,MATCH($B92,'Lead Management'!$A$4:$A$1003,0)),"")</f>
        <v/>
      </c>
      <c r="E92" s="33" t="str">
        <f aca="false">IFERROR(INDEX('Lead Management'!$F$4:$F$1003,MATCH($B92,'Lead Management'!$A$4:$A$1003,0)),"")</f>
        <v/>
      </c>
      <c r="F92" s="27"/>
      <c r="G92" s="28"/>
      <c r="H92" s="28"/>
      <c r="I92" s="27"/>
      <c r="J92" s="29"/>
      <c r="K92" s="28"/>
      <c r="L92" s="34" t="str">
        <f aca="false">IF($F92="","",IFERROR(INDEX(Settings!$B$18:$B$27,MATCH($F92,Settings!$A$18:$A$27,0)),""))</f>
        <v/>
      </c>
      <c r="M92" s="34" t="str">
        <f aca="false">IF($A92="","",SUMIFS(Finance!$E$4:$E$1003,Finance!$B$4:$B$1003,$A92,Finance!$J$4:$J$1003,"Paid"))</f>
        <v/>
      </c>
      <c r="N92" s="34" t="str">
        <f aca="false">IF($A92="","",IFERROR($L92-$M92,""))</f>
        <v/>
      </c>
      <c r="O92" s="35" t="str">
        <f aca="false">IF($A92="","",IFERROR($M92/$L92,""))</f>
        <v/>
      </c>
      <c r="P92" s="33" t="str">
        <f aca="false">IFERROR(INDEX('Process Tracking'!$E$5:$E$1003,MATCH($A92,'Process Tracking'!$A$5:$A$1003,0)),"")</f>
        <v/>
      </c>
      <c r="Q92" s="35" t="str">
        <f aca="false">IFERROR(INDEX(Documents!$Q$4:$Q$1003,MATCH($A92,Documents!$A$4:$A$1003,0)),"")</f>
        <v/>
      </c>
      <c r="R92" s="27"/>
      <c r="S92" s="31" t="str">
        <f aca="false">IFERROR(INDEX('Lead Management'!$O$4:$O$1003,MATCH($B92,'Lead Management'!$A$4:$A$1003,0)),"")</f>
        <v/>
      </c>
      <c r="T92" s="36" t="str">
        <f aca="false">IFERROR(INDEX('Lead Management'!$P$4:$P$1003,MATCH($B92,'Lead Management'!$A$4:$A$1003,0)),"")</f>
        <v/>
      </c>
      <c r="U92" s="32"/>
    </row>
    <row r="93" customFormat="false" ht="15.75" hidden="false" customHeight="true" outlineLevel="0" collapsed="false">
      <c r="A93" s="27"/>
      <c r="B93" s="27"/>
      <c r="C93" s="33" t="str">
        <f aca="false">IFERROR(INDEX('Lead Management'!$B$4:$B$1003,MATCH($B93,'Lead Management'!$A$4:$A$1003,0)),"")</f>
        <v/>
      </c>
      <c r="D93" s="33" t="str">
        <f aca="false">IFERROR(INDEX('Lead Management'!$C$4:$C$1003,MATCH($B93,'Lead Management'!$A$4:$A$1003,0)),"")</f>
        <v/>
      </c>
      <c r="E93" s="33" t="str">
        <f aca="false">IFERROR(INDEX('Lead Management'!$F$4:$F$1003,MATCH($B93,'Lead Management'!$A$4:$A$1003,0)),"")</f>
        <v/>
      </c>
      <c r="F93" s="27"/>
      <c r="G93" s="28"/>
      <c r="H93" s="28"/>
      <c r="I93" s="27"/>
      <c r="J93" s="29"/>
      <c r="K93" s="28"/>
      <c r="L93" s="34" t="str">
        <f aca="false">IF($F93="","",IFERROR(INDEX(Settings!$B$18:$B$27,MATCH($F93,Settings!$A$18:$A$27,0)),""))</f>
        <v/>
      </c>
      <c r="M93" s="34" t="str">
        <f aca="false">IF($A93="","",SUMIFS(Finance!$E$4:$E$1003,Finance!$B$4:$B$1003,$A93,Finance!$J$4:$J$1003,"Paid"))</f>
        <v/>
      </c>
      <c r="N93" s="34" t="str">
        <f aca="false">IF($A93="","",IFERROR($L93-$M93,""))</f>
        <v/>
      </c>
      <c r="O93" s="35" t="str">
        <f aca="false">IF($A93="","",IFERROR($M93/$L93,""))</f>
        <v/>
      </c>
      <c r="P93" s="33" t="str">
        <f aca="false">IFERROR(INDEX('Process Tracking'!$E$5:$E$1003,MATCH($A93,'Process Tracking'!$A$5:$A$1003,0)),"")</f>
        <v/>
      </c>
      <c r="Q93" s="35" t="str">
        <f aca="false">IFERROR(INDEX(Documents!$Q$4:$Q$1003,MATCH($A93,Documents!$A$4:$A$1003,0)),"")</f>
        <v/>
      </c>
      <c r="R93" s="27"/>
      <c r="S93" s="31" t="str">
        <f aca="false">IFERROR(INDEX('Lead Management'!$O$4:$O$1003,MATCH($B93,'Lead Management'!$A$4:$A$1003,0)),"")</f>
        <v/>
      </c>
      <c r="T93" s="36" t="str">
        <f aca="false">IFERROR(INDEX('Lead Management'!$P$4:$P$1003,MATCH($B93,'Lead Management'!$A$4:$A$1003,0)),"")</f>
        <v/>
      </c>
      <c r="U93" s="32"/>
    </row>
    <row r="94" customFormat="false" ht="15.75" hidden="false" customHeight="true" outlineLevel="0" collapsed="false">
      <c r="A94" s="27"/>
      <c r="B94" s="27"/>
      <c r="C94" s="33" t="str">
        <f aca="false">IFERROR(INDEX('Lead Management'!$B$4:$B$1003,MATCH($B94,'Lead Management'!$A$4:$A$1003,0)),"")</f>
        <v/>
      </c>
      <c r="D94" s="33" t="str">
        <f aca="false">IFERROR(INDEX('Lead Management'!$C$4:$C$1003,MATCH($B94,'Lead Management'!$A$4:$A$1003,0)),"")</f>
        <v/>
      </c>
      <c r="E94" s="33" t="str">
        <f aca="false">IFERROR(INDEX('Lead Management'!$F$4:$F$1003,MATCH($B94,'Lead Management'!$A$4:$A$1003,0)),"")</f>
        <v/>
      </c>
      <c r="F94" s="27"/>
      <c r="G94" s="28"/>
      <c r="H94" s="28"/>
      <c r="I94" s="27"/>
      <c r="J94" s="29"/>
      <c r="K94" s="28"/>
      <c r="L94" s="34" t="str">
        <f aca="false">IF($F94="","",IFERROR(INDEX(Settings!$B$18:$B$27,MATCH($F94,Settings!$A$18:$A$27,0)),""))</f>
        <v/>
      </c>
      <c r="M94" s="34" t="str">
        <f aca="false">IF($A94="","",SUMIFS(Finance!$E$4:$E$1003,Finance!$B$4:$B$1003,$A94,Finance!$J$4:$J$1003,"Paid"))</f>
        <v/>
      </c>
      <c r="N94" s="34" t="str">
        <f aca="false">IF($A94="","",IFERROR($L94-$M94,""))</f>
        <v/>
      </c>
      <c r="O94" s="35" t="str">
        <f aca="false">IF($A94="","",IFERROR($M94/$L94,""))</f>
        <v/>
      </c>
      <c r="P94" s="33" t="str">
        <f aca="false">IFERROR(INDEX('Process Tracking'!$E$5:$E$1003,MATCH($A94,'Process Tracking'!$A$5:$A$1003,0)),"")</f>
        <v/>
      </c>
      <c r="Q94" s="35" t="str">
        <f aca="false">IFERROR(INDEX(Documents!$Q$4:$Q$1003,MATCH($A94,Documents!$A$4:$A$1003,0)),"")</f>
        <v/>
      </c>
      <c r="R94" s="27"/>
      <c r="S94" s="31" t="str">
        <f aca="false">IFERROR(INDEX('Lead Management'!$O$4:$O$1003,MATCH($B94,'Lead Management'!$A$4:$A$1003,0)),"")</f>
        <v/>
      </c>
      <c r="T94" s="36" t="str">
        <f aca="false">IFERROR(INDEX('Lead Management'!$P$4:$P$1003,MATCH($B94,'Lead Management'!$A$4:$A$1003,0)),"")</f>
        <v/>
      </c>
      <c r="U94" s="32"/>
    </row>
    <row r="95" customFormat="false" ht="15.75" hidden="false" customHeight="true" outlineLevel="0" collapsed="false">
      <c r="A95" s="27"/>
      <c r="B95" s="27"/>
      <c r="C95" s="33" t="str">
        <f aca="false">IFERROR(INDEX('Lead Management'!$B$4:$B$1003,MATCH($B95,'Lead Management'!$A$4:$A$1003,0)),"")</f>
        <v/>
      </c>
      <c r="D95" s="33" t="str">
        <f aca="false">IFERROR(INDEX('Lead Management'!$C$4:$C$1003,MATCH($B95,'Lead Management'!$A$4:$A$1003,0)),"")</f>
        <v/>
      </c>
      <c r="E95" s="33" t="str">
        <f aca="false">IFERROR(INDEX('Lead Management'!$F$4:$F$1003,MATCH($B95,'Lead Management'!$A$4:$A$1003,0)),"")</f>
        <v/>
      </c>
      <c r="F95" s="27"/>
      <c r="G95" s="28"/>
      <c r="H95" s="28"/>
      <c r="I95" s="27"/>
      <c r="J95" s="29"/>
      <c r="K95" s="28"/>
      <c r="L95" s="34" t="str">
        <f aca="false">IF($F95="","",IFERROR(INDEX(Settings!$B$18:$B$27,MATCH($F95,Settings!$A$18:$A$27,0)),""))</f>
        <v/>
      </c>
      <c r="M95" s="34" t="str">
        <f aca="false">IF($A95="","",SUMIFS(Finance!$E$4:$E$1003,Finance!$B$4:$B$1003,$A95,Finance!$J$4:$J$1003,"Paid"))</f>
        <v/>
      </c>
      <c r="N95" s="34" t="str">
        <f aca="false">IF($A95="","",IFERROR($L95-$M95,""))</f>
        <v/>
      </c>
      <c r="O95" s="35" t="str">
        <f aca="false">IF($A95="","",IFERROR($M95/$L95,""))</f>
        <v/>
      </c>
      <c r="P95" s="33" t="str">
        <f aca="false">IFERROR(INDEX('Process Tracking'!$E$5:$E$1003,MATCH($A95,'Process Tracking'!$A$5:$A$1003,0)),"")</f>
        <v/>
      </c>
      <c r="Q95" s="35" t="str">
        <f aca="false">IFERROR(INDEX(Documents!$Q$4:$Q$1003,MATCH($A95,Documents!$A$4:$A$1003,0)),"")</f>
        <v/>
      </c>
      <c r="R95" s="27"/>
      <c r="S95" s="31" t="str">
        <f aca="false">IFERROR(INDEX('Lead Management'!$O$4:$O$1003,MATCH($B95,'Lead Management'!$A$4:$A$1003,0)),"")</f>
        <v/>
      </c>
      <c r="T95" s="36" t="str">
        <f aca="false">IFERROR(INDEX('Lead Management'!$P$4:$P$1003,MATCH($B95,'Lead Management'!$A$4:$A$1003,0)),"")</f>
        <v/>
      </c>
      <c r="U95" s="32"/>
    </row>
    <row r="96" customFormat="false" ht="15.75" hidden="false" customHeight="true" outlineLevel="0" collapsed="false">
      <c r="A96" s="27"/>
      <c r="B96" s="27"/>
      <c r="C96" s="33" t="str">
        <f aca="false">IFERROR(INDEX('Lead Management'!$B$4:$B$1003,MATCH($B96,'Lead Management'!$A$4:$A$1003,0)),"")</f>
        <v/>
      </c>
      <c r="D96" s="33" t="str">
        <f aca="false">IFERROR(INDEX('Lead Management'!$C$4:$C$1003,MATCH($B96,'Lead Management'!$A$4:$A$1003,0)),"")</f>
        <v/>
      </c>
      <c r="E96" s="33" t="str">
        <f aca="false">IFERROR(INDEX('Lead Management'!$F$4:$F$1003,MATCH($B96,'Lead Management'!$A$4:$A$1003,0)),"")</f>
        <v/>
      </c>
      <c r="F96" s="27"/>
      <c r="G96" s="28"/>
      <c r="H96" s="28"/>
      <c r="I96" s="27"/>
      <c r="J96" s="29"/>
      <c r="K96" s="28"/>
      <c r="L96" s="34" t="str">
        <f aca="false">IF($F96="","",IFERROR(INDEX(Settings!$B$18:$B$27,MATCH($F96,Settings!$A$18:$A$27,0)),""))</f>
        <v/>
      </c>
      <c r="M96" s="34" t="str">
        <f aca="false">IF($A96="","",SUMIFS(Finance!$E$4:$E$1003,Finance!$B$4:$B$1003,$A96,Finance!$J$4:$J$1003,"Paid"))</f>
        <v/>
      </c>
      <c r="N96" s="34" t="str">
        <f aca="false">IF($A96="","",IFERROR($L96-$M96,""))</f>
        <v/>
      </c>
      <c r="O96" s="35" t="str">
        <f aca="false">IF($A96="","",IFERROR($M96/$L96,""))</f>
        <v/>
      </c>
      <c r="P96" s="33" t="str">
        <f aca="false">IFERROR(INDEX('Process Tracking'!$E$5:$E$1003,MATCH($A96,'Process Tracking'!$A$5:$A$1003,0)),"")</f>
        <v/>
      </c>
      <c r="Q96" s="35" t="str">
        <f aca="false">IFERROR(INDEX(Documents!$Q$4:$Q$1003,MATCH($A96,Documents!$A$4:$A$1003,0)),"")</f>
        <v/>
      </c>
      <c r="R96" s="27"/>
      <c r="S96" s="31" t="str">
        <f aca="false">IFERROR(INDEX('Lead Management'!$O$4:$O$1003,MATCH($B96,'Lead Management'!$A$4:$A$1003,0)),"")</f>
        <v/>
      </c>
      <c r="T96" s="36" t="str">
        <f aca="false">IFERROR(INDEX('Lead Management'!$P$4:$P$1003,MATCH($B96,'Lead Management'!$A$4:$A$1003,0)),"")</f>
        <v/>
      </c>
      <c r="U96" s="32"/>
    </row>
    <row r="97" customFormat="false" ht="15.75" hidden="false" customHeight="true" outlineLevel="0" collapsed="false">
      <c r="A97" s="27"/>
      <c r="B97" s="27"/>
      <c r="C97" s="33" t="str">
        <f aca="false">IFERROR(INDEX('Lead Management'!$B$4:$B$1003,MATCH($B97,'Lead Management'!$A$4:$A$1003,0)),"")</f>
        <v/>
      </c>
      <c r="D97" s="33" t="str">
        <f aca="false">IFERROR(INDEX('Lead Management'!$C$4:$C$1003,MATCH($B97,'Lead Management'!$A$4:$A$1003,0)),"")</f>
        <v/>
      </c>
      <c r="E97" s="33" t="str">
        <f aca="false">IFERROR(INDEX('Lead Management'!$F$4:$F$1003,MATCH($B97,'Lead Management'!$A$4:$A$1003,0)),"")</f>
        <v/>
      </c>
      <c r="F97" s="27"/>
      <c r="G97" s="28"/>
      <c r="H97" s="28"/>
      <c r="I97" s="27"/>
      <c r="J97" s="29"/>
      <c r="K97" s="28"/>
      <c r="L97" s="34" t="str">
        <f aca="false">IF($F97="","",IFERROR(INDEX(Settings!$B$18:$B$27,MATCH($F97,Settings!$A$18:$A$27,0)),""))</f>
        <v/>
      </c>
      <c r="M97" s="34" t="str">
        <f aca="false">IF($A97="","",SUMIFS(Finance!$E$4:$E$1003,Finance!$B$4:$B$1003,$A97,Finance!$J$4:$J$1003,"Paid"))</f>
        <v/>
      </c>
      <c r="N97" s="34" t="str">
        <f aca="false">IF($A97="","",IFERROR($L97-$M97,""))</f>
        <v/>
      </c>
      <c r="O97" s="35" t="str">
        <f aca="false">IF($A97="","",IFERROR($M97/$L97,""))</f>
        <v/>
      </c>
      <c r="P97" s="33" t="str">
        <f aca="false">IFERROR(INDEX('Process Tracking'!$E$5:$E$1003,MATCH($A97,'Process Tracking'!$A$5:$A$1003,0)),"")</f>
        <v/>
      </c>
      <c r="Q97" s="35" t="str">
        <f aca="false">IFERROR(INDEX(Documents!$Q$4:$Q$1003,MATCH($A97,Documents!$A$4:$A$1003,0)),"")</f>
        <v/>
      </c>
      <c r="R97" s="27"/>
      <c r="S97" s="31" t="str">
        <f aca="false">IFERROR(INDEX('Lead Management'!$O$4:$O$1003,MATCH($B97,'Lead Management'!$A$4:$A$1003,0)),"")</f>
        <v/>
      </c>
      <c r="T97" s="36" t="str">
        <f aca="false">IFERROR(INDEX('Lead Management'!$P$4:$P$1003,MATCH($B97,'Lead Management'!$A$4:$A$1003,0)),"")</f>
        <v/>
      </c>
      <c r="U97" s="32"/>
    </row>
    <row r="98" customFormat="false" ht="15.75" hidden="false" customHeight="true" outlineLevel="0" collapsed="false">
      <c r="A98" s="27"/>
      <c r="B98" s="27"/>
      <c r="C98" s="33" t="str">
        <f aca="false">IFERROR(INDEX('Lead Management'!$B$4:$B$1003,MATCH($B98,'Lead Management'!$A$4:$A$1003,0)),"")</f>
        <v/>
      </c>
      <c r="D98" s="33" t="str">
        <f aca="false">IFERROR(INDEX('Lead Management'!$C$4:$C$1003,MATCH($B98,'Lead Management'!$A$4:$A$1003,0)),"")</f>
        <v/>
      </c>
      <c r="E98" s="33" t="str">
        <f aca="false">IFERROR(INDEX('Lead Management'!$F$4:$F$1003,MATCH($B98,'Lead Management'!$A$4:$A$1003,0)),"")</f>
        <v/>
      </c>
      <c r="F98" s="27"/>
      <c r="G98" s="28"/>
      <c r="H98" s="28"/>
      <c r="I98" s="27"/>
      <c r="J98" s="29"/>
      <c r="K98" s="28"/>
      <c r="L98" s="34" t="str">
        <f aca="false">IF($F98="","",IFERROR(INDEX(Settings!$B$18:$B$27,MATCH($F98,Settings!$A$18:$A$27,0)),""))</f>
        <v/>
      </c>
      <c r="M98" s="34" t="str">
        <f aca="false">IF($A98="","",SUMIFS(Finance!$E$4:$E$1003,Finance!$B$4:$B$1003,$A98,Finance!$J$4:$J$1003,"Paid"))</f>
        <v/>
      </c>
      <c r="N98" s="34" t="str">
        <f aca="false">IF($A98="","",IFERROR($L98-$M98,""))</f>
        <v/>
      </c>
      <c r="O98" s="35" t="str">
        <f aca="false">IF($A98="","",IFERROR($M98/$L98,""))</f>
        <v/>
      </c>
      <c r="P98" s="33" t="str">
        <f aca="false">IFERROR(INDEX('Process Tracking'!$E$5:$E$1003,MATCH($A98,'Process Tracking'!$A$5:$A$1003,0)),"")</f>
        <v/>
      </c>
      <c r="Q98" s="35" t="str">
        <f aca="false">IFERROR(INDEX(Documents!$Q$4:$Q$1003,MATCH($A98,Documents!$A$4:$A$1003,0)),"")</f>
        <v/>
      </c>
      <c r="R98" s="27"/>
      <c r="S98" s="31" t="str">
        <f aca="false">IFERROR(INDEX('Lead Management'!$O$4:$O$1003,MATCH($B98,'Lead Management'!$A$4:$A$1003,0)),"")</f>
        <v/>
      </c>
      <c r="T98" s="36" t="str">
        <f aca="false">IFERROR(INDEX('Lead Management'!$P$4:$P$1003,MATCH($B98,'Lead Management'!$A$4:$A$1003,0)),"")</f>
        <v/>
      </c>
      <c r="U98" s="32"/>
    </row>
    <row r="99" customFormat="false" ht="15.75" hidden="false" customHeight="true" outlineLevel="0" collapsed="false">
      <c r="A99" s="27"/>
      <c r="B99" s="27"/>
      <c r="C99" s="33" t="str">
        <f aca="false">IFERROR(INDEX('Lead Management'!$B$4:$B$1003,MATCH($B99,'Lead Management'!$A$4:$A$1003,0)),"")</f>
        <v/>
      </c>
      <c r="D99" s="33" t="str">
        <f aca="false">IFERROR(INDEX('Lead Management'!$C$4:$C$1003,MATCH($B99,'Lead Management'!$A$4:$A$1003,0)),"")</f>
        <v/>
      </c>
      <c r="E99" s="33" t="str">
        <f aca="false">IFERROR(INDEX('Lead Management'!$F$4:$F$1003,MATCH($B99,'Lead Management'!$A$4:$A$1003,0)),"")</f>
        <v/>
      </c>
      <c r="F99" s="27"/>
      <c r="G99" s="28"/>
      <c r="H99" s="28"/>
      <c r="I99" s="27"/>
      <c r="J99" s="29"/>
      <c r="K99" s="28"/>
      <c r="L99" s="34" t="str">
        <f aca="false">IF($F99="","",IFERROR(INDEX(Settings!$B$18:$B$27,MATCH($F99,Settings!$A$18:$A$27,0)),""))</f>
        <v/>
      </c>
      <c r="M99" s="34" t="str">
        <f aca="false">IF($A99="","",SUMIFS(Finance!$E$4:$E$1003,Finance!$B$4:$B$1003,$A99,Finance!$J$4:$J$1003,"Paid"))</f>
        <v/>
      </c>
      <c r="N99" s="34" t="str">
        <f aca="false">IF($A99="","",IFERROR($L99-$M99,""))</f>
        <v/>
      </c>
      <c r="O99" s="35" t="str">
        <f aca="false">IF($A99="","",IFERROR($M99/$L99,""))</f>
        <v/>
      </c>
      <c r="P99" s="33" t="str">
        <f aca="false">IFERROR(INDEX('Process Tracking'!$E$5:$E$1003,MATCH($A99,'Process Tracking'!$A$5:$A$1003,0)),"")</f>
        <v/>
      </c>
      <c r="Q99" s="35" t="str">
        <f aca="false">IFERROR(INDEX(Documents!$Q$4:$Q$1003,MATCH($A99,Documents!$A$4:$A$1003,0)),"")</f>
        <v/>
      </c>
      <c r="R99" s="27"/>
      <c r="S99" s="31" t="str">
        <f aca="false">IFERROR(INDEX('Lead Management'!$O$4:$O$1003,MATCH($B99,'Lead Management'!$A$4:$A$1003,0)),"")</f>
        <v/>
      </c>
      <c r="T99" s="36" t="str">
        <f aca="false">IFERROR(INDEX('Lead Management'!$P$4:$P$1003,MATCH($B99,'Lead Management'!$A$4:$A$1003,0)),"")</f>
        <v/>
      </c>
      <c r="U99" s="32"/>
    </row>
    <row r="100" customFormat="false" ht="15.75" hidden="false" customHeight="true" outlineLevel="0" collapsed="false">
      <c r="A100" s="27"/>
      <c r="B100" s="27"/>
      <c r="C100" s="33" t="str">
        <f aca="false">IFERROR(INDEX('Lead Management'!$B$4:$B$1003,MATCH($B100,'Lead Management'!$A$4:$A$1003,0)),"")</f>
        <v/>
      </c>
      <c r="D100" s="33" t="str">
        <f aca="false">IFERROR(INDEX('Lead Management'!$C$4:$C$1003,MATCH($B100,'Lead Management'!$A$4:$A$1003,0)),"")</f>
        <v/>
      </c>
      <c r="E100" s="33" t="str">
        <f aca="false">IFERROR(INDEX('Lead Management'!$F$4:$F$1003,MATCH($B100,'Lead Management'!$A$4:$A$1003,0)),"")</f>
        <v/>
      </c>
      <c r="F100" s="27"/>
      <c r="G100" s="28"/>
      <c r="H100" s="28"/>
      <c r="I100" s="27"/>
      <c r="J100" s="29"/>
      <c r="K100" s="28"/>
      <c r="L100" s="34" t="str">
        <f aca="false">IF($F100="","",IFERROR(INDEX(Settings!$B$18:$B$27,MATCH($F100,Settings!$A$18:$A$27,0)),""))</f>
        <v/>
      </c>
      <c r="M100" s="34" t="str">
        <f aca="false">IF($A100="","",SUMIFS(Finance!$E$4:$E$1003,Finance!$B$4:$B$1003,$A100,Finance!$J$4:$J$1003,"Paid"))</f>
        <v/>
      </c>
      <c r="N100" s="34" t="str">
        <f aca="false">IF($A100="","",IFERROR($L100-$M100,""))</f>
        <v/>
      </c>
      <c r="O100" s="35" t="str">
        <f aca="false">IF($A100="","",IFERROR($M100/$L100,""))</f>
        <v/>
      </c>
      <c r="P100" s="33" t="str">
        <f aca="false">IFERROR(INDEX('Process Tracking'!$E$5:$E$1003,MATCH($A100,'Process Tracking'!$A$5:$A$1003,0)),"")</f>
        <v/>
      </c>
      <c r="Q100" s="35" t="str">
        <f aca="false">IFERROR(INDEX(Documents!$Q$4:$Q$1003,MATCH($A100,Documents!$A$4:$A$1003,0)),"")</f>
        <v/>
      </c>
      <c r="R100" s="27"/>
      <c r="S100" s="31" t="str">
        <f aca="false">IFERROR(INDEX('Lead Management'!$O$4:$O$1003,MATCH($B100,'Lead Management'!$A$4:$A$1003,0)),"")</f>
        <v/>
      </c>
      <c r="T100" s="36" t="str">
        <f aca="false">IFERROR(INDEX('Lead Management'!$P$4:$P$1003,MATCH($B100,'Lead Management'!$A$4:$A$1003,0)),"")</f>
        <v/>
      </c>
      <c r="U100" s="32"/>
    </row>
    <row r="101" customFormat="false" ht="15.75" hidden="false" customHeight="true" outlineLevel="0" collapsed="false">
      <c r="A101" s="27"/>
      <c r="B101" s="27"/>
      <c r="C101" s="33" t="str">
        <f aca="false">IFERROR(INDEX('Lead Management'!$B$4:$B$1003,MATCH($B101,'Lead Management'!$A$4:$A$1003,0)),"")</f>
        <v/>
      </c>
      <c r="D101" s="33" t="str">
        <f aca="false">IFERROR(INDEX('Lead Management'!$C$4:$C$1003,MATCH($B101,'Lead Management'!$A$4:$A$1003,0)),"")</f>
        <v/>
      </c>
      <c r="E101" s="33" t="str">
        <f aca="false">IFERROR(INDEX('Lead Management'!$F$4:$F$1003,MATCH($B101,'Lead Management'!$A$4:$A$1003,0)),"")</f>
        <v/>
      </c>
      <c r="F101" s="27"/>
      <c r="G101" s="28"/>
      <c r="H101" s="28"/>
      <c r="I101" s="27"/>
      <c r="J101" s="29"/>
      <c r="K101" s="28"/>
      <c r="L101" s="34" t="str">
        <f aca="false">IF($F101="","",IFERROR(INDEX(Settings!$B$18:$B$27,MATCH($F101,Settings!$A$18:$A$27,0)),""))</f>
        <v/>
      </c>
      <c r="M101" s="34" t="str">
        <f aca="false">IF($A101="","",SUMIFS(Finance!$E$4:$E$1003,Finance!$B$4:$B$1003,$A101,Finance!$J$4:$J$1003,"Paid"))</f>
        <v/>
      </c>
      <c r="N101" s="34" t="str">
        <f aca="false">IF($A101="","",IFERROR($L101-$M101,""))</f>
        <v/>
      </c>
      <c r="O101" s="35" t="str">
        <f aca="false">IF($A101="","",IFERROR($M101/$L101,""))</f>
        <v/>
      </c>
      <c r="P101" s="33" t="str">
        <f aca="false">IFERROR(INDEX('Process Tracking'!$E$5:$E$1003,MATCH($A101,'Process Tracking'!$A$5:$A$1003,0)),"")</f>
        <v/>
      </c>
      <c r="Q101" s="35" t="str">
        <f aca="false">IFERROR(INDEX(Documents!$Q$4:$Q$1003,MATCH($A101,Documents!$A$4:$A$1003,0)),"")</f>
        <v/>
      </c>
      <c r="R101" s="27"/>
      <c r="S101" s="31" t="str">
        <f aca="false">IFERROR(INDEX('Lead Management'!$O$4:$O$1003,MATCH($B101,'Lead Management'!$A$4:$A$1003,0)),"")</f>
        <v/>
      </c>
      <c r="T101" s="36" t="str">
        <f aca="false">IFERROR(INDEX('Lead Management'!$P$4:$P$1003,MATCH($B101,'Lead Management'!$A$4:$A$1003,0)),"")</f>
        <v/>
      </c>
      <c r="U101" s="32"/>
    </row>
    <row r="102" customFormat="false" ht="15.75" hidden="false" customHeight="true" outlineLevel="0" collapsed="false">
      <c r="A102" s="27"/>
      <c r="B102" s="27"/>
      <c r="C102" s="33" t="str">
        <f aca="false">IFERROR(INDEX('Lead Management'!$B$4:$B$1003,MATCH($B102,'Lead Management'!$A$4:$A$1003,0)),"")</f>
        <v/>
      </c>
      <c r="D102" s="33" t="str">
        <f aca="false">IFERROR(INDEX('Lead Management'!$C$4:$C$1003,MATCH($B102,'Lead Management'!$A$4:$A$1003,0)),"")</f>
        <v/>
      </c>
      <c r="E102" s="33" t="str">
        <f aca="false">IFERROR(INDEX('Lead Management'!$F$4:$F$1003,MATCH($B102,'Lead Management'!$A$4:$A$1003,0)),"")</f>
        <v/>
      </c>
      <c r="F102" s="27"/>
      <c r="G102" s="28"/>
      <c r="H102" s="28"/>
      <c r="I102" s="27"/>
      <c r="J102" s="29"/>
      <c r="K102" s="28"/>
      <c r="L102" s="34" t="str">
        <f aca="false">IF($F102="","",IFERROR(INDEX(Settings!$B$18:$B$27,MATCH($F102,Settings!$A$18:$A$27,0)),""))</f>
        <v/>
      </c>
      <c r="M102" s="34" t="str">
        <f aca="false">IF($A102="","",SUMIFS(Finance!$E$4:$E$1003,Finance!$B$4:$B$1003,$A102,Finance!$J$4:$J$1003,"Paid"))</f>
        <v/>
      </c>
      <c r="N102" s="34" t="str">
        <f aca="false">IF($A102="","",IFERROR($L102-$M102,""))</f>
        <v/>
      </c>
      <c r="O102" s="35" t="str">
        <f aca="false">IF($A102="","",IFERROR($M102/$L102,""))</f>
        <v/>
      </c>
      <c r="P102" s="33" t="str">
        <f aca="false">IFERROR(INDEX('Process Tracking'!$E$5:$E$1003,MATCH($A102,'Process Tracking'!$A$5:$A$1003,0)),"")</f>
        <v/>
      </c>
      <c r="Q102" s="35" t="str">
        <f aca="false">IFERROR(INDEX(Documents!$Q$4:$Q$1003,MATCH($A102,Documents!$A$4:$A$1003,0)),"")</f>
        <v/>
      </c>
      <c r="R102" s="27"/>
      <c r="S102" s="31" t="str">
        <f aca="false">IFERROR(INDEX('Lead Management'!$O$4:$O$1003,MATCH($B102,'Lead Management'!$A$4:$A$1003,0)),"")</f>
        <v/>
      </c>
      <c r="T102" s="36" t="str">
        <f aca="false">IFERROR(INDEX('Lead Management'!$P$4:$P$1003,MATCH($B102,'Lead Management'!$A$4:$A$1003,0)),"")</f>
        <v/>
      </c>
      <c r="U102" s="32"/>
    </row>
    <row r="103" customFormat="false" ht="15.75" hidden="false" customHeight="true" outlineLevel="0" collapsed="false">
      <c r="A103" s="27"/>
      <c r="B103" s="27"/>
      <c r="C103" s="33" t="str">
        <f aca="false">IFERROR(INDEX('Lead Management'!$B$4:$B$1003,MATCH($B103,'Lead Management'!$A$4:$A$1003,0)),"")</f>
        <v/>
      </c>
      <c r="D103" s="33" t="str">
        <f aca="false">IFERROR(INDEX('Lead Management'!$C$4:$C$1003,MATCH($B103,'Lead Management'!$A$4:$A$1003,0)),"")</f>
        <v/>
      </c>
      <c r="E103" s="33" t="str">
        <f aca="false">IFERROR(INDEX('Lead Management'!$F$4:$F$1003,MATCH($B103,'Lead Management'!$A$4:$A$1003,0)),"")</f>
        <v/>
      </c>
      <c r="F103" s="27"/>
      <c r="G103" s="28"/>
      <c r="H103" s="28"/>
      <c r="I103" s="27"/>
      <c r="J103" s="29"/>
      <c r="K103" s="28"/>
      <c r="L103" s="34" t="str">
        <f aca="false">IF($F103="","",IFERROR(INDEX(Settings!$B$18:$B$27,MATCH($F103,Settings!$A$18:$A$27,0)),""))</f>
        <v/>
      </c>
      <c r="M103" s="34" t="str">
        <f aca="false">IF($A103="","",SUMIFS(Finance!$E$4:$E$1003,Finance!$B$4:$B$1003,$A103,Finance!$J$4:$J$1003,"Paid"))</f>
        <v/>
      </c>
      <c r="N103" s="34" t="str">
        <f aca="false">IF($A103="","",IFERROR($L103-$M103,""))</f>
        <v/>
      </c>
      <c r="O103" s="35" t="str">
        <f aca="false">IF($A103="","",IFERROR($M103/$L103,""))</f>
        <v/>
      </c>
      <c r="P103" s="33" t="str">
        <f aca="false">IFERROR(INDEX('Process Tracking'!$E$5:$E$1003,MATCH($A103,'Process Tracking'!$A$5:$A$1003,0)),"")</f>
        <v/>
      </c>
      <c r="Q103" s="35" t="str">
        <f aca="false">IFERROR(INDEX(Documents!$Q$4:$Q$1003,MATCH($A103,Documents!$A$4:$A$1003,0)),"")</f>
        <v/>
      </c>
      <c r="R103" s="27"/>
      <c r="S103" s="31" t="str">
        <f aca="false">IFERROR(INDEX('Lead Management'!$O$4:$O$1003,MATCH($B103,'Lead Management'!$A$4:$A$1003,0)),"")</f>
        <v/>
      </c>
      <c r="T103" s="36" t="str">
        <f aca="false">IFERROR(INDEX('Lead Management'!$P$4:$P$1003,MATCH($B103,'Lead Management'!$A$4:$A$1003,0)),"")</f>
        <v/>
      </c>
      <c r="U103" s="32"/>
    </row>
    <row r="104" customFormat="false" ht="15.75" hidden="false" customHeight="true" outlineLevel="0" collapsed="false">
      <c r="A104" s="27"/>
      <c r="B104" s="27"/>
      <c r="C104" s="33" t="str">
        <f aca="false">IFERROR(INDEX('Lead Management'!$B$4:$B$1003,MATCH($B104,'Lead Management'!$A$4:$A$1003,0)),"")</f>
        <v/>
      </c>
      <c r="D104" s="33" t="str">
        <f aca="false">IFERROR(INDEX('Lead Management'!$C$4:$C$1003,MATCH($B104,'Lead Management'!$A$4:$A$1003,0)),"")</f>
        <v/>
      </c>
      <c r="E104" s="33" t="str">
        <f aca="false">IFERROR(INDEX('Lead Management'!$F$4:$F$1003,MATCH($B104,'Lead Management'!$A$4:$A$1003,0)),"")</f>
        <v/>
      </c>
      <c r="F104" s="27"/>
      <c r="G104" s="28"/>
      <c r="H104" s="28"/>
      <c r="I104" s="27"/>
      <c r="J104" s="29"/>
      <c r="K104" s="28"/>
      <c r="L104" s="34" t="str">
        <f aca="false">IF($F104="","",IFERROR(INDEX(Settings!$B$18:$B$27,MATCH($F104,Settings!$A$18:$A$27,0)),""))</f>
        <v/>
      </c>
      <c r="M104" s="34" t="str">
        <f aca="false">IF($A104="","",SUMIFS(Finance!$E$4:$E$1003,Finance!$B$4:$B$1003,$A104,Finance!$J$4:$J$1003,"Paid"))</f>
        <v/>
      </c>
      <c r="N104" s="34" t="str">
        <f aca="false">IF($A104="","",IFERROR($L104-$M104,""))</f>
        <v/>
      </c>
      <c r="O104" s="35" t="str">
        <f aca="false">IF($A104="","",IFERROR($M104/$L104,""))</f>
        <v/>
      </c>
      <c r="P104" s="33" t="str">
        <f aca="false">IFERROR(INDEX('Process Tracking'!$E$5:$E$1003,MATCH($A104,'Process Tracking'!$A$5:$A$1003,0)),"")</f>
        <v/>
      </c>
      <c r="Q104" s="35" t="str">
        <f aca="false">IFERROR(INDEX(Documents!$Q$4:$Q$1003,MATCH($A104,Documents!$A$4:$A$1003,0)),"")</f>
        <v/>
      </c>
      <c r="R104" s="27"/>
      <c r="S104" s="31" t="str">
        <f aca="false">IFERROR(INDEX('Lead Management'!$O$4:$O$1003,MATCH($B104,'Lead Management'!$A$4:$A$1003,0)),"")</f>
        <v/>
      </c>
      <c r="T104" s="36" t="str">
        <f aca="false">IFERROR(INDEX('Lead Management'!$P$4:$P$1003,MATCH($B104,'Lead Management'!$A$4:$A$1003,0)),"")</f>
        <v/>
      </c>
      <c r="U104" s="32"/>
    </row>
    <row r="105" customFormat="false" ht="15.75" hidden="false" customHeight="true" outlineLevel="0" collapsed="false">
      <c r="A105" s="27"/>
      <c r="B105" s="27"/>
      <c r="C105" s="33" t="str">
        <f aca="false">IFERROR(INDEX('Lead Management'!$B$4:$B$1003,MATCH($B105,'Lead Management'!$A$4:$A$1003,0)),"")</f>
        <v/>
      </c>
      <c r="D105" s="33" t="str">
        <f aca="false">IFERROR(INDEX('Lead Management'!$C$4:$C$1003,MATCH($B105,'Lead Management'!$A$4:$A$1003,0)),"")</f>
        <v/>
      </c>
      <c r="E105" s="33" t="str">
        <f aca="false">IFERROR(INDEX('Lead Management'!$F$4:$F$1003,MATCH($B105,'Lead Management'!$A$4:$A$1003,0)),"")</f>
        <v/>
      </c>
      <c r="F105" s="27"/>
      <c r="G105" s="28"/>
      <c r="H105" s="28"/>
      <c r="I105" s="27"/>
      <c r="J105" s="29"/>
      <c r="K105" s="28"/>
      <c r="L105" s="34" t="str">
        <f aca="false">IF($F105="","",IFERROR(INDEX(Settings!$B$18:$B$27,MATCH($F105,Settings!$A$18:$A$27,0)),""))</f>
        <v/>
      </c>
      <c r="M105" s="34" t="str">
        <f aca="false">IF($A105="","",SUMIFS(Finance!$E$4:$E$1003,Finance!$B$4:$B$1003,$A105,Finance!$J$4:$J$1003,"Paid"))</f>
        <v/>
      </c>
      <c r="N105" s="34" t="str">
        <f aca="false">IF($A105="","",IFERROR($L105-$M105,""))</f>
        <v/>
      </c>
      <c r="O105" s="35" t="str">
        <f aca="false">IF($A105="","",IFERROR($M105/$L105,""))</f>
        <v/>
      </c>
      <c r="P105" s="33" t="str">
        <f aca="false">IFERROR(INDEX('Process Tracking'!$E$5:$E$1003,MATCH($A105,'Process Tracking'!$A$5:$A$1003,0)),"")</f>
        <v/>
      </c>
      <c r="Q105" s="35" t="str">
        <f aca="false">IFERROR(INDEX(Documents!$Q$4:$Q$1003,MATCH($A105,Documents!$A$4:$A$1003,0)),"")</f>
        <v/>
      </c>
      <c r="R105" s="27"/>
      <c r="S105" s="31" t="str">
        <f aca="false">IFERROR(INDEX('Lead Management'!$O$4:$O$1003,MATCH($B105,'Lead Management'!$A$4:$A$1003,0)),"")</f>
        <v/>
      </c>
      <c r="T105" s="36" t="str">
        <f aca="false">IFERROR(INDEX('Lead Management'!$P$4:$P$1003,MATCH($B105,'Lead Management'!$A$4:$A$1003,0)),"")</f>
        <v/>
      </c>
      <c r="U105" s="32"/>
    </row>
    <row r="106" customFormat="false" ht="15.75" hidden="false" customHeight="true" outlineLevel="0" collapsed="false">
      <c r="A106" s="27"/>
      <c r="B106" s="27"/>
      <c r="C106" s="33" t="str">
        <f aca="false">IFERROR(INDEX('Lead Management'!$B$4:$B$1003,MATCH($B106,'Lead Management'!$A$4:$A$1003,0)),"")</f>
        <v/>
      </c>
      <c r="D106" s="33" t="str">
        <f aca="false">IFERROR(INDEX('Lead Management'!$C$4:$C$1003,MATCH($B106,'Lead Management'!$A$4:$A$1003,0)),"")</f>
        <v/>
      </c>
      <c r="E106" s="33" t="str">
        <f aca="false">IFERROR(INDEX('Lead Management'!$F$4:$F$1003,MATCH($B106,'Lead Management'!$A$4:$A$1003,0)),"")</f>
        <v/>
      </c>
      <c r="F106" s="27"/>
      <c r="G106" s="28"/>
      <c r="H106" s="28"/>
      <c r="I106" s="27"/>
      <c r="J106" s="29"/>
      <c r="K106" s="28"/>
      <c r="L106" s="34" t="str">
        <f aca="false">IF($F106="","",IFERROR(INDEX(Settings!$B$18:$B$27,MATCH($F106,Settings!$A$18:$A$27,0)),""))</f>
        <v/>
      </c>
      <c r="M106" s="34" t="str">
        <f aca="false">IF($A106="","",SUMIFS(Finance!$E$4:$E$1003,Finance!$B$4:$B$1003,$A106,Finance!$J$4:$J$1003,"Paid"))</f>
        <v/>
      </c>
      <c r="N106" s="34" t="str">
        <f aca="false">IF($A106="","",IFERROR($L106-$M106,""))</f>
        <v/>
      </c>
      <c r="O106" s="35" t="str">
        <f aca="false">IF($A106="","",IFERROR($M106/$L106,""))</f>
        <v/>
      </c>
      <c r="P106" s="33" t="str">
        <f aca="false">IFERROR(INDEX('Process Tracking'!$E$5:$E$1003,MATCH($A106,'Process Tracking'!$A$5:$A$1003,0)),"")</f>
        <v/>
      </c>
      <c r="Q106" s="35" t="str">
        <f aca="false">IFERROR(INDEX(Documents!$Q$4:$Q$1003,MATCH($A106,Documents!$A$4:$A$1003,0)),"")</f>
        <v/>
      </c>
      <c r="R106" s="27"/>
      <c r="S106" s="31" t="str">
        <f aca="false">IFERROR(INDEX('Lead Management'!$O$4:$O$1003,MATCH($B106,'Lead Management'!$A$4:$A$1003,0)),"")</f>
        <v/>
      </c>
      <c r="T106" s="36" t="str">
        <f aca="false">IFERROR(INDEX('Lead Management'!$P$4:$P$1003,MATCH($B106,'Lead Management'!$A$4:$A$1003,0)),"")</f>
        <v/>
      </c>
      <c r="U106" s="32"/>
    </row>
    <row r="107" customFormat="false" ht="15.75" hidden="false" customHeight="true" outlineLevel="0" collapsed="false">
      <c r="A107" s="27"/>
      <c r="B107" s="27"/>
      <c r="C107" s="33" t="str">
        <f aca="false">IFERROR(INDEX('Lead Management'!$B$4:$B$1003,MATCH($B107,'Lead Management'!$A$4:$A$1003,0)),"")</f>
        <v/>
      </c>
      <c r="D107" s="33" t="str">
        <f aca="false">IFERROR(INDEX('Lead Management'!$C$4:$C$1003,MATCH($B107,'Lead Management'!$A$4:$A$1003,0)),"")</f>
        <v/>
      </c>
      <c r="E107" s="33" t="str">
        <f aca="false">IFERROR(INDEX('Lead Management'!$F$4:$F$1003,MATCH($B107,'Lead Management'!$A$4:$A$1003,0)),"")</f>
        <v/>
      </c>
      <c r="F107" s="27"/>
      <c r="G107" s="28"/>
      <c r="H107" s="28"/>
      <c r="I107" s="27"/>
      <c r="J107" s="29"/>
      <c r="K107" s="28"/>
      <c r="L107" s="34" t="str">
        <f aca="false">IF($F107="","",IFERROR(INDEX(Settings!$B$18:$B$27,MATCH($F107,Settings!$A$18:$A$27,0)),""))</f>
        <v/>
      </c>
      <c r="M107" s="34" t="str">
        <f aca="false">IF($A107="","",SUMIFS(Finance!$E$4:$E$1003,Finance!$B$4:$B$1003,$A107,Finance!$J$4:$J$1003,"Paid"))</f>
        <v/>
      </c>
      <c r="N107" s="34" t="str">
        <f aca="false">IF($A107="","",IFERROR($L107-$M107,""))</f>
        <v/>
      </c>
      <c r="O107" s="35" t="str">
        <f aca="false">IF($A107="","",IFERROR($M107/$L107,""))</f>
        <v/>
      </c>
      <c r="P107" s="33" t="str">
        <f aca="false">IFERROR(INDEX('Process Tracking'!$E$5:$E$1003,MATCH($A107,'Process Tracking'!$A$5:$A$1003,0)),"")</f>
        <v/>
      </c>
      <c r="Q107" s="35" t="str">
        <f aca="false">IFERROR(INDEX(Documents!$Q$4:$Q$1003,MATCH($A107,Documents!$A$4:$A$1003,0)),"")</f>
        <v/>
      </c>
      <c r="R107" s="27"/>
      <c r="S107" s="31" t="str">
        <f aca="false">IFERROR(INDEX('Lead Management'!$O$4:$O$1003,MATCH($B107,'Lead Management'!$A$4:$A$1003,0)),"")</f>
        <v/>
      </c>
      <c r="T107" s="36" t="str">
        <f aca="false">IFERROR(INDEX('Lead Management'!$P$4:$P$1003,MATCH($B107,'Lead Management'!$A$4:$A$1003,0)),"")</f>
        <v/>
      </c>
      <c r="U107" s="32"/>
    </row>
    <row r="108" customFormat="false" ht="15.75" hidden="false" customHeight="true" outlineLevel="0" collapsed="false">
      <c r="A108" s="27"/>
      <c r="B108" s="27"/>
      <c r="C108" s="33" t="str">
        <f aca="false">IFERROR(INDEX('Lead Management'!$B$4:$B$1003,MATCH($B108,'Lead Management'!$A$4:$A$1003,0)),"")</f>
        <v/>
      </c>
      <c r="D108" s="33" t="str">
        <f aca="false">IFERROR(INDEX('Lead Management'!$C$4:$C$1003,MATCH($B108,'Lead Management'!$A$4:$A$1003,0)),"")</f>
        <v/>
      </c>
      <c r="E108" s="33" t="str">
        <f aca="false">IFERROR(INDEX('Lead Management'!$F$4:$F$1003,MATCH($B108,'Lead Management'!$A$4:$A$1003,0)),"")</f>
        <v/>
      </c>
      <c r="F108" s="27"/>
      <c r="G108" s="28"/>
      <c r="H108" s="28"/>
      <c r="I108" s="27"/>
      <c r="J108" s="29"/>
      <c r="K108" s="28"/>
      <c r="L108" s="34" t="str">
        <f aca="false">IF($F108="","",IFERROR(INDEX(Settings!$B$18:$B$27,MATCH($F108,Settings!$A$18:$A$27,0)),""))</f>
        <v/>
      </c>
      <c r="M108" s="34" t="str">
        <f aca="false">IF($A108="","",SUMIFS(Finance!$E$4:$E$1003,Finance!$B$4:$B$1003,$A108,Finance!$J$4:$J$1003,"Paid"))</f>
        <v/>
      </c>
      <c r="N108" s="34" t="str">
        <f aca="false">IF($A108="","",IFERROR($L108-$M108,""))</f>
        <v/>
      </c>
      <c r="O108" s="35" t="str">
        <f aca="false">IF($A108="","",IFERROR($M108/$L108,""))</f>
        <v/>
      </c>
      <c r="P108" s="33" t="str">
        <f aca="false">IFERROR(INDEX('Process Tracking'!$E$5:$E$1003,MATCH($A108,'Process Tracking'!$A$5:$A$1003,0)),"")</f>
        <v/>
      </c>
      <c r="Q108" s="35" t="str">
        <f aca="false">IFERROR(INDEX(Documents!$Q$4:$Q$1003,MATCH($A108,Documents!$A$4:$A$1003,0)),"")</f>
        <v/>
      </c>
      <c r="R108" s="27"/>
      <c r="S108" s="31" t="str">
        <f aca="false">IFERROR(INDEX('Lead Management'!$O$4:$O$1003,MATCH($B108,'Lead Management'!$A$4:$A$1003,0)),"")</f>
        <v/>
      </c>
      <c r="T108" s="36" t="str">
        <f aca="false">IFERROR(INDEX('Lead Management'!$P$4:$P$1003,MATCH($B108,'Lead Management'!$A$4:$A$1003,0)),"")</f>
        <v/>
      </c>
      <c r="U108" s="32"/>
    </row>
    <row r="109" customFormat="false" ht="15.75" hidden="false" customHeight="true" outlineLevel="0" collapsed="false">
      <c r="A109" s="27"/>
      <c r="B109" s="27"/>
      <c r="C109" s="33" t="str">
        <f aca="false">IFERROR(INDEX('Lead Management'!$B$4:$B$1003,MATCH($B109,'Lead Management'!$A$4:$A$1003,0)),"")</f>
        <v/>
      </c>
      <c r="D109" s="33" t="str">
        <f aca="false">IFERROR(INDEX('Lead Management'!$C$4:$C$1003,MATCH($B109,'Lead Management'!$A$4:$A$1003,0)),"")</f>
        <v/>
      </c>
      <c r="E109" s="33" t="str">
        <f aca="false">IFERROR(INDEX('Lead Management'!$F$4:$F$1003,MATCH($B109,'Lead Management'!$A$4:$A$1003,0)),"")</f>
        <v/>
      </c>
      <c r="F109" s="27"/>
      <c r="G109" s="28"/>
      <c r="H109" s="28"/>
      <c r="I109" s="27"/>
      <c r="J109" s="29"/>
      <c r="K109" s="28"/>
      <c r="L109" s="34" t="str">
        <f aca="false">IF($F109="","",IFERROR(INDEX(Settings!$B$18:$B$27,MATCH($F109,Settings!$A$18:$A$27,0)),""))</f>
        <v/>
      </c>
      <c r="M109" s="34" t="str">
        <f aca="false">IF($A109="","",SUMIFS(Finance!$E$4:$E$1003,Finance!$B$4:$B$1003,$A109,Finance!$J$4:$J$1003,"Paid"))</f>
        <v/>
      </c>
      <c r="N109" s="34" t="str">
        <f aca="false">IF($A109="","",IFERROR($L109-$M109,""))</f>
        <v/>
      </c>
      <c r="O109" s="35" t="str">
        <f aca="false">IF($A109="","",IFERROR($M109/$L109,""))</f>
        <v/>
      </c>
      <c r="P109" s="33" t="str">
        <f aca="false">IFERROR(INDEX('Process Tracking'!$E$5:$E$1003,MATCH($A109,'Process Tracking'!$A$5:$A$1003,0)),"")</f>
        <v/>
      </c>
      <c r="Q109" s="35" t="str">
        <f aca="false">IFERROR(INDEX(Documents!$Q$4:$Q$1003,MATCH($A109,Documents!$A$4:$A$1003,0)),"")</f>
        <v/>
      </c>
      <c r="R109" s="27"/>
      <c r="S109" s="31" t="str">
        <f aca="false">IFERROR(INDEX('Lead Management'!$O$4:$O$1003,MATCH($B109,'Lead Management'!$A$4:$A$1003,0)),"")</f>
        <v/>
      </c>
      <c r="T109" s="36" t="str">
        <f aca="false">IFERROR(INDEX('Lead Management'!$P$4:$P$1003,MATCH($B109,'Lead Management'!$A$4:$A$1003,0)),"")</f>
        <v/>
      </c>
      <c r="U109" s="32"/>
    </row>
    <row r="110" customFormat="false" ht="15.75" hidden="false" customHeight="true" outlineLevel="0" collapsed="false">
      <c r="A110" s="27"/>
      <c r="B110" s="27"/>
      <c r="C110" s="33" t="str">
        <f aca="false">IFERROR(INDEX('Lead Management'!$B$4:$B$1003,MATCH($B110,'Lead Management'!$A$4:$A$1003,0)),"")</f>
        <v/>
      </c>
      <c r="D110" s="33" t="str">
        <f aca="false">IFERROR(INDEX('Lead Management'!$C$4:$C$1003,MATCH($B110,'Lead Management'!$A$4:$A$1003,0)),"")</f>
        <v/>
      </c>
      <c r="E110" s="33" t="str">
        <f aca="false">IFERROR(INDEX('Lead Management'!$F$4:$F$1003,MATCH($B110,'Lead Management'!$A$4:$A$1003,0)),"")</f>
        <v/>
      </c>
      <c r="F110" s="27"/>
      <c r="G110" s="28"/>
      <c r="H110" s="28"/>
      <c r="I110" s="27"/>
      <c r="J110" s="29"/>
      <c r="K110" s="28"/>
      <c r="L110" s="34" t="str">
        <f aca="false">IF($F110="","",IFERROR(INDEX(Settings!$B$18:$B$27,MATCH($F110,Settings!$A$18:$A$27,0)),""))</f>
        <v/>
      </c>
      <c r="M110" s="34" t="str">
        <f aca="false">IF($A110="","",SUMIFS(Finance!$E$4:$E$1003,Finance!$B$4:$B$1003,$A110,Finance!$J$4:$J$1003,"Paid"))</f>
        <v/>
      </c>
      <c r="N110" s="34" t="str">
        <f aca="false">IF($A110="","",IFERROR($L110-$M110,""))</f>
        <v/>
      </c>
      <c r="O110" s="35" t="str">
        <f aca="false">IF($A110="","",IFERROR($M110/$L110,""))</f>
        <v/>
      </c>
      <c r="P110" s="33" t="str">
        <f aca="false">IFERROR(INDEX('Process Tracking'!$E$5:$E$1003,MATCH($A110,'Process Tracking'!$A$5:$A$1003,0)),"")</f>
        <v/>
      </c>
      <c r="Q110" s="35" t="str">
        <f aca="false">IFERROR(INDEX(Documents!$Q$4:$Q$1003,MATCH($A110,Documents!$A$4:$A$1003,0)),"")</f>
        <v/>
      </c>
      <c r="R110" s="27"/>
      <c r="S110" s="31" t="str">
        <f aca="false">IFERROR(INDEX('Lead Management'!$O$4:$O$1003,MATCH($B110,'Lead Management'!$A$4:$A$1003,0)),"")</f>
        <v/>
      </c>
      <c r="T110" s="36" t="str">
        <f aca="false">IFERROR(INDEX('Lead Management'!$P$4:$P$1003,MATCH($B110,'Lead Management'!$A$4:$A$1003,0)),"")</f>
        <v/>
      </c>
      <c r="U110" s="32"/>
    </row>
    <row r="111" customFormat="false" ht="15.75" hidden="false" customHeight="true" outlineLevel="0" collapsed="false">
      <c r="A111" s="27"/>
      <c r="B111" s="27"/>
      <c r="C111" s="33" t="str">
        <f aca="false">IFERROR(INDEX('Lead Management'!$B$4:$B$1003,MATCH($B111,'Lead Management'!$A$4:$A$1003,0)),"")</f>
        <v/>
      </c>
      <c r="D111" s="33" t="str">
        <f aca="false">IFERROR(INDEX('Lead Management'!$C$4:$C$1003,MATCH($B111,'Lead Management'!$A$4:$A$1003,0)),"")</f>
        <v/>
      </c>
      <c r="E111" s="33" t="str">
        <f aca="false">IFERROR(INDEX('Lead Management'!$F$4:$F$1003,MATCH($B111,'Lead Management'!$A$4:$A$1003,0)),"")</f>
        <v/>
      </c>
      <c r="F111" s="27"/>
      <c r="G111" s="28"/>
      <c r="H111" s="28"/>
      <c r="I111" s="27"/>
      <c r="J111" s="29"/>
      <c r="K111" s="28"/>
      <c r="L111" s="34" t="str">
        <f aca="false">IF($F111="","",IFERROR(INDEX(Settings!$B$18:$B$27,MATCH($F111,Settings!$A$18:$A$27,0)),""))</f>
        <v/>
      </c>
      <c r="M111" s="34" t="str">
        <f aca="false">IF($A111="","",SUMIFS(Finance!$E$4:$E$1003,Finance!$B$4:$B$1003,$A111,Finance!$J$4:$J$1003,"Paid"))</f>
        <v/>
      </c>
      <c r="N111" s="34" t="str">
        <f aca="false">IF($A111="","",IFERROR($L111-$M111,""))</f>
        <v/>
      </c>
      <c r="O111" s="35" t="str">
        <f aca="false">IF($A111="","",IFERROR($M111/$L111,""))</f>
        <v/>
      </c>
      <c r="P111" s="33" t="str">
        <f aca="false">IFERROR(INDEX('Process Tracking'!$E$5:$E$1003,MATCH($A111,'Process Tracking'!$A$5:$A$1003,0)),"")</f>
        <v/>
      </c>
      <c r="Q111" s="35" t="str">
        <f aca="false">IFERROR(INDEX(Documents!$Q$4:$Q$1003,MATCH($A111,Documents!$A$4:$A$1003,0)),"")</f>
        <v/>
      </c>
      <c r="R111" s="27"/>
      <c r="S111" s="31" t="str">
        <f aca="false">IFERROR(INDEX('Lead Management'!$O$4:$O$1003,MATCH($B111,'Lead Management'!$A$4:$A$1003,0)),"")</f>
        <v/>
      </c>
      <c r="T111" s="36" t="str">
        <f aca="false">IFERROR(INDEX('Lead Management'!$P$4:$P$1003,MATCH($B111,'Lead Management'!$A$4:$A$1003,0)),"")</f>
        <v/>
      </c>
      <c r="U111" s="32"/>
    </row>
    <row r="112" customFormat="false" ht="15.75" hidden="false" customHeight="true" outlineLevel="0" collapsed="false">
      <c r="A112" s="27"/>
      <c r="B112" s="27"/>
      <c r="C112" s="33" t="str">
        <f aca="false">IFERROR(INDEX('Lead Management'!$B$4:$B$1003,MATCH($B112,'Lead Management'!$A$4:$A$1003,0)),"")</f>
        <v/>
      </c>
      <c r="D112" s="33" t="str">
        <f aca="false">IFERROR(INDEX('Lead Management'!$C$4:$C$1003,MATCH($B112,'Lead Management'!$A$4:$A$1003,0)),"")</f>
        <v/>
      </c>
      <c r="E112" s="33" t="str">
        <f aca="false">IFERROR(INDEX('Lead Management'!$F$4:$F$1003,MATCH($B112,'Lead Management'!$A$4:$A$1003,0)),"")</f>
        <v/>
      </c>
      <c r="F112" s="27"/>
      <c r="G112" s="28"/>
      <c r="H112" s="28"/>
      <c r="I112" s="27"/>
      <c r="J112" s="29"/>
      <c r="K112" s="28"/>
      <c r="L112" s="34" t="str">
        <f aca="false">IF($F112="","",IFERROR(INDEX(Settings!$B$18:$B$27,MATCH($F112,Settings!$A$18:$A$27,0)),""))</f>
        <v/>
      </c>
      <c r="M112" s="34" t="str">
        <f aca="false">IF($A112="","",SUMIFS(Finance!$E$4:$E$1003,Finance!$B$4:$B$1003,$A112,Finance!$J$4:$J$1003,"Paid"))</f>
        <v/>
      </c>
      <c r="N112" s="34" t="str">
        <f aca="false">IF($A112="","",IFERROR($L112-$M112,""))</f>
        <v/>
      </c>
      <c r="O112" s="35" t="str">
        <f aca="false">IF($A112="","",IFERROR($M112/$L112,""))</f>
        <v/>
      </c>
      <c r="P112" s="33" t="str">
        <f aca="false">IFERROR(INDEX('Process Tracking'!$E$5:$E$1003,MATCH($A112,'Process Tracking'!$A$5:$A$1003,0)),"")</f>
        <v/>
      </c>
      <c r="Q112" s="35" t="str">
        <f aca="false">IFERROR(INDEX(Documents!$Q$4:$Q$1003,MATCH($A112,Documents!$A$4:$A$1003,0)),"")</f>
        <v/>
      </c>
      <c r="R112" s="27"/>
      <c r="S112" s="31" t="str">
        <f aca="false">IFERROR(INDEX('Lead Management'!$O$4:$O$1003,MATCH($B112,'Lead Management'!$A$4:$A$1003,0)),"")</f>
        <v/>
      </c>
      <c r="T112" s="36" t="str">
        <f aca="false">IFERROR(INDEX('Lead Management'!$P$4:$P$1003,MATCH($B112,'Lead Management'!$A$4:$A$1003,0)),"")</f>
        <v/>
      </c>
      <c r="U112" s="32"/>
    </row>
    <row r="113" customFormat="false" ht="15.75" hidden="false" customHeight="true" outlineLevel="0" collapsed="false">
      <c r="A113" s="27"/>
      <c r="B113" s="27"/>
      <c r="C113" s="33" t="str">
        <f aca="false">IFERROR(INDEX('Lead Management'!$B$4:$B$1003,MATCH($B113,'Lead Management'!$A$4:$A$1003,0)),"")</f>
        <v/>
      </c>
      <c r="D113" s="33" t="str">
        <f aca="false">IFERROR(INDEX('Lead Management'!$C$4:$C$1003,MATCH($B113,'Lead Management'!$A$4:$A$1003,0)),"")</f>
        <v/>
      </c>
      <c r="E113" s="33" t="str">
        <f aca="false">IFERROR(INDEX('Lead Management'!$F$4:$F$1003,MATCH($B113,'Lead Management'!$A$4:$A$1003,0)),"")</f>
        <v/>
      </c>
      <c r="F113" s="27"/>
      <c r="G113" s="28"/>
      <c r="H113" s="28"/>
      <c r="I113" s="27"/>
      <c r="J113" s="29"/>
      <c r="K113" s="28"/>
      <c r="L113" s="34" t="str">
        <f aca="false">IF($F113="","",IFERROR(INDEX(Settings!$B$18:$B$27,MATCH($F113,Settings!$A$18:$A$27,0)),""))</f>
        <v/>
      </c>
      <c r="M113" s="34" t="str">
        <f aca="false">IF($A113="","",SUMIFS(Finance!$E$4:$E$1003,Finance!$B$4:$B$1003,$A113,Finance!$J$4:$J$1003,"Paid"))</f>
        <v/>
      </c>
      <c r="N113" s="34" t="str">
        <f aca="false">IF($A113="","",IFERROR($L113-$M113,""))</f>
        <v/>
      </c>
      <c r="O113" s="35" t="str">
        <f aca="false">IF($A113="","",IFERROR($M113/$L113,""))</f>
        <v/>
      </c>
      <c r="P113" s="33" t="str">
        <f aca="false">IFERROR(INDEX('Process Tracking'!$E$5:$E$1003,MATCH($A113,'Process Tracking'!$A$5:$A$1003,0)),"")</f>
        <v/>
      </c>
      <c r="Q113" s="35" t="str">
        <f aca="false">IFERROR(INDEX(Documents!$Q$4:$Q$1003,MATCH($A113,Documents!$A$4:$A$1003,0)),"")</f>
        <v/>
      </c>
      <c r="R113" s="27"/>
      <c r="S113" s="31" t="str">
        <f aca="false">IFERROR(INDEX('Lead Management'!$O$4:$O$1003,MATCH($B113,'Lead Management'!$A$4:$A$1003,0)),"")</f>
        <v/>
      </c>
      <c r="T113" s="36" t="str">
        <f aca="false">IFERROR(INDEX('Lead Management'!$P$4:$P$1003,MATCH($B113,'Lead Management'!$A$4:$A$1003,0)),"")</f>
        <v/>
      </c>
      <c r="U113" s="32"/>
    </row>
    <row r="114" customFormat="false" ht="15.75" hidden="false" customHeight="true" outlineLevel="0" collapsed="false">
      <c r="A114" s="27"/>
      <c r="B114" s="27"/>
      <c r="C114" s="33" t="str">
        <f aca="false">IFERROR(INDEX('Lead Management'!$B$4:$B$1003,MATCH($B114,'Lead Management'!$A$4:$A$1003,0)),"")</f>
        <v/>
      </c>
      <c r="D114" s="33" t="str">
        <f aca="false">IFERROR(INDEX('Lead Management'!$C$4:$C$1003,MATCH($B114,'Lead Management'!$A$4:$A$1003,0)),"")</f>
        <v/>
      </c>
      <c r="E114" s="33" t="str">
        <f aca="false">IFERROR(INDEX('Lead Management'!$F$4:$F$1003,MATCH($B114,'Lead Management'!$A$4:$A$1003,0)),"")</f>
        <v/>
      </c>
      <c r="F114" s="27"/>
      <c r="G114" s="28"/>
      <c r="H114" s="28"/>
      <c r="I114" s="27"/>
      <c r="J114" s="29"/>
      <c r="K114" s="28"/>
      <c r="L114" s="34" t="str">
        <f aca="false">IF($F114="","",IFERROR(INDEX(Settings!$B$18:$B$27,MATCH($F114,Settings!$A$18:$A$27,0)),""))</f>
        <v/>
      </c>
      <c r="M114" s="34" t="str">
        <f aca="false">IF($A114="","",SUMIFS(Finance!$E$4:$E$1003,Finance!$B$4:$B$1003,$A114,Finance!$J$4:$J$1003,"Paid"))</f>
        <v/>
      </c>
      <c r="N114" s="34" t="str">
        <f aca="false">IF($A114="","",IFERROR($L114-$M114,""))</f>
        <v/>
      </c>
      <c r="O114" s="35" t="str">
        <f aca="false">IF($A114="","",IFERROR($M114/$L114,""))</f>
        <v/>
      </c>
      <c r="P114" s="33" t="str">
        <f aca="false">IFERROR(INDEX('Process Tracking'!$E$5:$E$1003,MATCH($A114,'Process Tracking'!$A$5:$A$1003,0)),"")</f>
        <v/>
      </c>
      <c r="Q114" s="35" t="str">
        <f aca="false">IFERROR(INDEX(Documents!$Q$4:$Q$1003,MATCH($A114,Documents!$A$4:$A$1003,0)),"")</f>
        <v/>
      </c>
      <c r="R114" s="27"/>
      <c r="S114" s="31" t="str">
        <f aca="false">IFERROR(INDEX('Lead Management'!$O$4:$O$1003,MATCH($B114,'Lead Management'!$A$4:$A$1003,0)),"")</f>
        <v/>
      </c>
      <c r="T114" s="36" t="str">
        <f aca="false">IFERROR(INDEX('Lead Management'!$P$4:$P$1003,MATCH($B114,'Lead Management'!$A$4:$A$1003,0)),"")</f>
        <v/>
      </c>
      <c r="U114" s="32"/>
    </row>
    <row r="115" customFormat="false" ht="15.75" hidden="false" customHeight="true" outlineLevel="0" collapsed="false">
      <c r="A115" s="27"/>
      <c r="B115" s="27"/>
      <c r="C115" s="33" t="str">
        <f aca="false">IFERROR(INDEX('Lead Management'!$B$4:$B$1003,MATCH($B115,'Lead Management'!$A$4:$A$1003,0)),"")</f>
        <v/>
      </c>
      <c r="D115" s="33" t="str">
        <f aca="false">IFERROR(INDEX('Lead Management'!$C$4:$C$1003,MATCH($B115,'Lead Management'!$A$4:$A$1003,0)),"")</f>
        <v/>
      </c>
      <c r="E115" s="33" t="str">
        <f aca="false">IFERROR(INDEX('Lead Management'!$F$4:$F$1003,MATCH($B115,'Lead Management'!$A$4:$A$1003,0)),"")</f>
        <v/>
      </c>
      <c r="F115" s="27"/>
      <c r="G115" s="28"/>
      <c r="H115" s="28"/>
      <c r="I115" s="27"/>
      <c r="J115" s="29"/>
      <c r="K115" s="28"/>
      <c r="L115" s="34" t="str">
        <f aca="false">IF($F115="","",IFERROR(INDEX(Settings!$B$18:$B$27,MATCH($F115,Settings!$A$18:$A$27,0)),""))</f>
        <v/>
      </c>
      <c r="M115" s="34" t="str">
        <f aca="false">IF($A115="","",SUMIFS(Finance!$E$4:$E$1003,Finance!$B$4:$B$1003,$A115,Finance!$J$4:$J$1003,"Paid"))</f>
        <v/>
      </c>
      <c r="N115" s="34" t="str">
        <f aca="false">IF($A115="","",IFERROR($L115-$M115,""))</f>
        <v/>
      </c>
      <c r="O115" s="35" t="str">
        <f aca="false">IF($A115="","",IFERROR($M115/$L115,""))</f>
        <v/>
      </c>
      <c r="P115" s="33" t="str">
        <f aca="false">IFERROR(INDEX('Process Tracking'!$E$5:$E$1003,MATCH($A115,'Process Tracking'!$A$5:$A$1003,0)),"")</f>
        <v/>
      </c>
      <c r="Q115" s="35" t="str">
        <f aca="false">IFERROR(INDEX(Documents!$Q$4:$Q$1003,MATCH($A115,Documents!$A$4:$A$1003,0)),"")</f>
        <v/>
      </c>
      <c r="R115" s="27"/>
      <c r="S115" s="31" t="str">
        <f aca="false">IFERROR(INDEX('Lead Management'!$O$4:$O$1003,MATCH($B115,'Lead Management'!$A$4:$A$1003,0)),"")</f>
        <v/>
      </c>
      <c r="T115" s="36" t="str">
        <f aca="false">IFERROR(INDEX('Lead Management'!$P$4:$P$1003,MATCH($B115,'Lead Management'!$A$4:$A$1003,0)),"")</f>
        <v/>
      </c>
      <c r="U115" s="32"/>
    </row>
    <row r="116" customFormat="false" ht="15.75" hidden="false" customHeight="true" outlineLevel="0" collapsed="false">
      <c r="A116" s="27"/>
      <c r="B116" s="27"/>
      <c r="C116" s="33" t="str">
        <f aca="false">IFERROR(INDEX('Lead Management'!$B$4:$B$1003,MATCH($B116,'Lead Management'!$A$4:$A$1003,0)),"")</f>
        <v/>
      </c>
      <c r="D116" s="33" t="str">
        <f aca="false">IFERROR(INDEX('Lead Management'!$C$4:$C$1003,MATCH($B116,'Lead Management'!$A$4:$A$1003,0)),"")</f>
        <v/>
      </c>
      <c r="E116" s="33" t="str">
        <f aca="false">IFERROR(INDEX('Lead Management'!$F$4:$F$1003,MATCH($B116,'Lead Management'!$A$4:$A$1003,0)),"")</f>
        <v/>
      </c>
      <c r="F116" s="27"/>
      <c r="G116" s="28"/>
      <c r="H116" s="28"/>
      <c r="I116" s="27"/>
      <c r="J116" s="29"/>
      <c r="K116" s="28"/>
      <c r="L116" s="34" t="str">
        <f aca="false">IF($F116="","",IFERROR(INDEX(Settings!$B$18:$B$27,MATCH($F116,Settings!$A$18:$A$27,0)),""))</f>
        <v/>
      </c>
      <c r="M116" s="34" t="str">
        <f aca="false">IF($A116="","",SUMIFS(Finance!$E$4:$E$1003,Finance!$B$4:$B$1003,$A116,Finance!$J$4:$J$1003,"Paid"))</f>
        <v/>
      </c>
      <c r="N116" s="34" t="str">
        <f aca="false">IF($A116="","",IFERROR($L116-$M116,""))</f>
        <v/>
      </c>
      <c r="O116" s="35" t="str">
        <f aca="false">IF($A116="","",IFERROR($M116/$L116,""))</f>
        <v/>
      </c>
      <c r="P116" s="33" t="str">
        <f aca="false">IFERROR(INDEX('Process Tracking'!$E$5:$E$1003,MATCH($A116,'Process Tracking'!$A$5:$A$1003,0)),"")</f>
        <v/>
      </c>
      <c r="Q116" s="35" t="str">
        <f aca="false">IFERROR(INDEX(Documents!$Q$4:$Q$1003,MATCH($A116,Documents!$A$4:$A$1003,0)),"")</f>
        <v/>
      </c>
      <c r="R116" s="27"/>
      <c r="S116" s="31" t="str">
        <f aca="false">IFERROR(INDEX('Lead Management'!$O$4:$O$1003,MATCH($B116,'Lead Management'!$A$4:$A$1003,0)),"")</f>
        <v/>
      </c>
      <c r="T116" s="36" t="str">
        <f aca="false">IFERROR(INDEX('Lead Management'!$P$4:$P$1003,MATCH($B116,'Lead Management'!$A$4:$A$1003,0)),"")</f>
        <v/>
      </c>
      <c r="U116" s="32"/>
    </row>
    <row r="117" customFormat="false" ht="15.75" hidden="false" customHeight="true" outlineLevel="0" collapsed="false">
      <c r="A117" s="27"/>
      <c r="B117" s="27"/>
      <c r="C117" s="33" t="str">
        <f aca="false">IFERROR(INDEX('Lead Management'!$B$4:$B$1003,MATCH($B117,'Lead Management'!$A$4:$A$1003,0)),"")</f>
        <v/>
      </c>
      <c r="D117" s="33" t="str">
        <f aca="false">IFERROR(INDEX('Lead Management'!$C$4:$C$1003,MATCH($B117,'Lead Management'!$A$4:$A$1003,0)),"")</f>
        <v/>
      </c>
      <c r="E117" s="33" t="str">
        <f aca="false">IFERROR(INDEX('Lead Management'!$F$4:$F$1003,MATCH($B117,'Lead Management'!$A$4:$A$1003,0)),"")</f>
        <v/>
      </c>
      <c r="F117" s="27"/>
      <c r="G117" s="28"/>
      <c r="H117" s="28"/>
      <c r="I117" s="27"/>
      <c r="J117" s="29"/>
      <c r="K117" s="28"/>
      <c r="L117" s="34" t="str">
        <f aca="false">IF($F117="","",IFERROR(INDEX(Settings!$B$18:$B$27,MATCH($F117,Settings!$A$18:$A$27,0)),""))</f>
        <v/>
      </c>
      <c r="M117" s="34" t="str">
        <f aca="false">IF($A117="","",SUMIFS(Finance!$E$4:$E$1003,Finance!$B$4:$B$1003,$A117,Finance!$J$4:$J$1003,"Paid"))</f>
        <v/>
      </c>
      <c r="N117" s="34" t="str">
        <f aca="false">IF($A117="","",IFERROR($L117-$M117,""))</f>
        <v/>
      </c>
      <c r="O117" s="35" t="str">
        <f aca="false">IF($A117="","",IFERROR($M117/$L117,""))</f>
        <v/>
      </c>
      <c r="P117" s="33" t="str">
        <f aca="false">IFERROR(INDEX('Process Tracking'!$E$5:$E$1003,MATCH($A117,'Process Tracking'!$A$5:$A$1003,0)),"")</f>
        <v/>
      </c>
      <c r="Q117" s="35" t="str">
        <f aca="false">IFERROR(INDEX(Documents!$Q$4:$Q$1003,MATCH($A117,Documents!$A$4:$A$1003,0)),"")</f>
        <v/>
      </c>
      <c r="R117" s="27"/>
      <c r="S117" s="31" t="str">
        <f aca="false">IFERROR(INDEX('Lead Management'!$O$4:$O$1003,MATCH($B117,'Lead Management'!$A$4:$A$1003,0)),"")</f>
        <v/>
      </c>
      <c r="T117" s="36" t="str">
        <f aca="false">IFERROR(INDEX('Lead Management'!$P$4:$P$1003,MATCH($B117,'Lead Management'!$A$4:$A$1003,0)),"")</f>
        <v/>
      </c>
      <c r="U117" s="32"/>
    </row>
    <row r="118" customFormat="false" ht="15.75" hidden="false" customHeight="true" outlineLevel="0" collapsed="false">
      <c r="A118" s="27"/>
      <c r="B118" s="27"/>
      <c r="C118" s="33" t="str">
        <f aca="false">IFERROR(INDEX('Lead Management'!$B$4:$B$1003,MATCH($B118,'Lead Management'!$A$4:$A$1003,0)),"")</f>
        <v/>
      </c>
      <c r="D118" s="33" t="str">
        <f aca="false">IFERROR(INDEX('Lead Management'!$C$4:$C$1003,MATCH($B118,'Lead Management'!$A$4:$A$1003,0)),"")</f>
        <v/>
      </c>
      <c r="E118" s="33" t="str">
        <f aca="false">IFERROR(INDEX('Lead Management'!$F$4:$F$1003,MATCH($B118,'Lead Management'!$A$4:$A$1003,0)),"")</f>
        <v/>
      </c>
      <c r="F118" s="27"/>
      <c r="G118" s="28"/>
      <c r="H118" s="28"/>
      <c r="I118" s="27"/>
      <c r="J118" s="29"/>
      <c r="K118" s="28"/>
      <c r="L118" s="34" t="str">
        <f aca="false">IF($F118="","",IFERROR(INDEX(Settings!$B$18:$B$27,MATCH($F118,Settings!$A$18:$A$27,0)),""))</f>
        <v/>
      </c>
      <c r="M118" s="34" t="str">
        <f aca="false">IF($A118="","",SUMIFS(Finance!$E$4:$E$1003,Finance!$B$4:$B$1003,$A118,Finance!$J$4:$J$1003,"Paid"))</f>
        <v/>
      </c>
      <c r="N118" s="34" t="str">
        <f aca="false">IF($A118="","",IFERROR($L118-$M118,""))</f>
        <v/>
      </c>
      <c r="O118" s="35" t="str">
        <f aca="false">IF($A118="","",IFERROR($M118/$L118,""))</f>
        <v/>
      </c>
      <c r="P118" s="33" t="str">
        <f aca="false">IFERROR(INDEX('Process Tracking'!$E$5:$E$1003,MATCH($A118,'Process Tracking'!$A$5:$A$1003,0)),"")</f>
        <v/>
      </c>
      <c r="Q118" s="35" t="str">
        <f aca="false">IFERROR(INDEX(Documents!$Q$4:$Q$1003,MATCH($A118,Documents!$A$4:$A$1003,0)),"")</f>
        <v/>
      </c>
      <c r="R118" s="27"/>
      <c r="S118" s="31" t="str">
        <f aca="false">IFERROR(INDEX('Lead Management'!$O$4:$O$1003,MATCH($B118,'Lead Management'!$A$4:$A$1003,0)),"")</f>
        <v/>
      </c>
      <c r="T118" s="36" t="str">
        <f aca="false">IFERROR(INDEX('Lead Management'!$P$4:$P$1003,MATCH($B118,'Lead Management'!$A$4:$A$1003,0)),"")</f>
        <v/>
      </c>
      <c r="U118" s="32"/>
    </row>
    <row r="119" customFormat="false" ht="15.75" hidden="false" customHeight="true" outlineLevel="0" collapsed="false">
      <c r="A119" s="27"/>
      <c r="B119" s="27"/>
      <c r="C119" s="33" t="str">
        <f aca="false">IFERROR(INDEX('Lead Management'!$B$4:$B$1003,MATCH($B119,'Lead Management'!$A$4:$A$1003,0)),"")</f>
        <v/>
      </c>
      <c r="D119" s="33" t="str">
        <f aca="false">IFERROR(INDEX('Lead Management'!$C$4:$C$1003,MATCH($B119,'Lead Management'!$A$4:$A$1003,0)),"")</f>
        <v/>
      </c>
      <c r="E119" s="33" t="str">
        <f aca="false">IFERROR(INDEX('Lead Management'!$F$4:$F$1003,MATCH($B119,'Lead Management'!$A$4:$A$1003,0)),"")</f>
        <v/>
      </c>
      <c r="F119" s="27"/>
      <c r="G119" s="28"/>
      <c r="H119" s="28"/>
      <c r="I119" s="27"/>
      <c r="J119" s="29"/>
      <c r="K119" s="28"/>
      <c r="L119" s="34" t="str">
        <f aca="false">IF($F119="","",IFERROR(INDEX(Settings!$B$18:$B$27,MATCH($F119,Settings!$A$18:$A$27,0)),""))</f>
        <v/>
      </c>
      <c r="M119" s="34" t="str">
        <f aca="false">IF($A119="","",SUMIFS(Finance!$E$4:$E$1003,Finance!$B$4:$B$1003,$A119,Finance!$J$4:$J$1003,"Paid"))</f>
        <v/>
      </c>
      <c r="N119" s="34" t="str">
        <f aca="false">IF($A119="","",IFERROR($L119-$M119,""))</f>
        <v/>
      </c>
      <c r="O119" s="35" t="str">
        <f aca="false">IF($A119="","",IFERROR($M119/$L119,""))</f>
        <v/>
      </c>
      <c r="P119" s="33" t="str">
        <f aca="false">IFERROR(INDEX('Process Tracking'!$E$5:$E$1003,MATCH($A119,'Process Tracking'!$A$5:$A$1003,0)),"")</f>
        <v/>
      </c>
      <c r="Q119" s="35" t="str">
        <f aca="false">IFERROR(INDEX(Documents!$Q$4:$Q$1003,MATCH($A119,Documents!$A$4:$A$1003,0)),"")</f>
        <v/>
      </c>
      <c r="R119" s="27"/>
      <c r="S119" s="31" t="str">
        <f aca="false">IFERROR(INDEX('Lead Management'!$O$4:$O$1003,MATCH($B119,'Lead Management'!$A$4:$A$1003,0)),"")</f>
        <v/>
      </c>
      <c r="T119" s="36" t="str">
        <f aca="false">IFERROR(INDEX('Lead Management'!$P$4:$P$1003,MATCH($B119,'Lead Management'!$A$4:$A$1003,0)),"")</f>
        <v/>
      </c>
      <c r="U119" s="32"/>
    </row>
    <row r="120" customFormat="false" ht="15.75" hidden="false" customHeight="true" outlineLevel="0" collapsed="false">
      <c r="A120" s="27"/>
      <c r="B120" s="27"/>
      <c r="C120" s="33" t="str">
        <f aca="false">IFERROR(INDEX('Lead Management'!$B$4:$B$1003,MATCH($B120,'Lead Management'!$A$4:$A$1003,0)),"")</f>
        <v/>
      </c>
      <c r="D120" s="33" t="str">
        <f aca="false">IFERROR(INDEX('Lead Management'!$C$4:$C$1003,MATCH($B120,'Lead Management'!$A$4:$A$1003,0)),"")</f>
        <v/>
      </c>
      <c r="E120" s="33" t="str">
        <f aca="false">IFERROR(INDEX('Lead Management'!$F$4:$F$1003,MATCH($B120,'Lead Management'!$A$4:$A$1003,0)),"")</f>
        <v/>
      </c>
      <c r="F120" s="27"/>
      <c r="G120" s="28"/>
      <c r="H120" s="28"/>
      <c r="I120" s="27"/>
      <c r="J120" s="29"/>
      <c r="K120" s="28"/>
      <c r="L120" s="34" t="str">
        <f aca="false">IF($F120="","",IFERROR(INDEX(Settings!$B$18:$B$27,MATCH($F120,Settings!$A$18:$A$27,0)),""))</f>
        <v/>
      </c>
      <c r="M120" s="34" t="str">
        <f aca="false">IF($A120="","",SUMIFS(Finance!$E$4:$E$1003,Finance!$B$4:$B$1003,$A120,Finance!$J$4:$J$1003,"Paid"))</f>
        <v/>
      </c>
      <c r="N120" s="34" t="str">
        <f aca="false">IF($A120="","",IFERROR($L120-$M120,""))</f>
        <v/>
      </c>
      <c r="O120" s="35" t="str">
        <f aca="false">IF($A120="","",IFERROR($M120/$L120,""))</f>
        <v/>
      </c>
      <c r="P120" s="33" t="str">
        <f aca="false">IFERROR(INDEX('Process Tracking'!$E$5:$E$1003,MATCH($A120,'Process Tracking'!$A$5:$A$1003,0)),"")</f>
        <v/>
      </c>
      <c r="Q120" s="35" t="str">
        <f aca="false">IFERROR(INDEX(Documents!$Q$4:$Q$1003,MATCH($A120,Documents!$A$4:$A$1003,0)),"")</f>
        <v/>
      </c>
      <c r="R120" s="27"/>
      <c r="S120" s="31" t="str">
        <f aca="false">IFERROR(INDEX('Lead Management'!$O$4:$O$1003,MATCH($B120,'Lead Management'!$A$4:$A$1003,0)),"")</f>
        <v/>
      </c>
      <c r="T120" s="36" t="str">
        <f aca="false">IFERROR(INDEX('Lead Management'!$P$4:$P$1003,MATCH($B120,'Lead Management'!$A$4:$A$1003,0)),"")</f>
        <v/>
      </c>
      <c r="U120" s="32"/>
    </row>
    <row r="121" customFormat="false" ht="15.75" hidden="false" customHeight="true" outlineLevel="0" collapsed="false">
      <c r="A121" s="27"/>
      <c r="B121" s="27"/>
      <c r="C121" s="33" t="str">
        <f aca="false">IFERROR(INDEX('Lead Management'!$B$4:$B$1003,MATCH($B121,'Lead Management'!$A$4:$A$1003,0)),"")</f>
        <v/>
      </c>
      <c r="D121" s="33" t="str">
        <f aca="false">IFERROR(INDEX('Lead Management'!$C$4:$C$1003,MATCH($B121,'Lead Management'!$A$4:$A$1003,0)),"")</f>
        <v/>
      </c>
      <c r="E121" s="33" t="str">
        <f aca="false">IFERROR(INDEX('Lead Management'!$F$4:$F$1003,MATCH($B121,'Lead Management'!$A$4:$A$1003,0)),"")</f>
        <v/>
      </c>
      <c r="F121" s="27"/>
      <c r="G121" s="28"/>
      <c r="H121" s="28"/>
      <c r="I121" s="27"/>
      <c r="J121" s="29"/>
      <c r="K121" s="28"/>
      <c r="L121" s="34" t="str">
        <f aca="false">IF($F121="","",IFERROR(INDEX(Settings!$B$18:$B$27,MATCH($F121,Settings!$A$18:$A$27,0)),""))</f>
        <v/>
      </c>
      <c r="M121" s="34" t="str">
        <f aca="false">IF($A121="","",SUMIFS(Finance!$E$4:$E$1003,Finance!$B$4:$B$1003,$A121,Finance!$J$4:$J$1003,"Paid"))</f>
        <v/>
      </c>
      <c r="N121" s="34" t="str">
        <f aca="false">IF($A121="","",IFERROR($L121-$M121,""))</f>
        <v/>
      </c>
      <c r="O121" s="35" t="str">
        <f aca="false">IF($A121="","",IFERROR($M121/$L121,""))</f>
        <v/>
      </c>
      <c r="P121" s="33" t="str">
        <f aca="false">IFERROR(INDEX('Process Tracking'!$E$5:$E$1003,MATCH($A121,'Process Tracking'!$A$5:$A$1003,0)),"")</f>
        <v/>
      </c>
      <c r="Q121" s="35" t="str">
        <f aca="false">IFERROR(INDEX(Documents!$Q$4:$Q$1003,MATCH($A121,Documents!$A$4:$A$1003,0)),"")</f>
        <v/>
      </c>
      <c r="R121" s="27"/>
      <c r="S121" s="31" t="str">
        <f aca="false">IFERROR(INDEX('Lead Management'!$O$4:$O$1003,MATCH($B121,'Lead Management'!$A$4:$A$1003,0)),"")</f>
        <v/>
      </c>
      <c r="T121" s="36" t="str">
        <f aca="false">IFERROR(INDEX('Lead Management'!$P$4:$P$1003,MATCH($B121,'Lead Management'!$A$4:$A$1003,0)),"")</f>
        <v/>
      </c>
      <c r="U121" s="32"/>
    </row>
    <row r="122" customFormat="false" ht="15.75" hidden="false" customHeight="true" outlineLevel="0" collapsed="false">
      <c r="A122" s="27"/>
      <c r="B122" s="27"/>
      <c r="C122" s="33" t="str">
        <f aca="false">IFERROR(INDEX('Lead Management'!$B$4:$B$1003,MATCH($B122,'Lead Management'!$A$4:$A$1003,0)),"")</f>
        <v/>
      </c>
      <c r="D122" s="33" t="str">
        <f aca="false">IFERROR(INDEX('Lead Management'!$C$4:$C$1003,MATCH($B122,'Lead Management'!$A$4:$A$1003,0)),"")</f>
        <v/>
      </c>
      <c r="E122" s="33" t="str">
        <f aca="false">IFERROR(INDEX('Lead Management'!$F$4:$F$1003,MATCH($B122,'Lead Management'!$A$4:$A$1003,0)),"")</f>
        <v/>
      </c>
      <c r="F122" s="27"/>
      <c r="G122" s="28"/>
      <c r="H122" s="28"/>
      <c r="I122" s="27"/>
      <c r="J122" s="29"/>
      <c r="K122" s="28"/>
      <c r="L122" s="34" t="str">
        <f aca="false">IF($F122="","",IFERROR(INDEX(Settings!$B$18:$B$27,MATCH($F122,Settings!$A$18:$A$27,0)),""))</f>
        <v/>
      </c>
      <c r="M122" s="34" t="str">
        <f aca="false">IF($A122="","",SUMIFS(Finance!$E$4:$E$1003,Finance!$B$4:$B$1003,$A122,Finance!$J$4:$J$1003,"Paid"))</f>
        <v/>
      </c>
      <c r="N122" s="34" t="str">
        <f aca="false">IF($A122="","",IFERROR($L122-$M122,""))</f>
        <v/>
      </c>
      <c r="O122" s="35" t="str">
        <f aca="false">IF($A122="","",IFERROR($M122/$L122,""))</f>
        <v/>
      </c>
      <c r="P122" s="33" t="str">
        <f aca="false">IFERROR(INDEX('Process Tracking'!$E$5:$E$1003,MATCH($A122,'Process Tracking'!$A$5:$A$1003,0)),"")</f>
        <v/>
      </c>
      <c r="Q122" s="35" t="str">
        <f aca="false">IFERROR(INDEX(Documents!$Q$4:$Q$1003,MATCH($A122,Documents!$A$4:$A$1003,0)),"")</f>
        <v/>
      </c>
      <c r="R122" s="27"/>
      <c r="S122" s="31" t="str">
        <f aca="false">IFERROR(INDEX('Lead Management'!$O$4:$O$1003,MATCH($B122,'Lead Management'!$A$4:$A$1003,0)),"")</f>
        <v/>
      </c>
      <c r="T122" s="36" t="str">
        <f aca="false">IFERROR(INDEX('Lead Management'!$P$4:$P$1003,MATCH($B122,'Lead Management'!$A$4:$A$1003,0)),"")</f>
        <v/>
      </c>
      <c r="U122" s="32"/>
    </row>
    <row r="123" customFormat="false" ht="15.75" hidden="false" customHeight="true" outlineLevel="0" collapsed="false">
      <c r="A123" s="27"/>
      <c r="B123" s="27"/>
      <c r="C123" s="33" t="str">
        <f aca="false">IFERROR(INDEX('Lead Management'!$B$4:$B$1003,MATCH($B123,'Lead Management'!$A$4:$A$1003,0)),"")</f>
        <v/>
      </c>
      <c r="D123" s="33" t="str">
        <f aca="false">IFERROR(INDEX('Lead Management'!$C$4:$C$1003,MATCH($B123,'Lead Management'!$A$4:$A$1003,0)),"")</f>
        <v/>
      </c>
      <c r="E123" s="33" t="str">
        <f aca="false">IFERROR(INDEX('Lead Management'!$F$4:$F$1003,MATCH($B123,'Lead Management'!$A$4:$A$1003,0)),"")</f>
        <v/>
      </c>
      <c r="F123" s="27"/>
      <c r="G123" s="28"/>
      <c r="H123" s="28"/>
      <c r="I123" s="27"/>
      <c r="J123" s="29"/>
      <c r="K123" s="28"/>
      <c r="L123" s="34" t="str">
        <f aca="false">IF($F123="","",IFERROR(INDEX(Settings!$B$18:$B$27,MATCH($F123,Settings!$A$18:$A$27,0)),""))</f>
        <v/>
      </c>
      <c r="M123" s="34" t="str">
        <f aca="false">IF($A123="","",SUMIFS(Finance!$E$4:$E$1003,Finance!$B$4:$B$1003,$A123,Finance!$J$4:$J$1003,"Paid"))</f>
        <v/>
      </c>
      <c r="N123" s="34" t="str">
        <f aca="false">IF($A123="","",IFERROR($L123-$M123,""))</f>
        <v/>
      </c>
      <c r="O123" s="35" t="str">
        <f aca="false">IF($A123="","",IFERROR($M123/$L123,""))</f>
        <v/>
      </c>
      <c r="P123" s="33" t="str">
        <f aca="false">IFERROR(INDEX('Process Tracking'!$E$5:$E$1003,MATCH($A123,'Process Tracking'!$A$5:$A$1003,0)),"")</f>
        <v/>
      </c>
      <c r="Q123" s="35" t="str">
        <f aca="false">IFERROR(INDEX(Documents!$Q$4:$Q$1003,MATCH($A123,Documents!$A$4:$A$1003,0)),"")</f>
        <v/>
      </c>
      <c r="R123" s="27"/>
      <c r="S123" s="31" t="str">
        <f aca="false">IFERROR(INDEX('Lead Management'!$O$4:$O$1003,MATCH($B123,'Lead Management'!$A$4:$A$1003,0)),"")</f>
        <v/>
      </c>
      <c r="T123" s="36" t="str">
        <f aca="false">IFERROR(INDEX('Lead Management'!$P$4:$P$1003,MATCH($B123,'Lead Management'!$A$4:$A$1003,0)),"")</f>
        <v/>
      </c>
      <c r="U123" s="32"/>
    </row>
    <row r="124" customFormat="false" ht="15.75" hidden="false" customHeight="true" outlineLevel="0" collapsed="false">
      <c r="A124" s="27"/>
      <c r="B124" s="27"/>
      <c r="C124" s="33" t="str">
        <f aca="false">IFERROR(INDEX('Lead Management'!$B$4:$B$1003,MATCH($B124,'Lead Management'!$A$4:$A$1003,0)),"")</f>
        <v/>
      </c>
      <c r="D124" s="33" t="str">
        <f aca="false">IFERROR(INDEX('Lead Management'!$C$4:$C$1003,MATCH($B124,'Lead Management'!$A$4:$A$1003,0)),"")</f>
        <v/>
      </c>
      <c r="E124" s="33" t="str">
        <f aca="false">IFERROR(INDEX('Lead Management'!$F$4:$F$1003,MATCH($B124,'Lead Management'!$A$4:$A$1003,0)),"")</f>
        <v/>
      </c>
      <c r="F124" s="27"/>
      <c r="G124" s="28"/>
      <c r="H124" s="28"/>
      <c r="I124" s="27"/>
      <c r="J124" s="29"/>
      <c r="K124" s="28"/>
      <c r="L124" s="34" t="str">
        <f aca="false">IF($F124="","",IFERROR(INDEX(Settings!$B$18:$B$27,MATCH($F124,Settings!$A$18:$A$27,0)),""))</f>
        <v/>
      </c>
      <c r="M124" s="34" t="str">
        <f aca="false">IF($A124="","",SUMIFS(Finance!$E$4:$E$1003,Finance!$B$4:$B$1003,$A124,Finance!$J$4:$J$1003,"Paid"))</f>
        <v/>
      </c>
      <c r="N124" s="34" t="str">
        <f aca="false">IF($A124="","",IFERROR($L124-$M124,""))</f>
        <v/>
      </c>
      <c r="O124" s="35" t="str">
        <f aca="false">IF($A124="","",IFERROR($M124/$L124,""))</f>
        <v/>
      </c>
      <c r="P124" s="33" t="str">
        <f aca="false">IFERROR(INDEX('Process Tracking'!$E$5:$E$1003,MATCH($A124,'Process Tracking'!$A$5:$A$1003,0)),"")</f>
        <v/>
      </c>
      <c r="Q124" s="35" t="str">
        <f aca="false">IFERROR(INDEX(Documents!$Q$4:$Q$1003,MATCH($A124,Documents!$A$4:$A$1003,0)),"")</f>
        <v/>
      </c>
      <c r="R124" s="27"/>
      <c r="S124" s="31" t="str">
        <f aca="false">IFERROR(INDEX('Lead Management'!$O$4:$O$1003,MATCH($B124,'Lead Management'!$A$4:$A$1003,0)),"")</f>
        <v/>
      </c>
      <c r="T124" s="36" t="str">
        <f aca="false">IFERROR(INDEX('Lead Management'!$P$4:$P$1003,MATCH($B124,'Lead Management'!$A$4:$A$1003,0)),"")</f>
        <v/>
      </c>
      <c r="U124" s="32"/>
    </row>
    <row r="125" customFormat="false" ht="15.75" hidden="false" customHeight="true" outlineLevel="0" collapsed="false">
      <c r="A125" s="27"/>
      <c r="B125" s="27"/>
      <c r="C125" s="33" t="str">
        <f aca="false">IFERROR(INDEX('Lead Management'!$B$4:$B$1003,MATCH($B125,'Lead Management'!$A$4:$A$1003,0)),"")</f>
        <v/>
      </c>
      <c r="D125" s="33" t="str">
        <f aca="false">IFERROR(INDEX('Lead Management'!$C$4:$C$1003,MATCH($B125,'Lead Management'!$A$4:$A$1003,0)),"")</f>
        <v/>
      </c>
      <c r="E125" s="33" t="str">
        <f aca="false">IFERROR(INDEX('Lead Management'!$F$4:$F$1003,MATCH($B125,'Lead Management'!$A$4:$A$1003,0)),"")</f>
        <v/>
      </c>
      <c r="F125" s="27"/>
      <c r="G125" s="28"/>
      <c r="H125" s="28"/>
      <c r="I125" s="27"/>
      <c r="J125" s="29"/>
      <c r="K125" s="28"/>
      <c r="L125" s="34" t="str">
        <f aca="false">IF($F125="","",IFERROR(INDEX(Settings!$B$18:$B$27,MATCH($F125,Settings!$A$18:$A$27,0)),""))</f>
        <v/>
      </c>
      <c r="M125" s="34" t="str">
        <f aca="false">IF($A125="","",SUMIFS(Finance!$E$4:$E$1003,Finance!$B$4:$B$1003,$A125,Finance!$J$4:$J$1003,"Paid"))</f>
        <v/>
      </c>
      <c r="N125" s="34" t="str">
        <f aca="false">IF($A125="","",IFERROR($L125-$M125,""))</f>
        <v/>
      </c>
      <c r="O125" s="35" t="str">
        <f aca="false">IF($A125="","",IFERROR($M125/$L125,""))</f>
        <v/>
      </c>
      <c r="P125" s="33" t="str">
        <f aca="false">IFERROR(INDEX('Process Tracking'!$E$5:$E$1003,MATCH($A125,'Process Tracking'!$A$5:$A$1003,0)),"")</f>
        <v/>
      </c>
      <c r="Q125" s="35" t="str">
        <f aca="false">IFERROR(INDEX(Documents!$Q$4:$Q$1003,MATCH($A125,Documents!$A$4:$A$1003,0)),"")</f>
        <v/>
      </c>
      <c r="R125" s="27"/>
      <c r="S125" s="31" t="str">
        <f aca="false">IFERROR(INDEX('Lead Management'!$O$4:$O$1003,MATCH($B125,'Lead Management'!$A$4:$A$1003,0)),"")</f>
        <v/>
      </c>
      <c r="T125" s="36" t="str">
        <f aca="false">IFERROR(INDEX('Lead Management'!$P$4:$P$1003,MATCH($B125,'Lead Management'!$A$4:$A$1003,0)),"")</f>
        <v/>
      </c>
      <c r="U125" s="32"/>
    </row>
    <row r="126" customFormat="false" ht="15.75" hidden="false" customHeight="true" outlineLevel="0" collapsed="false">
      <c r="A126" s="27"/>
      <c r="B126" s="27"/>
      <c r="C126" s="33" t="str">
        <f aca="false">IFERROR(INDEX('Lead Management'!$B$4:$B$1003,MATCH($B126,'Lead Management'!$A$4:$A$1003,0)),"")</f>
        <v/>
      </c>
      <c r="D126" s="33" t="str">
        <f aca="false">IFERROR(INDEX('Lead Management'!$C$4:$C$1003,MATCH($B126,'Lead Management'!$A$4:$A$1003,0)),"")</f>
        <v/>
      </c>
      <c r="E126" s="33" t="str">
        <f aca="false">IFERROR(INDEX('Lead Management'!$F$4:$F$1003,MATCH($B126,'Lead Management'!$A$4:$A$1003,0)),"")</f>
        <v/>
      </c>
      <c r="F126" s="27"/>
      <c r="G126" s="28"/>
      <c r="H126" s="28"/>
      <c r="I126" s="27"/>
      <c r="J126" s="29"/>
      <c r="K126" s="28"/>
      <c r="L126" s="34" t="str">
        <f aca="false">IF($F126="","",IFERROR(INDEX(Settings!$B$18:$B$27,MATCH($F126,Settings!$A$18:$A$27,0)),""))</f>
        <v/>
      </c>
      <c r="M126" s="34" t="str">
        <f aca="false">IF($A126="","",SUMIFS(Finance!$E$4:$E$1003,Finance!$B$4:$B$1003,$A126,Finance!$J$4:$J$1003,"Paid"))</f>
        <v/>
      </c>
      <c r="N126" s="34" t="str">
        <f aca="false">IF($A126="","",IFERROR($L126-$M126,""))</f>
        <v/>
      </c>
      <c r="O126" s="35" t="str">
        <f aca="false">IF($A126="","",IFERROR($M126/$L126,""))</f>
        <v/>
      </c>
      <c r="P126" s="33" t="str">
        <f aca="false">IFERROR(INDEX('Process Tracking'!$E$5:$E$1003,MATCH($A126,'Process Tracking'!$A$5:$A$1003,0)),"")</f>
        <v/>
      </c>
      <c r="Q126" s="35" t="str">
        <f aca="false">IFERROR(INDEX(Documents!$Q$4:$Q$1003,MATCH($A126,Documents!$A$4:$A$1003,0)),"")</f>
        <v/>
      </c>
      <c r="R126" s="27"/>
      <c r="S126" s="31" t="str">
        <f aca="false">IFERROR(INDEX('Lead Management'!$O$4:$O$1003,MATCH($B126,'Lead Management'!$A$4:$A$1003,0)),"")</f>
        <v/>
      </c>
      <c r="T126" s="36" t="str">
        <f aca="false">IFERROR(INDEX('Lead Management'!$P$4:$P$1003,MATCH($B126,'Lead Management'!$A$4:$A$1003,0)),"")</f>
        <v/>
      </c>
      <c r="U126" s="32"/>
    </row>
    <row r="127" customFormat="false" ht="15.75" hidden="false" customHeight="true" outlineLevel="0" collapsed="false">
      <c r="A127" s="27"/>
      <c r="B127" s="27"/>
      <c r="C127" s="33" t="str">
        <f aca="false">IFERROR(INDEX('Lead Management'!$B$4:$B$1003,MATCH($B127,'Lead Management'!$A$4:$A$1003,0)),"")</f>
        <v/>
      </c>
      <c r="D127" s="33" t="str">
        <f aca="false">IFERROR(INDEX('Lead Management'!$C$4:$C$1003,MATCH($B127,'Lead Management'!$A$4:$A$1003,0)),"")</f>
        <v/>
      </c>
      <c r="E127" s="33" t="str">
        <f aca="false">IFERROR(INDEX('Lead Management'!$F$4:$F$1003,MATCH($B127,'Lead Management'!$A$4:$A$1003,0)),"")</f>
        <v/>
      </c>
      <c r="F127" s="27"/>
      <c r="G127" s="28"/>
      <c r="H127" s="28"/>
      <c r="I127" s="27"/>
      <c r="J127" s="29"/>
      <c r="K127" s="28"/>
      <c r="L127" s="34" t="str">
        <f aca="false">IF($F127="","",IFERROR(INDEX(Settings!$B$18:$B$27,MATCH($F127,Settings!$A$18:$A$27,0)),""))</f>
        <v/>
      </c>
      <c r="M127" s="34" t="str">
        <f aca="false">IF($A127="","",SUMIFS(Finance!$E$4:$E$1003,Finance!$B$4:$B$1003,$A127,Finance!$J$4:$J$1003,"Paid"))</f>
        <v/>
      </c>
      <c r="N127" s="34" t="str">
        <f aca="false">IF($A127="","",IFERROR($L127-$M127,""))</f>
        <v/>
      </c>
      <c r="O127" s="35" t="str">
        <f aca="false">IF($A127="","",IFERROR($M127/$L127,""))</f>
        <v/>
      </c>
      <c r="P127" s="33" t="str">
        <f aca="false">IFERROR(INDEX('Process Tracking'!$E$5:$E$1003,MATCH($A127,'Process Tracking'!$A$5:$A$1003,0)),"")</f>
        <v/>
      </c>
      <c r="Q127" s="35" t="str">
        <f aca="false">IFERROR(INDEX(Documents!$Q$4:$Q$1003,MATCH($A127,Documents!$A$4:$A$1003,0)),"")</f>
        <v/>
      </c>
      <c r="R127" s="27"/>
      <c r="S127" s="31" t="str">
        <f aca="false">IFERROR(INDEX('Lead Management'!$O$4:$O$1003,MATCH($B127,'Lead Management'!$A$4:$A$1003,0)),"")</f>
        <v/>
      </c>
      <c r="T127" s="36" t="str">
        <f aca="false">IFERROR(INDEX('Lead Management'!$P$4:$P$1003,MATCH($B127,'Lead Management'!$A$4:$A$1003,0)),"")</f>
        <v/>
      </c>
      <c r="U127" s="32"/>
    </row>
    <row r="128" customFormat="false" ht="15.75" hidden="false" customHeight="true" outlineLevel="0" collapsed="false">
      <c r="A128" s="27"/>
      <c r="B128" s="27"/>
      <c r="C128" s="33" t="str">
        <f aca="false">IFERROR(INDEX('Lead Management'!$B$4:$B$1003,MATCH($B128,'Lead Management'!$A$4:$A$1003,0)),"")</f>
        <v/>
      </c>
      <c r="D128" s="33" t="str">
        <f aca="false">IFERROR(INDEX('Lead Management'!$C$4:$C$1003,MATCH($B128,'Lead Management'!$A$4:$A$1003,0)),"")</f>
        <v/>
      </c>
      <c r="E128" s="33" t="str">
        <f aca="false">IFERROR(INDEX('Lead Management'!$F$4:$F$1003,MATCH($B128,'Lead Management'!$A$4:$A$1003,0)),"")</f>
        <v/>
      </c>
      <c r="F128" s="27"/>
      <c r="G128" s="28"/>
      <c r="H128" s="28"/>
      <c r="I128" s="27"/>
      <c r="J128" s="29"/>
      <c r="K128" s="28"/>
      <c r="L128" s="34" t="str">
        <f aca="false">IF($F128="","",IFERROR(INDEX(Settings!$B$18:$B$27,MATCH($F128,Settings!$A$18:$A$27,0)),""))</f>
        <v/>
      </c>
      <c r="M128" s="34" t="str">
        <f aca="false">IF($A128="","",SUMIFS(Finance!$E$4:$E$1003,Finance!$B$4:$B$1003,$A128,Finance!$J$4:$J$1003,"Paid"))</f>
        <v/>
      </c>
      <c r="N128" s="34" t="str">
        <f aca="false">IF($A128="","",IFERROR($L128-$M128,""))</f>
        <v/>
      </c>
      <c r="O128" s="35" t="str">
        <f aca="false">IF($A128="","",IFERROR($M128/$L128,""))</f>
        <v/>
      </c>
      <c r="P128" s="33" t="str">
        <f aca="false">IFERROR(INDEX('Process Tracking'!$E$5:$E$1003,MATCH($A128,'Process Tracking'!$A$5:$A$1003,0)),"")</f>
        <v/>
      </c>
      <c r="Q128" s="35" t="str">
        <f aca="false">IFERROR(INDEX(Documents!$Q$4:$Q$1003,MATCH($A128,Documents!$A$4:$A$1003,0)),"")</f>
        <v/>
      </c>
      <c r="R128" s="27"/>
      <c r="S128" s="31" t="str">
        <f aca="false">IFERROR(INDEX('Lead Management'!$O$4:$O$1003,MATCH($B128,'Lead Management'!$A$4:$A$1003,0)),"")</f>
        <v/>
      </c>
      <c r="T128" s="36" t="str">
        <f aca="false">IFERROR(INDEX('Lead Management'!$P$4:$P$1003,MATCH($B128,'Lead Management'!$A$4:$A$1003,0)),"")</f>
        <v/>
      </c>
      <c r="U128" s="32"/>
    </row>
    <row r="129" customFormat="false" ht="15.75" hidden="false" customHeight="true" outlineLevel="0" collapsed="false">
      <c r="A129" s="27"/>
      <c r="B129" s="27"/>
      <c r="C129" s="33" t="str">
        <f aca="false">IFERROR(INDEX('Lead Management'!$B$4:$B$1003,MATCH($B129,'Lead Management'!$A$4:$A$1003,0)),"")</f>
        <v/>
      </c>
      <c r="D129" s="33" t="str">
        <f aca="false">IFERROR(INDEX('Lead Management'!$C$4:$C$1003,MATCH($B129,'Lead Management'!$A$4:$A$1003,0)),"")</f>
        <v/>
      </c>
      <c r="E129" s="33" t="str">
        <f aca="false">IFERROR(INDEX('Lead Management'!$F$4:$F$1003,MATCH($B129,'Lead Management'!$A$4:$A$1003,0)),"")</f>
        <v/>
      </c>
      <c r="F129" s="27"/>
      <c r="G129" s="28"/>
      <c r="H129" s="28"/>
      <c r="I129" s="27"/>
      <c r="J129" s="29"/>
      <c r="K129" s="28"/>
      <c r="L129" s="34" t="str">
        <f aca="false">IF($F129="","",IFERROR(INDEX(Settings!$B$18:$B$27,MATCH($F129,Settings!$A$18:$A$27,0)),""))</f>
        <v/>
      </c>
      <c r="M129" s="34" t="str">
        <f aca="false">IF($A129="","",SUMIFS(Finance!$E$4:$E$1003,Finance!$B$4:$B$1003,$A129,Finance!$J$4:$J$1003,"Paid"))</f>
        <v/>
      </c>
      <c r="N129" s="34" t="str">
        <f aca="false">IF($A129="","",IFERROR($L129-$M129,""))</f>
        <v/>
      </c>
      <c r="O129" s="35" t="str">
        <f aca="false">IF($A129="","",IFERROR($M129/$L129,""))</f>
        <v/>
      </c>
      <c r="P129" s="33" t="str">
        <f aca="false">IFERROR(INDEX('Process Tracking'!$E$5:$E$1003,MATCH($A129,'Process Tracking'!$A$5:$A$1003,0)),"")</f>
        <v/>
      </c>
      <c r="Q129" s="35" t="str">
        <f aca="false">IFERROR(INDEX(Documents!$Q$4:$Q$1003,MATCH($A129,Documents!$A$4:$A$1003,0)),"")</f>
        <v/>
      </c>
      <c r="R129" s="27"/>
      <c r="S129" s="31" t="str">
        <f aca="false">IFERROR(INDEX('Lead Management'!$O$4:$O$1003,MATCH($B129,'Lead Management'!$A$4:$A$1003,0)),"")</f>
        <v/>
      </c>
      <c r="T129" s="36" t="str">
        <f aca="false">IFERROR(INDEX('Lead Management'!$P$4:$P$1003,MATCH($B129,'Lead Management'!$A$4:$A$1003,0)),"")</f>
        <v/>
      </c>
      <c r="U129" s="32"/>
    </row>
    <row r="130" customFormat="false" ht="15.75" hidden="false" customHeight="true" outlineLevel="0" collapsed="false">
      <c r="A130" s="27"/>
      <c r="B130" s="27"/>
      <c r="C130" s="33" t="str">
        <f aca="false">IFERROR(INDEX('Lead Management'!$B$4:$B$1003,MATCH($B130,'Lead Management'!$A$4:$A$1003,0)),"")</f>
        <v/>
      </c>
      <c r="D130" s="33" t="str">
        <f aca="false">IFERROR(INDEX('Lead Management'!$C$4:$C$1003,MATCH($B130,'Lead Management'!$A$4:$A$1003,0)),"")</f>
        <v/>
      </c>
      <c r="E130" s="33" t="str">
        <f aca="false">IFERROR(INDEX('Lead Management'!$F$4:$F$1003,MATCH($B130,'Lead Management'!$A$4:$A$1003,0)),"")</f>
        <v/>
      </c>
      <c r="F130" s="27"/>
      <c r="G130" s="28"/>
      <c r="H130" s="28"/>
      <c r="I130" s="27"/>
      <c r="J130" s="29"/>
      <c r="K130" s="28"/>
      <c r="L130" s="34" t="str">
        <f aca="false">IF($F130="","",IFERROR(INDEX(Settings!$B$18:$B$27,MATCH($F130,Settings!$A$18:$A$27,0)),""))</f>
        <v/>
      </c>
      <c r="M130" s="34" t="str">
        <f aca="false">IF($A130="","",SUMIFS(Finance!$E$4:$E$1003,Finance!$B$4:$B$1003,$A130,Finance!$J$4:$J$1003,"Paid"))</f>
        <v/>
      </c>
      <c r="N130" s="34" t="str">
        <f aca="false">IF($A130="","",IFERROR($L130-$M130,""))</f>
        <v/>
      </c>
      <c r="O130" s="35" t="str">
        <f aca="false">IF($A130="","",IFERROR($M130/$L130,""))</f>
        <v/>
      </c>
      <c r="P130" s="33" t="str">
        <f aca="false">IFERROR(INDEX('Process Tracking'!$E$5:$E$1003,MATCH($A130,'Process Tracking'!$A$5:$A$1003,0)),"")</f>
        <v/>
      </c>
      <c r="Q130" s="35" t="str">
        <f aca="false">IFERROR(INDEX(Documents!$Q$4:$Q$1003,MATCH($A130,Documents!$A$4:$A$1003,0)),"")</f>
        <v/>
      </c>
      <c r="R130" s="27"/>
      <c r="S130" s="31" t="str">
        <f aca="false">IFERROR(INDEX('Lead Management'!$O$4:$O$1003,MATCH($B130,'Lead Management'!$A$4:$A$1003,0)),"")</f>
        <v/>
      </c>
      <c r="T130" s="36" t="str">
        <f aca="false">IFERROR(INDEX('Lead Management'!$P$4:$P$1003,MATCH($B130,'Lead Management'!$A$4:$A$1003,0)),"")</f>
        <v/>
      </c>
      <c r="U130" s="32"/>
    </row>
    <row r="131" customFormat="false" ht="15.75" hidden="false" customHeight="true" outlineLevel="0" collapsed="false">
      <c r="A131" s="27"/>
      <c r="B131" s="27"/>
      <c r="C131" s="33" t="str">
        <f aca="false">IFERROR(INDEX('Lead Management'!$B$4:$B$1003,MATCH($B131,'Lead Management'!$A$4:$A$1003,0)),"")</f>
        <v/>
      </c>
      <c r="D131" s="33" t="str">
        <f aca="false">IFERROR(INDEX('Lead Management'!$C$4:$C$1003,MATCH($B131,'Lead Management'!$A$4:$A$1003,0)),"")</f>
        <v/>
      </c>
      <c r="E131" s="33" t="str">
        <f aca="false">IFERROR(INDEX('Lead Management'!$F$4:$F$1003,MATCH($B131,'Lead Management'!$A$4:$A$1003,0)),"")</f>
        <v/>
      </c>
      <c r="F131" s="27"/>
      <c r="G131" s="28"/>
      <c r="H131" s="28"/>
      <c r="I131" s="27"/>
      <c r="J131" s="29"/>
      <c r="K131" s="28"/>
      <c r="L131" s="34" t="str">
        <f aca="false">IF($F131="","",IFERROR(INDEX(Settings!$B$18:$B$27,MATCH($F131,Settings!$A$18:$A$27,0)),""))</f>
        <v/>
      </c>
      <c r="M131" s="34" t="str">
        <f aca="false">IF($A131="","",SUMIFS(Finance!$E$4:$E$1003,Finance!$B$4:$B$1003,$A131,Finance!$J$4:$J$1003,"Paid"))</f>
        <v/>
      </c>
      <c r="N131" s="34" t="str">
        <f aca="false">IF($A131="","",IFERROR($L131-$M131,""))</f>
        <v/>
      </c>
      <c r="O131" s="35" t="str">
        <f aca="false">IF($A131="","",IFERROR($M131/$L131,""))</f>
        <v/>
      </c>
      <c r="P131" s="33" t="str">
        <f aca="false">IFERROR(INDEX('Process Tracking'!$E$5:$E$1003,MATCH($A131,'Process Tracking'!$A$5:$A$1003,0)),"")</f>
        <v/>
      </c>
      <c r="Q131" s="35" t="str">
        <f aca="false">IFERROR(INDEX(Documents!$Q$4:$Q$1003,MATCH($A131,Documents!$A$4:$A$1003,0)),"")</f>
        <v/>
      </c>
      <c r="R131" s="27"/>
      <c r="S131" s="31" t="str">
        <f aca="false">IFERROR(INDEX('Lead Management'!$O$4:$O$1003,MATCH($B131,'Lead Management'!$A$4:$A$1003,0)),"")</f>
        <v/>
      </c>
      <c r="T131" s="36" t="str">
        <f aca="false">IFERROR(INDEX('Lead Management'!$P$4:$P$1003,MATCH($B131,'Lead Management'!$A$4:$A$1003,0)),"")</f>
        <v/>
      </c>
      <c r="U131" s="32"/>
    </row>
    <row r="132" customFormat="false" ht="15.75" hidden="false" customHeight="true" outlineLevel="0" collapsed="false">
      <c r="A132" s="27"/>
      <c r="B132" s="27"/>
      <c r="C132" s="33" t="str">
        <f aca="false">IFERROR(INDEX('Lead Management'!$B$4:$B$1003,MATCH($B132,'Lead Management'!$A$4:$A$1003,0)),"")</f>
        <v/>
      </c>
      <c r="D132" s="33" t="str">
        <f aca="false">IFERROR(INDEX('Lead Management'!$C$4:$C$1003,MATCH($B132,'Lead Management'!$A$4:$A$1003,0)),"")</f>
        <v/>
      </c>
      <c r="E132" s="33" t="str">
        <f aca="false">IFERROR(INDEX('Lead Management'!$F$4:$F$1003,MATCH($B132,'Lead Management'!$A$4:$A$1003,0)),"")</f>
        <v/>
      </c>
      <c r="F132" s="27"/>
      <c r="G132" s="28"/>
      <c r="H132" s="28"/>
      <c r="I132" s="27"/>
      <c r="J132" s="29"/>
      <c r="K132" s="28"/>
      <c r="L132" s="34" t="str">
        <f aca="false">IF($F132="","",IFERROR(INDEX(Settings!$B$18:$B$27,MATCH($F132,Settings!$A$18:$A$27,0)),""))</f>
        <v/>
      </c>
      <c r="M132" s="34" t="str">
        <f aca="false">IF($A132="","",SUMIFS(Finance!$E$4:$E$1003,Finance!$B$4:$B$1003,$A132,Finance!$J$4:$J$1003,"Paid"))</f>
        <v/>
      </c>
      <c r="N132" s="34" t="str">
        <f aca="false">IF($A132="","",IFERROR($L132-$M132,""))</f>
        <v/>
      </c>
      <c r="O132" s="35" t="str">
        <f aca="false">IF($A132="","",IFERROR($M132/$L132,""))</f>
        <v/>
      </c>
      <c r="P132" s="33" t="str">
        <f aca="false">IFERROR(INDEX('Process Tracking'!$E$5:$E$1003,MATCH($A132,'Process Tracking'!$A$5:$A$1003,0)),"")</f>
        <v/>
      </c>
      <c r="Q132" s="35" t="str">
        <f aca="false">IFERROR(INDEX(Documents!$Q$4:$Q$1003,MATCH($A132,Documents!$A$4:$A$1003,0)),"")</f>
        <v/>
      </c>
      <c r="R132" s="27"/>
      <c r="S132" s="31" t="str">
        <f aca="false">IFERROR(INDEX('Lead Management'!$O$4:$O$1003,MATCH($B132,'Lead Management'!$A$4:$A$1003,0)),"")</f>
        <v/>
      </c>
      <c r="T132" s="36" t="str">
        <f aca="false">IFERROR(INDEX('Lead Management'!$P$4:$P$1003,MATCH($B132,'Lead Management'!$A$4:$A$1003,0)),"")</f>
        <v/>
      </c>
      <c r="U132" s="32"/>
    </row>
    <row r="133" customFormat="false" ht="15.75" hidden="false" customHeight="true" outlineLevel="0" collapsed="false">
      <c r="A133" s="27"/>
      <c r="B133" s="27"/>
      <c r="C133" s="33" t="str">
        <f aca="false">IFERROR(INDEX('Lead Management'!$B$4:$B$1003,MATCH($B133,'Lead Management'!$A$4:$A$1003,0)),"")</f>
        <v/>
      </c>
      <c r="D133" s="33" t="str">
        <f aca="false">IFERROR(INDEX('Lead Management'!$C$4:$C$1003,MATCH($B133,'Lead Management'!$A$4:$A$1003,0)),"")</f>
        <v/>
      </c>
      <c r="E133" s="33" t="str">
        <f aca="false">IFERROR(INDEX('Lead Management'!$F$4:$F$1003,MATCH($B133,'Lead Management'!$A$4:$A$1003,0)),"")</f>
        <v/>
      </c>
      <c r="F133" s="27"/>
      <c r="G133" s="28"/>
      <c r="H133" s="28"/>
      <c r="I133" s="27"/>
      <c r="J133" s="29"/>
      <c r="K133" s="28"/>
      <c r="L133" s="34" t="str">
        <f aca="false">IF($F133="","",IFERROR(INDEX(Settings!$B$18:$B$27,MATCH($F133,Settings!$A$18:$A$27,0)),""))</f>
        <v/>
      </c>
      <c r="M133" s="34" t="str">
        <f aca="false">IF($A133="","",SUMIFS(Finance!$E$4:$E$1003,Finance!$B$4:$B$1003,$A133,Finance!$J$4:$J$1003,"Paid"))</f>
        <v/>
      </c>
      <c r="N133" s="34" t="str">
        <f aca="false">IF($A133="","",IFERROR($L133-$M133,""))</f>
        <v/>
      </c>
      <c r="O133" s="35" t="str">
        <f aca="false">IF($A133="","",IFERROR($M133/$L133,""))</f>
        <v/>
      </c>
      <c r="P133" s="33" t="str">
        <f aca="false">IFERROR(INDEX('Process Tracking'!$E$5:$E$1003,MATCH($A133,'Process Tracking'!$A$5:$A$1003,0)),"")</f>
        <v/>
      </c>
      <c r="Q133" s="35" t="str">
        <f aca="false">IFERROR(INDEX(Documents!$Q$4:$Q$1003,MATCH($A133,Documents!$A$4:$A$1003,0)),"")</f>
        <v/>
      </c>
      <c r="R133" s="27"/>
      <c r="S133" s="31" t="str">
        <f aca="false">IFERROR(INDEX('Lead Management'!$O$4:$O$1003,MATCH($B133,'Lead Management'!$A$4:$A$1003,0)),"")</f>
        <v/>
      </c>
      <c r="T133" s="36" t="str">
        <f aca="false">IFERROR(INDEX('Lead Management'!$P$4:$P$1003,MATCH($B133,'Lead Management'!$A$4:$A$1003,0)),"")</f>
        <v/>
      </c>
      <c r="U133" s="32"/>
    </row>
    <row r="134" customFormat="false" ht="15.75" hidden="false" customHeight="true" outlineLevel="0" collapsed="false">
      <c r="A134" s="27"/>
      <c r="B134" s="27"/>
      <c r="C134" s="33" t="str">
        <f aca="false">IFERROR(INDEX('Lead Management'!$B$4:$B$1003,MATCH($B134,'Lead Management'!$A$4:$A$1003,0)),"")</f>
        <v/>
      </c>
      <c r="D134" s="33" t="str">
        <f aca="false">IFERROR(INDEX('Lead Management'!$C$4:$C$1003,MATCH($B134,'Lead Management'!$A$4:$A$1003,0)),"")</f>
        <v/>
      </c>
      <c r="E134" s="33" t="str">
        <f aca="false">IFERROR(INDEX('Lead Management'!$F$4:$F$1003,MATCH($B134,'Lead Management'!$A$4:$A$1003,0)),"")</f>
        <v/>
      </c>
      <c r="F134" s="27"/>
      <c r="G134" s="28"/>
      <c r="H134" s="28"/>
      <c r="I134" s="27"/>
      <c r="J134" s="29"/>
      <c r="K134" s="28"/>
      <c r="L134" s="34" t="str">
        <f aca="false">IF($F134="","",IFERROR(INDEX(Settings!$B$18:$B$27,MATCH($F134,Settings!$A$18:$A$27,0)),""))</f>
        <v/>
      </c>
      <c r="M134" s="34" t="str">
        <f aca="false">IF($A134="","",SUMIFS(Finance!$E$4:$E$1003,Finance!$B$4:$B$1003,$A134,Finance!$J$4:$J$1003,"Paid"))</f>
        <v/>
      </c>
      <c r="N134" s="34" t="str">
        <f aca="false">IF($A134="","",IFERROR($L134-$M134,""))</f>
        <v/>
      </c>
      <c r="O134" s="35" t="str">
        <f aca="false">IF($A134="","",IFERROR($M134/$L134,""))</f>
        <v/>
      </c>
      <c r="P134" s="33" t="str">
        <f aca="false">IFERROR(INDEX('Process Tracking'!$E$5:$E$1003,MATCH($A134,'Process Tracking'!$A$5:$A$1003,0)),"")</f>
        <v/>
      </c>
      <c r="Q134" s="35" t="str">
        <f aca="false">IFERROR(INDEX(Documents!$Q$4:$Q$1003,MATCH($A134,Documents!$A$4:$A$1003,0)),"")</f>
        <v/>
      </c>
      <c r="R134" s="27"/>
      <c r="S134" s="31" t="str">
        <f aca="false">IFERROR(INDEX('Lead Management'!$O$4:$O$1003,MATCH($B134,'Lead Management'!$A$4:$A$1003,0)),"")</f>
        <v/>
      </c>
      <c r="T134" s="36" t="str">
        <f aca="false">IFERROR(INDEX('Lead Management'!$P$4:$P$1003,MATCH($B134,'Lead Management'!$A$4:$A$1003,0)),"")</f>
        <v/>
      </c>
      <c r="U134" s="32"/>
    </row>
    <row r="135" customFormat="false" ht="15.75" hidden="false" customHeight="true" outlineLevel="0" collapsed="false">
      <c r="A135" s="27"/>
      <c r="B135" s="27"/>
      <c r="C135" s="33" t="str">
        <f aca="false">IFERROR(INDEX('Lead Management'!$B$4:$B$1003,MATCH($B135,'Lead Management'!$A$4:$A$1003,0)),"")</f>
        <v/>
      </c>
      <c r="D135" s="33" t="str">
        <f aca="false">IFERROR(INDEX('Lead Management'!$C$4:$C$1003,MATCH($B135,'Lead Management'!$A$4:$A$1003,0)),"")</f>
        <v/>
      </c>
      <c r="E135" s="33" t="str">
        <f aca="false">IFERROR(INDEX('Lead Management'!$F$4:$F$1003,MATCH($B135,'Lead Management'!$A$4:$A$1003,0)),"")</f>
        <v/>
      </c>
      <c r="F135" s="27"/>
      <c r="G135" s="28"/>
      <c r="H135" s="28"/>
      <c r="I135" s="27"/>
      <c r="J135" s="29"/>
      <c r="K135" s="28"/>
      <c r="L135" s="34" t="str">
        <f aca="false">IF($F135="","",IFERROR(INDEX(Settings!$B$18:$B$27,MATCH($F135,Settings!$A$18:$A$27,0)),""))</f>
        <v/>
      </c>
      <c r="M135" s="34" t="str">
        <f aca="false">IF($A135="","",SUMIFS(Finance!$E$4:$E$1003,Finance!$B$4:$B$1003,$A135,Finance!$J$4:$J$1003,"Paid"))</f>
        <v/>
      </c>
      <c r="N135" s="34" t="str">
        <f aca="false">IF($A135="","",IFERROR($L135-$M135,""))</f>
        <v/>
      </c>
      <c r="O135" s="35" t="str">
        <f aca="false">IF($A135="","",IFERROR($M135/$L135,""))</f>
        <v/>
      </c>
      <c r="P135" s="33" t="str">
        <f aca="false">IFERROR(INDEX('Process Tracking'!$E$5:$E$1003,MATCH($A135,'Process Tracking'!$A$5:$A$1003,0)),"")</f>
        <v/>
      </c>
      <c r="Q135" s="35" t="str">
        <f aca="false">IFERROR(INDEX(Documents!$Q$4:$Q$1003,MATCH($A135,Documents!$A$4:$A$1003,0)),"")</f>
        <v/>
      </c>
      <c r="R135" s="27"/>
      <c r="S135" s="31" t="str">
        <f aca="false">IFERROR(INDEX('Lead Management'!$O$4:$O$1003,MATCH($B135,'Lead Management'!$A$4:$A$1003,0)),"")</f>
        <v/>
      </c>
      <c r="T135" s="36" t="str">
        <f aca="false">IFERROR(INDEX('Lead Management'!$P$4:$P$1003,MATCH($B135,'Lead Management'!$A$4:$A$1003,0)),"")</f>
        <v/>
      </c>
      <c r="U135" s="32"/>
    </row>
    <row r="136" customFormat="false" ht="15.75" hidden="false" customHeight="true" outlineLevel="0" collapsed="false">
      <c r="A136" s="27"/>
      <c r="B136" s="27"/>
      <c r="C136" s="33" t="str">
        <f aca="false">IFERROR(INDEX('Lead Management'!$B$4:$B$1003,MATCH($B136,'Lead Management'!$A$4:$A$1003,0)),"")</f>
        <v/>
      </c>
      <c r="D136" s="33" t="str">
        <f aca="false">IFERROR(INDEX('Lead Management'!$C$4:$C$1003,MATCH($B136,'Lead Management'!$A$4:$A$1003,0)),"")</f>
        <v/>
      </c>
      <c r="E136" s="33" t="str">
        <f aca="false">IFERROR(INDEX('Lead Management'!$F$4:$F$1003,MATCH($B136,'Lead Management'!$A$4:$A$1003,0)),"")</f>
        <v/>
      </c>
      <c r="F136" s="27"/>
      <c r="G136" s="28"/>
      <c r="H136" s="28"/>
      <c r="I136" s="27"/>
      <c r="J136" s="29"/>
      <c r="K136" s="28"/>
      <c r="L136" s="34" t="str">
        <f aca="false">IF($F136="","",IFERROR(INDEX(Settings!$B$18:$B$27,MATCH($F136,Settings!$A$18:$A$27,0)),""))</f>
        <v/>
      </c>
      <c r="M136" s="34" t="str">
        <f aca="false">IF($A136="","",SUMIFS(Finance!$E$4:$E$1003,Finance!$B$4:$B$1003,$A136,Finance!$J$4:$J$1003,"Paid"))</f>
        <v/>
      </c>
      <c r="N136" s="34" t="str">
        <f aca="false">IF($A136="","",IFERROR($L136-$M136,""))</f>
        <v/>
      </c>
      <c r="O136" s="35" t="str">
        <f aca="false">IF($A136="","",IFERROR($M136/$L136,""))</f>
        <v/>
      </c>
      <c r="P136" s="33" t="str">
        <f aca="false">IFERROR(INDEX('Process Tracking'!$E$5:$E$1003,MATCH($A136,'Process Tracking'!$A$5:$A$1003,0)),"")</f>
        <v/>
      </c>
      <c r="Q136" s="35" t="str">
        <f aca="false">IFERROR(INDEX(Documents!$Q$4:$Q$1003,MATCH($A136,Documents!$A$4:$A$1003,0)),"")</f>
        <v/>
      </c>
      <c r="R136" s="27"/>
      <c r="S136" s="31" t="str">
        <f aca="false">IFERROR(INDEX('Lead Management'!$O$4:$O$1003,MATCH($B136,'Lead Management'!$A$4:$A$1003,0)),"")</f>
        <v/>
      </c>
      <c r="T136" s="36" t="str">
        <f aca="false">IFERROR(INDEX('Lead Management'!$P$4:$P$1003,MATCH($B136,'Lead Management'!$A$4:$A$1003,0)),"")</f>
        <v/>
      </c>
      <c r="U136" s="32"/>
    </row>
    <row r="137" customFormat="false" ht="15.75" hidden="false" customHeight="true" outlineLevel="0" collapsed="false">
      <c r="A137" s="27"/>
      <c r="B137" s="27"/>
      <c r="C137" s="33" t="str">
        <f aca="false">IFERROR(INDEX('Lead Management'!$B$4:$B$1003,MATCH($B137,'Lead Management'!$A$4:$A$1003,0)),"")</f>
        <v/>
      </c>
      <c r="D137" s="33" t="str">
        <f aca="false">IFERROR(INDEX('Lead Management'!$C$4:$C$1003,MATCH($B137,'Lead Management'!$A$4:$A$1003,0)),"")</f>
        <v/>
      </c>
      <c r="E137" s="33" t="str">
        <f aca="false">IFERROR(INDEX('Lead Management'!$F$4:$F$1003,MATCH($B137,'Lead Management'!$A$4:$A$1003,0)),"")</f>
        <v/>
      </c>
      <c r="F137" s="27"/>
      <c r="G137" s="28"/>
      <c r="H137" s="28"/>
      <c r="I137" s="27"/>
      <c r="J137" s="29"/>
      <c r="K137" s="28"/>
      <c r="L137" s="34" t="str">
        <f aca="false">IF($F137="","",IFERROR(INDEX(Settings!$B$18:$B$27,MATCH($F137,Settings!$A$18:$A$27,0)),""))</f>
        <v/>
      </c>
      <c r="M137" s="34" t="str">
        <f aca="false">IF($A137="","",SUMIFS(Finance!$E$4:$E$1003,Finance!$B$4:$B$1003,$A137,Finance!$J$4:$J$1003,"Paid"))</f>
        <v/>
      </c>
      <c r="N137" s="34" t="str">
        <f aca="false">IF($A137="","",IFERROR($L137-$M137,""))</f>
        <v/>
      </c>
      <c r="O137" s="35" t="str">
        <f aca="false">IF($A137="","",IFERROR($M137/$L137,""))</f>
        <v/>
      </c>
      <c r="P137" s="33" t="str">
        <f aca="false">IFERROR(INDEX('Process Tracking'!$E$5:$E$1003,MATCH($A137,'Process Tracking'!$A$5:$A$1003,0)),"")</f>
        <v/>
      </c>
      <c r="Q137" s="35" t="str">
        <f aca="false">IFERROR(INDEX(Documents!$Q$4:$Q$1003,MATCH($A137,Documents!$A$4:$A$1003,0)),"")</f>
        <v/>
      </c>
      <c r="R137" s="27"/>
      <c r="S137" s="31" t="str">
        <f aca="false">IFERROR(INDEX('Lead Management'!$O$4:$O$1003,MATCH($B137,'Lead Management'!$A$4:$A$1003,0)),"")</f>
        <v/>
      </c>
      <c r="T137" s="36" t="str">
        <f aca="false">IFERROR(INDEX('Lead Management'!$P$4:$P$1003,MATCH($B137,'Lead Management'!$A$4:$A$1003,0)),"")</f>
        <v/>
      </c>
      <c r="U137" s="32"/>
    </row>
    <row r="138" customFormat="false" ht="15.75" hidden="false" customHeight="true" outlineLevel="0" collapsed="false">
      <c r="A138" s="27"/>
      <c r="B138" s="27"/>
      <c r="C138" s="33" t="str">
        <f aca="false">IFERROR(INDEX('Lead Management'!$B$4:$B$1003,MATCH($B138,'Lead Management'!$A$4:$A$1003,0)),"")</f>
        <v/>
      </c>
      <c r="D138" s="33" t="str">
        <f aca="false">IFERROR(INDEX('Lead Management'!$C$4:$C$1003,MATCH($B138,'Lead Management'!$A$4:$A$1003,0)),"")</f>
        <v/>
      </c>
      <c r="E138" s="33" t="str">
        <f aca="false">IFERROR(INDEX('Lead Management'!$F$4:$F$1003,MATCH($B138,'Lead Management'!$A$4:$A$1003,0)),"")</f>
        <v/>
      </c>
      <c r="F138" s="27"/>
      <c r="G138" s="28"/>
      <c r="H138" s="28"/>
      <c r="I138" s="27"/>
      <c r="J138" s="29"/>
      <c r="K138" s="28"/>
      <c r="L138" s="34" t="str">
        <f aca="false">IF($F138="","",IFERROR(INDEX(Settings!$B$18:$B$27,MATCH($F138,Settings!$A$18:$A$27,0)),""))</f>
        <v/>
      </c>
      <c r="M138" s="34" t="str">
        <f aca="false">IF($A138="","",SUMIFS(Finance!$E$4:$E$1003,Finance!$B$4:$B$1003,$A138,Finance!$J$4:$J$1003,"Paid"))</f>
        <v/>
      </c>
      <c r="N138" s="34" t="str">
        <f aca="false">IF($A138="","",IFERROR($L138-$M138,""))</f>
        <v/>
      </c>
      <c r="O138" s="35" t="str">
        <f aca="false">IF($A138="","",IFERROR($M138/$L138,""))</f>
        <v/>
      </c>
      <c r="P138" s="33" t="str">
        <f aca="false">IFERROR(INDEX('Process Tracking'!$E$5:$E$1003,MATCH($A138,'Process Tracking'!$A$5:$A$1003,0)),"")</f>
        <v/>
      </c>
      <c r="Q138" s="35" t="str">
        <f aca="false">IFERROR(INDEX(Documents!$Q$4:$Q$1003,MATCH($A138,Documents!$A$4:$A$1003,0)),"")</f>
        <v/>
      </c>
      <c r="R138" s="27"/>
      <c r="S138" s="31" t="str">
        <f aca="false">IFERROR(INDEX('Lead Management'!$O$4:$O$1003,MATCH($B138,'Lead Management'!$A$4:$A$1003,0)),"")</f>
        <v/>
      </c>
      <c r="T138" s="36" t="str">
        <f aca="false">IFERROR(INDEX('Lead Management'!$P$4:$P$1003,MATCH($B138,'Lead Management'!$A$4:$A$1003,0)),"")</f>
        <v/>
      </c>
      <c r="U138" s="32"/>
    </row>
    <row r="139" customFormat="false" ht="15.75" hidden="false" customHeight="true" outlineLevel="0" collapsed="false">
      <c r="A139" s="27"/>
      <c r="B139" s="27"/>
      <c r="C139" s="33" t="str">
        <f aca="false">IFERROR(INDEX('Lead Management'!$B$4:$B$1003,MATCH($B139,'Lead Management'!$A$4:$A$1003,0)),"")</f>
        <v/>
      </c>
      <c r="D139" s="33" t="str">
        <f aca="false">IFERROR(INDEX('Lead Management'!$C$4:$C$1003,MATCH($B139,'Lead Management'!$A$4:$A$1003,0)),"")</f>
        <v/>
      </c>
      <c r="E139" s="33" t="str">
        <f aca="false">IFERROR(INDEX('Lead Management'!$F$4:$F$1003,MATCH($B139,'Lead Management'!$A$4:$A$1003,0)),"")</f>
        <v/>
      </c>
      <c r="F139" s="27"/>
      <c r="G139" s="28"/>
      <c r="H139" s="28"/>
      <c r="I139" s="27"/>
      <c r="J139" s="29"/>
      <c r="K139" s="28"/>
      <c r="L139" s="34" t="str">
        <f aca="false">IF($F139="","",IFERROR(INDEX(Settings!$B$18:$B$27,MATCH($F139,Settings!$A$18:$A$27,0)),""))</f>
        <v/>
      </c>
      <c r="M139" s="34" t="str">
        <f aca="false">IF($A139="","",SUMIFS(Finance!$E$4:$E$1003,Finance!$B$4:$B$1003,$A139,Finance!$J$4:$J$1003,"Paid"))</f>
        <v/>
      </c>
      <c r="N139" s="34" t="str">
        <f aca="false">IF($A139="","",IFERROR($L139-$M139,""))</f>
        <v/>
      </c>
      <c r="O139" s="35" t="str">
        <f aca="false">IF($A139="","",IFERROR($M139/$L139,""))</f>
        <v/>
      </c>
      <c r="P139" s="33" t="str">
        <f aca="false">IFERROR(INDEX('Process Tracking'!$E$5:$E$1003,MATCH($A139,'Process Tracking'!$A$5:$A$1003,0)),"")</f>
        <v/>
      </c>
      <c r="Q139" s="35" t="str">
        <f aca="false">IFERROR(INDEX(Documents!$Q$4:$Q$1003,MATCH($A139,Documents!$A$4:$A$1003,0)),"")</f>
        <v/>
      </c>
      <c r="R139" s="27"/>
      <c r="S139" s="31" t="str">
        <f aca="false">IFERROR(INDEX('Lead Management'!$O$4:$O$1003,MATCH($B139,'Lead Management'!$A$4:$A$1003,0)),"")</f>
        <v/>
      </c>
      <c r="T139" s="36" t="str">
        <f aca="false">IFERROR(INDEX('Lead Management'!$P$4:$P$1003,MATCH($B139,'Lead Management'!$A$4:$A$1003,0)),"")</f>
        <v/>
      </c>
      <c r="U139" s="32"/>
    </row>
    <row r="140" customFormat="false" ht="15.75" hidden="false" customHeight="true" outlineLevel="0" collapsed="false">
      <c r="A140" s="27"/>
      <c r="B140" s="27"/>
      <c r="C140" s="33" t="str">
        <f aca="false">IFERROR(INDEX('Lead Management'!$B$4:$B$1003,MATCH($B140,'Lead Management'!$A$4:$A$1003,0)),"")</f>
        <v/>
      </c>
      <c r="D140" s="33" t="str">
        <f aca="false">IFERROR(INDEX('Lead Management'!$C$4:$C$1003,MATCH($B140,'Lead Management'!$A$4:$A$1003,0)),"")</f>
        <v/>
      </c>
      <c r="E140" s="33" t="str">
        <f aca="false">IFERROR(INDEX('Lead Management'!$F$4:$F$1003,MATCH($B140,'Lead Management'!$A$4:$A$1003,0)),"")</f>
        <v/>
      </c>
      <c r="F140" s="27"/>
      <c r="G140" s="28"/>
      <c r="H140" s="28"/>
      <c r="I140" s="27"/>
      <c r="J140" s="29"/>
      <c r="K140" s="28"/>
      <c r="L140" s="34" t="str">
        <f aca="false">IF($F140="","",IFERROR(INDEX(Settings!$B$18:$B$27,MATCH($F140,Settings!$A$18:$A$27,0)),""))</f>
        <v/>
      </c>
      <c r="M140" s="34" t="str">
        <f aca="false">IF($A140="","",SUMIFS(Finance!$E$4:$E$1003,Finance!$B$4:$B$1003,$A140,Finance!$J$4:$J$1003,"Paid"))</f>
        <v/>
      </c>
      <c r="N140" s="34" t="str">
        <f aca="false">IF($A140="","",IFERROR($L140-$M140,""))</f>
        <v/>
      </c>
      <c r="O140" s="35" t="str">
        <f aca="false">IF($A140="","",IFERROR($M140/$L140,""))</f>
        <v/>
      </c>
      <c r="P140" s="33" t="str">
        <f aca="false">IFERROR(INDEX('Process Tracking'!$E$5:$E$1003,MATCH($A140,'Process Tracking'!$A$5:$A$1003,0)),"")</f>
        <v/>
      </c>
      <c r="Q140" s="35" t="str">
        <f aca="false">IFERROR(INDEX(Documents!$Q$4:$Q$1003,MATCH($A140,Documents!$A$4:$A$1003,0)),"")</f>
        <v/>
      </c>
      <c r="R140" s="27"/>
      <c r="S140" s="31" t="str">
        <f aca="false">IFERROR(INDEX('Lead Management'!$O$4:$O$1003,MATCH($B140,'Lead Management'!$A$4:$A$1003,0)),"")</f>
        <v/>
      </c>
      <c r="T140" s="36" t="str">
        <f aca="false">IFERROR(INDEX('Lead Management'!$P$4:$P$1003,MATCH($B140,'Lead Management'!$A$4:$A$1003,0)),"")</f>
        <v/>
      </c>
      <c r="U140" s="32"/>
    </row>
    <row r="141" customFormat="false" ht="15.75" hidden="false" customHeight="true" outlineLevel="0" collapsed="false">
      <c r="A141" s="27"/>
      <c r="B141" s="27"/>
      <c r="C141" s="33" t="str">
        <f aca="false">IFERROR(INDEX('Lead Management'!$B$4:$B$1003,MATCH($B141,'Lead Management'!$A$4:$A$1003,0)),"")</f>
        <v/>
      </c>
      <c r="D141" s="33" t="str">
        <f aca="false">IFERROR(INDEX('Lead Management'!$C$4:$C$1003,MATCH($B141,'Lead Management'!$A$4:$A$1003,0)),"")</f>
        <v/>
      </c>
      <c r="E141" s="33" t="str">
        <f aca="false">IFERROR(INDEX('Lead Management'!$F$4:$F$1003,MATCH($B141,'Lead Management'!$A$4:$A$1003,0)),"")</f>
        <v/>
      </c>
      <c r="F141" s="27"/>
      <c r="G141" s="28"/>
      <c r="H141" s="28"/>
      <c r="I141" s="27"/>
      <c r="J141" s="29"/>
      <c r="K141" s="28"/>
      <c r="L141" s="34" t="str">
        <f aca="false">IF($F141="","",IFERROR(INDEX(Settings!$B$18:$B$27,MATCH($F141,Settings!$A$18:$A$27,0)),""))</f>
        <v/>
      </c>
      <c r="M141" s="34" t="str">
        <f aca="false">IF($A141="","",SUMIFS(Finance!$E$4:$E$1003,Finance!$B$4:$B$1003,$A141,Finance!$J$4:$J$1003,"Paid"))</f>
        <v/>
      </c>
      <c r="N141" s="34" t="str">
        <f aca="false">IF($A141="","",IFERROR($L141-$M141,""))</f>
        <v/>
      </c>
      <c r="O141" s="35" t="str">
        <f aca="false">IF($A141="","",IFERROR($M141/$L141,""))</f>
        <v/>
      </c>
      <c r="P141" s="33" t="str">
        <f aca="false">IFERROR(INDEX('Process Tracking'!$E$5:$E$1003,MATCH($A141,'Process Tracking'!$A$5:$A$1003,0)),"")</f>
        <v/>
      </c>
      <c r="Q141" s="35" t="str">
        <f aca="false">IFERROR(INDEX(Documents!$Q$4:$Q$1003,MATCH($A141,Documents!$A$4:$A$1003,0)),"")</f>
        <v/>
      </c>
      <c r="R141" s="27"/>
      <c r="S141" s="31" t="str">
        <f aca="false">IFERROR(INDEX('Lead Management'!$O$4:$O$1003,MATCH($B141,'Lead Management'!$A$4:$A$1003,0)),"")</f>
        <v/>
      </c>
      <c r="T141" s="36" t="str">
        <f aca="false">IFERROR(INDEX('Lead Management'!$P$4:$P$1003,MATCH($B141,'Lead Management'!$A$4:$A$1003,0)),"")</f>
        <v/>
      </c>
      <c r="U141" s="32"/>
    </row>
    <row r="142" customFormat="false" ht="15.75" hidden="false" customHeight="true" outlineLevel="0" collapsed="false">
      <c r="A142" s="27"/>
      <c r="B142" s="27"/>
      <c r="C142" s="33" t="str">
        <f aca="false">IFERROR(INDEX('Lead Management'!$B$4:$B$1003,MATCH($B142,'Lead Management'!$A$4:$A$1003,0)),"")</f>
        <v/>
      </c>
      <c r="D142" s="33" t="str">
        <f aca="false">IFERROR(INDEX('Lead Management'!$C$4:$C$1003,MATCH($B142,'Lead Management'!$A$4:$A$1003,0)),"")</f>
        <v/>
      </c>
      <c r="E142" s="33" t="str">
        <f aca="false">IFERROR(INDEX('Lead Management'!$F$4:$F$1003,MATCH($B142,'Lead Management'!$A$4:$A$1003,0)),"")</f>
        <v/>
      </c>
      <c r="F142" s="27"/>
      <c r="G142" s="28"/>
      <c r="H142" s="28"/>
      <c r="I142" s="27"/>
      <c r="J142" s="29"/>
      <c r="K142" s="28"/>
      <c r="L142" s="34" t="str">
        <f aca="false">IF($F142="","",IFERROR(INDEX(Settings!$B$18:$B$27,MATCH($F142,Settings!$A$18:$A$27,0)),""))</f>
        <v/>
      </c>
      <c r="M142" s="34" t="str">
        <f aca="false">IF($A142="","",SUMIFS(Finance!$E$4:$E$1003,Finance!$B$4:$B$1003,$A142,Finance!$J$4:$J$1003,"Paid"))</f>
        <v/>
      </c>
      <c r="N142" s="34" t="str">
        <f aca="false">IF($A142="","",IFERROR($L142-$M142,""))</f>
        <v/>
      </c>
      <c r="O142" s="35" t="str">
        <f aca="false">IF($A142="","",IFERROR($M142/$L142,""))</f>
        <v/>
      </c>
      <c r="P142" s="33" t="str">
        <f aca="false">IFERROR(INDEX('Process Tracking'!$E$5:$E$1003,MATCH($A142,'Process Tracking'!$A$5:$A$1003,0)),"")</f>
        <v/>
      </c>
      <c r="Q142" s="35" t="str">
        <f aca="false">IFERROR(INDEX(Documents!$Q$4:$Q$1003,MATCH($A142,Documents!$A$4:$A$1003,0)),"")</f>
        <v/>
      </c>
      <c r="R142" s="27"/>
      <c r="S142" s="31" t="str">
        <f aca="false">IFERROR(INDEX('Lead Management'!$O$4:$O$1003,MATCH($B142,'Lead Management'!$A$4:$A$1003,0)),"")</f>
        <v/>
      </c>
      <c r="T142" s="36" t="str">
        <f aca="false">IFERROR(INDEX('Lead Management'!$P$4:$P$1003,MATCH($B142,'Lead Management'!$A$4:$A$1003,0)),"")</f>
        <v/>
      </c>
      <c r="U142" s="32"/>
    </row>
    <row r="143" customFormat="false" ht="15.75" hidden="false" customHeight="true" outlineLevel="0" collapsed="false">
      <c r="A143" s="27"/>
      <c r="B143" s="27"/>
      <c r="C143" s="33" t="str">
        <f aca="false">IFERROR(INDEX('Lead Management'!$B$4:$B$1003,MATCH($B143,'Lead Management'!$A$4:$A$1003,0)),"")</f>
        <v/>
      </c>
      <c r="D143" s="33" t="str">
        <f aca="false">IFERROR(INDEX('Lead Management'!$C$4:$C$1003,MATCH($B143,'Lead Management'!$A$4:$A$1003,0)),"")</f>
        <v/>
      </c>
      <c r="E143" s="33" t="str">
        <f aca="false">IFERROR(INDEX('Lead Management'!$F$4:$F$1003,MATCH($B143,'Lead Management'!$A$4:$A$1003,0)),"")</f>
        <v/>
      </c>
      <c r="F143" s="27"/>
      <c r="G143" s="28"/>
      <c r="H143" s="28"/>
      <c r="I143" s="27"/>
      <c r="J143" s="29"/>
      <c r="K143" s="28"/>
      <c r="L143" s="34" t="str">
        <f aca="false">IF($F143="","",IFERROR(INDEX(Settings!$B$18:$B$27,MATCH($F143,Settings!$A$18:$A$27,0)),""))</f>
        <v/>
      </c>
      <c r="M143" s="34" t="str">
        <f aca="false">IF($A143="","",SUMIFS(Finance!$E$4:$E$1003,Finance!$B$4:$B$1003,$A143,Finance!$J$4:$J$1003,"Paid"))</f>
        <v/>
      </c>
      <c r="N143" s="34" t="str">
        <f aca="false">IF($A143="","",IFERROR($L143-$M143,""))</f>
        <v/>
      </c>
      <c r="O143" s="35" t="str">
        <f aca="false">IF($A143="","",IFERROR($M143/$L143,""))</f>
        <v/>
      </c>
      <c r="P143" s="33" t="str">
        <f aca="false">IFERROR(INDEX('Process Tracking'!$E$5:$E$1003,MATCH($A143,'Process Tracking'!$A$5:$A$1003,0)),"")</f>
        <v/>
      </c>
      <c r="Q143" s="35" t="str">
        <f aca="false">IFERROR(INDEX(Documents!$Q$4:$Q$1003,MATCH($A143,Documents!$A$4:$A$1003,0)),"")</f>
        <v/>
      </c>
      <c r="R143" s="27"/>
      <c r="S143" s="31" t="str">
        <f aca="false">IFERROR(INDEX('Lead Management'!$O$4:$O$1003,MATCH($B143,'Lead Management'!$A$4:$A$1003,0)),"")</f>
        <v/>
      </c>
      <c r="T143" s="36" t="str">
        <f aca="false">IFERROR(INDEX('Lead Management'!$P$4:$P$1003,MATCH($B143,'Lead Management'!$A$4:$A$1003,0)),"")</f>
        <v/>
      </c>
      <c r="U143" s="32"/>
    </row>
    <row r="144" customFormat="false" ht="15.75" hidden="false" customHeight="true" outlineLevel="0" collapsed="false">
      <c r="A144" s="27"/>
      <c r="B144" s="27"/>
      <c r="C144" s="33" t="str">
        <f aca="false">IFERROR(INDEX('Lead Management'!$B$4:$B$1003,MATCH($B144,'Lead Management'!$A$4:$A$1003,0)),"")</f>
        <v/>
      </c>
      <c r="D144" s="33" t="str">
        <f aca="false">IFERROR(INDEX('Lead Management'!$C$4:$C$1003,MATCH($B144,'Lead Management'!$A$4:$A$1003,0)),"")</f>
        <v/>
      </c>
      <c r="E144" s="33" t="str">
        <f aca="false">IFERROR(INDEX('Lead Management'!$F$4:$F$1003,MATCH($B144,'Lead Management'!$A$4:$A$1003,0)),"")</f>
        <v/>
      </c>
      <c r="F144" s="27"/>
      <c r="G144" s="28"/>
      <c r="H144" s="28"/>
      <c r="I144" s="27"/>
      <c r="J144" s="29"/>
      <c r="K144" s="28"/>
      <c r="L144" s="34" t="str">
        <f aca="false">IF($F144="","",IFERROR(INDEX(Settings!$B$18:$B$27,MATCH($F144,Settings!$A$18:$A$27,0)),""))</f>
        <v/>
      </c>
      <c r="M144" s="34" t="str">
        <f aca="false">IF($A144="","",SUMIFS(Finance!$E$4:$E$1003,Finance!$B$4:$B$1003,$A144,Finance!$J$4:$J$1003,"Paid"))</f>
        <v/>
      </c>
      <c r="N144" s="34" t="str">
        <f aca="false">IF($A144="","",IFERROR($L144-$M144,""))</f>
        <v/>
      </c>
      <c r="O144" s="35" t="str">
        <f aca="false">IF($A144="","",IFERROR($M144/$L144,""))</f>
        <v/>
      </c>
      <c r="P144" s="33" t="str">
        <f aca="false">IFERROR(INDEX('Process Tracking'!$E$5:$E$1003,MATCH($A144,'Process Tracking'!$A$5:$A$1003,0)),"")</f>
        <v/>
      </c>
      <c r="Q144" s="35" t="str">
        <f aca="false">IFERROR(INDEX(Documents!$Q$4:$Q$1003,MATCH($A144,Documents!$A$4:$A$1003,0)),"")</f>
        <v/>
      </c>
      <c r="R144" s="27"/>
      <c r="S144" s="31" t="str">
        <f aca="false">IFERROR(INDEX('Lead Management'!$O$4:$O$1003,MATCH($B144,'Lead Management'!$A$4:$A$1003,0)),"")</f>
        <v/>
      </c>
      <c r="T144" s="36" t="str">
        <f aca="false">IFERROR(INDEX('Lead Management'!$P$4:$P$1003,MATCH($B144,'Lead Management'!$A$4:$A$1003,0)),"")</f>
        <v/>
      </c>
      <c r="U144" s="32"/>
    </row>
    <row r="145" customFormat="false" ht="15.75" hidden="false" customHeight="true" outlineLevel="0" collapsed="false">
      <c r="A145" s="27"/>
      <c r="B145" s="27"/>
      <c r="C145" s="33" t="str">
        <f aca="false">IFERROR(INDEX('Lead Management'!$B$4:$B$1003,MATCH($B145,'Lead Management'!$A$4:$A$1003,0)),"")</f>
        <v/>
      </c>
      <c r="D145" s="33" t="str">
        <f aca="false">IFERROR(INDEX('Lead Management'!$C$4:$C$1003,MATCH($B145,'Lead Management'!$A$4:$A$1003,0)),"")</f>
        <v/>
      </c>
      <c r="E145" s="33" t="str">
        <f aca="false">IFERROR(INDEX('Lead Management'!$F$4:$F$1003,MATCH($B145,'Lead Management'!$A$4:$A$1003,0)),"")</f>
        <v/>
      </c>
      <c r="F145" s="27"/>
      <c r="G145" s="28"/>
      <c r="H145" s="28"/>
      <c r="I145" s="27"/>
      <c r="J145" s="29"/>
      <c r="K145" s="28"/>
      <c r="L145" s="34" t="str">
        <f aca="false">IF($F145="","",IFERROR(INDEX(Settings!$B$18:$B$27,MATCH($F145,Settings!$A$18:$A$27,0)),""))</f>
        <v/>
      </c>
      <c r="M145" s="34" t="str">
        <f aca="false">IF($A145="","",SUMIFS(Finance!$E$4:$E$1003,Finance!$B$4:$B$1003,$A145,Finance!$J$4:$J$1003,"Paid"))</f>
        <v/>
      </c>
      <c r="N145" s="34" t="str">
        <f aca="false">IF($A145="","",IFERROR($L145-$M145,""))</f>
        <v/>
      </c>
      <c r="O145" s="35" t="str">
        <f aca="false">IF($A145="","",IFERROR($M145/$L145,""))</f>
        <v/>
      </c>
      <c r="P145" s="33" t="str">
        <f aca="false">IFERROR(INDEX('Process Tracking'!$E$5:$E$1003,MATCH($A145,'Process Tracking'!$A$5:$A$1003,0)),"")</f>
        <v/>
      </c>
      <c r="Q145" s="35" t="str">
        <f aca="false">IFERROR(INDEX(Documents!$Q$4:$Q$1003,MATCH($A145,Documents!$A$4:$A$1003,0)),"")</f>
        <v/>
      </c>
      <c r="R145" s="27"/>
      <c r="S145" s="31" t="str">
        <f aca="false">IFERROR(INDEX('Lead Management'!$O$4:$O$1003,MATCH($B145,'Lead Management'!$A$4:$A$1003,0)),"")</f>
        <v/>
      </c>
      <c r="T145" s="36" t="str">
        <f aca="false">IFERROR(INDEX('Lead Management'!$P$4:$P$1003,MATCH($B145,'Lead Management'!$A$4:$A$1003,0)),"")</f>
        <v/>
      </c>
      <c r="U145" s="32"/>
    </row>
    <row r="146" customFormat="false" ht="15.75" hidden="false" customHeight="true" outlineLevel="0" collapsed="false">
      <c r="A146" s="27"/>
      <c r="B146" s="27"/>
      <c r="C146" s="33" t="str">
        <f aca="false">IFERROR(INDEX('Lead Management'!$B$4:$B$1003,MATCH($B146,'Lead Management'!$A$4:$A$1003,0)),"")</f>
        <v/>
      </c>
      <c r="D146" s="33" t="str">
        <f aca="false">IFERROR(INDEX('Lead Management'!$C$4:$C$1003,MATCH($B146,'Lead Management'!$A$4:$A$1003,0)),"")</f>
        <v/>
      </c>
      <c r="E146" s="33" t="str">
        <f aca="false">IFERROR(INDEX('Lead Management'!$F$4:$F$1003,MATCH($B146,'Lead Management'!$A$4:$A$1003,0)),"")</f>
        <v/>
      </c>
      <c r="F146" s="27"/>
      <c r="G146" s="28"/>
      <c r="H146" s="28"/>
      <c r="I146" s="27"/>
      <c r="J146" s="29"/>
      <c r="K146" s="28"/>
      <c r="L146" s="34" t="str">
        <f aca="false">IF($F146="","",IFERROR(INDEX(Settings!$B$18:$B$27,MATCH($F146,Settings!$A$18:$A$27,0)),""))</f>
        <v/>
      </c>
      <c r="M146" s="34" t="str">
        <f aca="false">IF($A146="","",SUMIFS(Finance!$E$4:$E$1003,Finance!$B$4:$B$1003,$A146,Finance!$J$4:$J$1003,"Paid"))</f>
        <v/>
      </c>
      <c r="N146" s="34" t="str">
        <f aca="false">IF($A146="","",IFERROR($L146-$M146,""))</f>
        <v/>
      </c>
      <c r="O146" s="35" t="str">
        <f aca="false">IF($A146="","",IFERROR($M146/$L146,""))</f>
        <v/>
      </c>
      <c r="P146" s="33" t="str">
        <f aca="false">IFERROR(INDEX('Process Tracking'!$E$5:$E$1003,MATCH($A146,'Process Tracking'!$A$5:$A$1003,0)),"")</f>
        <v/>
      </c>
      <c r="Q146" s="35" t="str">
        <f aca="false">IFERROR(INDEX(Documents!$Q$4:$Q$1003,MATCH($A146,Documents!$A$4:$A$1003,0)),"")</f>
        <v/>
      </c>
      <c r="R146" s="27"/>
      <c r="S146" s="31" t="str">
        <f aca="false">IFERROR(INDEX('Lead Management'!$O$4:$O$1003,MATCH($B146,'Lead Management'!$A$4:$A$1003,0)),"")</f>
        <v/>
      </c>
      <c r="T146" s="36" t="str">
        <f aca="false">IFERROR(INDEX('Lead Management'!$P$4:$P$1003,MATCH($B146,'Lead Management'!$A$4:$A$1003,0)),"")</f>
        <v/>
      </c>
      <c r="U146" s="32"/>
    </row>
    <row r="147" customFormat="false" ht="15.75" hidden="false" customHeight="true" outlineLevel="0" collapsed="false">
      <c r="A147" s="27"/>
      <c r="B147" s="27"/>
      <c r="C147" s="33" t="str">
        <f aca="false">IFERROR(INDEX('Lead Management'!$B$4:$B$1003,MATCH($B147,'Lead Management'!$A$4:$A$1003,0)),"")</f>
        <v/>
      </c>
      <c r="D147" s="33" t="str">
        <f aca="false">IFERROR(INDEX('Lead Management'!$C$4:$C$1003,MATCH($B147,'Lead Management'!$A$4:$A$1003,0)),"")</f>
        <v/>
      </c>
      <c r="E147" s="33" t="str">
        <f aca="false">IFERROR(INDEX('Lead Management'!$F$4:$F$1003,MATCH($B147,'Lead Management'!$A$4:$A$1003,0)),"")</f>
        <v/>
      </c>
      <c r="F147" s="27"/>
      <c r="G147" s="28"/>
      <c r="H147" s="28"/>
      <c r="I147" s="27"/>
      <c r="J147" s="29"/>
      <c r="K147" s="28"/>
      <c r="L147" s="34" t="str">
        <f aca="false">IF($F147="","",IFERROR(INDEX(Settings!$B$18:$B$27,MATCH($F147,Settings!$A$18:$A$27,0)),""))</f>
        <v/>
      </c>
      <c r="M147" s="34" t="str">
        <f aca="false">IF($A147="","",SUMIFS(Finance!$E$4:$E$1003,Finance!$B$4:$B$1003,$A147,Finance!$J$4:$J$1003,"Paid"))</f>
        <v/>
      </c>
      <c r="N147" s="34" t="str">
        <f aca="false">IF($A147="","",IFERROR($L147-$M147,""))</f>
        <v/>
      </c>
      <c r="O147" s="35" t="str">
        <f aca="false">IF($A147="","",IFERROR($M147/$L147,""))</f>
        <v/>
      </c>
      <c r="P147" s="33" t="str">
        <f aca="false">IFERROR(INDEX('Process Tracking'!$E$5:$E$1003,MATCH($A147,'Process Tracking'!$A$5:$A$1003,0)),"")</f>
        <v/>
      </c>
      <c r="Q147" s="35" t="str">
        <f aca="false">IFERROR(INDEX(Documents!$Q$4:$Q$1003,MATCH($A147,Documents!$A$4:$A$1003,0)),"")</f>
        <v/>
      </c>
      <c r="R147" s="27"/>
      <c r="S147" s="31" t="str">
        <f aca="false">IFERROR(INDEX('Lead Management'!$O$4:$O$1003,MATCH($B147,'Lead Management'!$A$4:$A$1003,0)),"")</f>
        <v/>
      </c>
      <c r="T147" s="36" t="str">
        <f aca="false">IFERROR(INDEX('Lead Management'!$P$4:$P$1003,MATCH($B147,'Lead Management'!$A$4:$A$1003,0)),"")</f>
        <v/>
      </c>
      <c r="U147" s="32"/>
    </row>
    <row r="148" customFormat="false" ht="15.75" hidden="false" customHeight="true" outlineLevel="0" collapsed="false">
      <c r="A148" s="27"/>
      <c r="B148" s="27"/>
      <c r="C148" s="33" t="str">
        <f aca="false">IFERROR(INDEX('Lead Management'!$B$4:$B$1003,MATCH($B148,'Lead Management'!$A$4:$A$1003,0)),"")</f>
        <v/>
      </c>
      <c r="D148" s="33" t="str">
        <f aca="false">IFERROR(INDEX('Lead Management'!$C$4:$C$1003,MATCH($B148,'Lead Management'!$A$4:$A$1003,0)),"")</f>
        <v/>
      </c>
      <c r="E148" s="33" t="str">
        <f aca="false">IFERROR(INDEX('Lead Management'!$F$4:$F$1003,MATCH($B148,'Lead Management'!$A$4:$A$1003,0)),"")</f>
        <v/>
      </c>
      <c r="F148" s="27"/>
      <c r="G148" s="28"/>
      <c r="H148" s="28"/>
      <c r="I148" s="27"/>
      <c r="J148" s="29"/>
      <c r="K148" s="28"/>
      <c r="L148" s="34" t="str">
        <f aca="false">IF($F148="","",IFERROR(INDEX(Settings!$B$18:$B$27,MATCH($F148,Settings!$A$18:$A$27,0)),""))</f>
        <v/>
      </c>
      <c r="M148" s="34" t="str">
        <f aca="false">IF($A148="","",SUMIFS(Finance!$E$4:$E$1003,Finance!$B$4:$B$1003,$A148,Finance!$J$4:$J$1003,"Paid"))</f>
        <v/>
      </c>
      <c r="N148" s="34" t="str">
        <f aca="false">IF($A148="","",IFERROR($L148-$M148,""))</f>
        <v/>
      </c>
      <c r="O148" s="35" t="str">
        <f aca="false">IF($A148="","",IFERROR($M148/$L148,""))</f>
        <v/>
      </c>
      <c r="P148" s="33" t="str">
        <f aca="false">IFERROR(INDEX('Process Tracking'!$E$5:$E$1003,MATCH($A148,'Process Tracking'!$A$5:$A$1003,0)),"")</f>
        <v/>
      </c>
      <c r="Q148" s="35" t="str">
        <f aca="false">IFERROR(INDEX(Documents!$Q$4:$Q$1003,MATCH($A148,Documents!$A$4:$A$1003,0)),"")</f>
        <v/>
      </c>
      <c r="R148" s="27"/>
      <c r="S148" s="31" t="str">
        <f aca="false">IFERROR(INDEX('Lead Management'!$O$4:$O$1003,MATCH($B148,'Lead Management'!$A$4:$A$1003,0)),"")</f>
        <v/>
      </c>
      <c r="T148" s="36" t="str">
        <f aca="false">IFERROR(INDEX('Lead Management'!$P$4:$P$1003,MATCH($B148,'Lead Management'!$A$4:$A$1003,0)),"")</f>
        <v/>
      </c>
      <c r="U148" s="32"/>
    </row>
    <row r="149" customFormat="false" ht="15.75" hidden="false" customHeight="true" outlineLevel="0" collapsed="false">
      <c r="A149" s="27"/>
      <c r="B149" s="27"/>
      <c r="C149" s="33" t="str">
        <f aca="false">IFERROR(INDEX('Lead Management'!$B$4:$B$1003,MATCH($B149,'Lead Management'!$A$4:$A$1003,0)),"")</f>
        <v/>
      </c>
      <c r="D149" s="33" t="str">
        <f aca="false">IFERROR(INDEX('Lead Management'!$C$4:$C$1003,MATCH($B149,'Lead Management'!$A$4:$A$1003,0)),"")</f>
        <v/>
      </c>
      <c r="E149" s="33" t="str">
        <f aca="false">IFERROR(INDEX('Lead Management'!$F$4:$F$1003,MATCH($B149,'Lead Management'!$A$4:$A$1003,0)),"")</f>
        <v/>
      </c>
      <c r="F149" s="27"/>
      <c r="G149" s="28"/>
      <c r="H149" s="28"/>
      <c r="I149" s="27"/>
      <c r="J149" s="29"/>
      <c r="K149" s="28"/>
      <c r="L149" s="34" t="str">
        <f aca="false">IF($F149="","",IFERROR(INDEX(Settings!$B$18:$B$27,MATCH($F149,Settings!$A$18:$A$27,0)),""))</f>
        <v/>
      </c>
      <c r="M149" s="34" t="str">
        <f aca="false">IF($A149="","",SUMIFS(Finance!$E$4:$E$1003,Finance!$B$4:$B$1003,$A149,Finance!$J$4:$J$1003,"Paid"))</f>
        <v/>
      </c>
      <c r="N149" s="34" t="str">
        <f aca="false">IF($A149="","",IFERROR($L149-$M149,""))</f>
        <v/>
      </c>
      <c r="O149" s="35" t="str">
        <f aca="false">IF($A149="","",IFERROR($M149/$L149,""))</f>
        <v/>
      </c>
      <c r="P149" s="33" t="str">
        <f aca="false">IFERROR(INDEX('Process Tracking'!$E$5:$E$1003,MATCH($A149,'Process Tracking'!$A$5:$A$1003,0)),"")</f>
        <v/>
      </c>
      <c r="Q149" s="35" t="str">
        <f aca="false">IFERROR(INDEX(Documents!$Q$4:$Q$1003,MATCH($A149,Documents!$A$4:$A$1003,0)),"")</f>
        <v/>
      </c>
      <c r="R149" s="27"/>
      <c r="S149" s="31" t="str">
        <f aca="false">IFERROR(INDEX('Lead Management'!$O$4:$O$1003,MATCH($B149,'Lead Management'!$A$4:$A$1003,0)),"")</f>
        <v/>
      </c>
      <c r="T149" s="36" t="str">
        <f aca="false">IFERROR(INDEX('Lead Management'!$P$4:$P$1003,MATCH($B149,'Lead Management'!$A$4:$A$1003,0)),"")</f>
        <v/>
      </c>
      <c r="U149" s="32"/>
    </row>
    <row r="150" customFormat="false" ht="15.75" hidden="false" customHeight="true" outlineLevel="0" collapsed="false">
      <c r="A150" s="27"/>
      <c r="B150" s="27"/>
      <c r="C150" s="33" t="str">
        <f aca="false">IFERROR(INDEX('Lead Management'!$B$4:$B$1003,MATCH($B150,'Lead Management'!$A$4:$A$1003,0)),"")</f>
        <v/>
      </c>
      <c r="D150" s="33" t="str">
        <f aca="false">IFERROR(INDEX('Lead Management'!$C$4:$C$1003,MATCH($B150,'Lead Management'!$A$4:$A$1003,0)),"")</f>
        <v/>
      </c>
      <c r="E150" s="33" t="str">
        <f aca="false">IFERROR(INDEX('Lead Management'!$F$4:$F$1003,MATCH($B150,'Lead Management'!$A$4:$A$1003,0)),"")</f>
        <v/>
      </c>
      <c r="F150" s="27"/>
      <c r="G150" s="28"/>
      <c r="H150" s="28"/>
      <c r="I150" s="27"/>
      <c r="J150" s="29"/>
      <c r="K150" s="28"/>
      <c r="L150" s="34" t="str">
        <f aca="false">IF($F150="","",IFERROR(INDEX(Settings!$B$18:$B$27,MATCH($F150,Settings!$A$18:$A$27,0)),""))</f>
        <v/>
      </c>
      <c r="M150" s="34" t="str">
        <f aca="false">IF($A150="","",SUMIFS(Finance!$E$4:$E$1003,Finance!$B$4:$B$1003,$A150,Finance!$J$4:$J$1003,"Paid"))</f>
        <v/>
      </c>
      <c r="N150" s="34" t="str">
        <f aca="false">IF($A150="","",IFERROR($L150-$M150,""))</f>
        <v/>
      </c>
      <c r="O150" s="35" t="str">
        <f aca="false">IF($A150="","",IFERROR($M150/$L150,""))</f>
        <v/>
      </c>
      <c r="P150" s="33" t="str">
        <f aca="false">IFERROR(INDEX('Process Tracking'!$E$5:$E$1003,MATCH($A150,'Process Tracking'!$A$5:$A$1003,0)),"")</f>
        <v/>
      </c>
      <c r="Q150" s="35" t="str">
        <f aca="false">IFERROR(INDEX(Documents!$Q$4:$Q$1003,MATCH($A150,Documents!$A$4:$A$1003,0)),"")</f>
        <v/>
      </c>
      <c r="R150" s="27"/>
      <c r="S150" s="31" t="str">
        <f aca="false">IFERROR(INDEX('Lead Management'!$O$4:$O$1003,MATCH($B150,'Lead Management'!$A$4:$A$1003,0)),"")</f>
        <v/>
      </c>
      <c r="T150" s="36" t="str">
        <f aca="false">IFERROR(INDEX('Lead Management'!$P$4:$P$1003,MATCH($B150,'Lead Management'!$A$4:$A$1003,0)),"")</f>
        <v/>
      </c>
      <c r="U150" s="32"/>
    </row>
    <row r="151" customFormat="false" ht="15.75" hidden="false" customHeight="true" outlineLevel="0" collapsed="false">
      <c r="A151" s="27"/>
      <c r="B151" s="27"/>
      <c r="C151" s="33" t="str">
        <f aca="false">IFERROR(INDEX('Lead Management'!$B$4:$B$1003,MATCH($B151,'Lead Management'!$A$4:$A$1003,0)),"")</f>
        <v/>
      </c>
      <c r="D151" s="33" t="str">
        <f aca="false">IFERROR(INDEX('Lead Management'!$C$4:$C$1003,MATCH($B151,'Lead Management'!$A$4:$A$1003,0)),"")</f>
        <v/>
      </c>
      <c r="E151" s="33" t="str">
        <f aca="false">IFERROR(INDEX('Lead Management'!$F$4:$F$1003,MATCH($B151,'Lead Management'!$A$4:$A$1003,0)),"")</f>
        <v/>
      </c>
      <c r="F151" s="27"/>
      <c r="G151" s="28"/>
      <c r="H151" s="28"/>
      <c r="I151" s="27"/>
      <c r="J151" s="29"/>
      <c r="K151" s="28"/>
      <c r="L151" s="34" t="str">
        <f aca="false">IF($F151="","",IFERROR(INDEX(Settings!$B$18:$B$27,MATCH($F151,Settings!$A$18:$A$27,0)),""))</f>
        <v/>
      </c>
      <c r="M151" s="34" t="str">
        <f aca="false">IF($A151="","",SUMIFS(Finance!$E$4:$E$1003,Finance!$B$4:$B$1003,$A151,Finance!$J$4:$J$1003,"Paid"))</f>
        <v/>
      </c>
      <c r="N151" s="34" t="str">
        <f aca="false">IF($A151="","",IFERROR($L151-$M151,""))</f>
        <v/>
      </c>
      <c r="O151" s="35" t="str">
        <f aca="false">IF($A151="","",IFERROR($M151/$L151,""))</f>
        <v/>
      </c>
      <c r="P151" s="33" t="str">
        <f aca="false">IFERROR(INDEX('Process Tracking'!$E$5:$E$1003,MATCH($A151,'Process Tracking'!$A$5:$A$1003,0)),"")</f>
        <v/>
      </c>
      <c r="Q151" s="35" t="str">
        <f aca="false">IFERROR(INDEX(Documents!$Q$4:$Q$1003,MATCH($A151,Documents!$A$4:$A$1003,0)),"")</f>
        <v/>
      </c>
      <c r="R151" s="27"/>
      <c r="S151" s="31" t="str">
        <f aca="false">IFERROR(INDEX('Lead Management'!$O$4:$O$1003,MATCH($B151,'Lead Management'!$A$4:$A$1003,0)),"")</f>
        <v/>
      </c>
      <c r="T151" s="36" t="str">
        <f aca="false">IFERROR(INDEX('Lead Management'!$P$4:$P$1003,MATCH($B151,'Lead Management'!$A$4:$A$1003,0)),"")</f>
        <v/>
      </c>
      <c r="U151" s="32"/>
    </row>
    <row r="152" customFormat="false" ht="15.75" hidden="false" customHeight="true" outlineLevel="0" collapsed="false">
      <c r="A152" s="27"/>
      <c r="B152" s="27"/>
      <c r="C152" s="33" t="str">
        <f aca="false">IFERROR(INDEX('Lead Management'!$B$4:$B$1003,MATCH($B152,'Lead Management'!$A$4:$A$1003,0)),"")</f>
        <v/>
      </c>
      <c r="D152" s="33" t="str">
        <f aca="false">IFERROR(INDEX('Lead Management'!$C$4:$C$1003,MATCH($B152,'Lead Management'!$A$4:$A$1003,0)),"")</f>
        <v/>
      </c>
      <c r="E152" s="33" t="str">
        <f aca="false">IFERROR(INDEX('Lead Management'!$F$4:$F$1003,MATCH($B152,'Lead Management'!$A$4:$A$1003,0)),"")</f>
        <v/>
      </c>
      <c r="F152" s="27"/>
      <c r="G152" s="28"/>
      <c r="H152" s="28"/>
      <c r="I152" s="27"/>
      <c r="J152" s="29"/>
      <c r="K152" s="28"/>
      <c r="L152" s="34" t="str">
        <f aca="false">IF($F152="","",IFERROR(INDEX(Settings!$B$18:$B$27,MATCH($F152,Settings!$A$18:$A$27,0)),""))</f>
        <v/>
      </c>
      <c r="M152" s="34" t="str">
        <f aca="false">IF($A152="","",SUMIFS(Finance!$E$4:$E$1003,Finance!$B$4:$B$1003,$A152,Finance!$J$4:$J$1003,"Paid"))</f>
        <v/>
      </c>
      <c r="N152" s="34" t="str">
        <f aca="false">IF($A152="","",IFERROR($L152-$M152,""))</f>
        <v/>
      </c>
      <c r="O152" s="35" t="str">
        <f aca="false">IF($A152="","",IFERROR($M152/$L152,""))</f>
        <v/>
      </c>
      <c r="P152" s="33" t="str">
        <f aca="false">IFERROR(INDEX('Process Tracking'!$E$5:$E$1003,MATCH($A152,'Process Tracking'!$A$5:$A$1003,0)),"")</f>
        <v/>
      </c>
      <c r="Q152" s="35" t="str">
        <f aca="false">IFERROR(INDEX(Documents!$Q$4:$Q$1003,MATCH($A152,Documents!$A$4:$A$1003,0)),"")</f>
        <v/>
      </c>
      <c r="R152" s="27"/>
      <c r="S152" s="31" t="str">
        <f aca="false">IFERROR(INDEX('Lead Management'!$O$4:$O$1003,MATCH($B152,'Lead Management'!$A$4:$A$1003,0)),"")</f>
        <v/>
      </c>
      <c r="T152" s="36" t="str">
        <f aca="false">IFERROR(INDEX('Lead Management'!$P$4:$P$1003,MATCH($B152,'Lead Management'!$A$4:$A$1003,0)),"")</f>
        <v/>
      </c>
      <c r="U152" s="32"/>
    </row>
    <row r="153" customFormat="false" ht="15.75" hidden="false" customHeight="true" outlineLevel="0" collapsed="false">
      <c r="A153" s="27"/>
      <c r="B153" s="27"/>
      <c r="C153" s="33" t="str">
        <f aca="false">IFERROR(INDEX('Lead Management'!$B$4:$B$1003,MATCH($B153,'Lead Management'!$A$4:$A$1003,0)),"")</f>
        <v/>
      </c>
      <c r="D153" s="33" t="str">
        <f aca="false">IFERROR(INDEX('Lead Management'!$C$4:$C$1003,MATCH($B153,'Lead Management'!$A$4:$A$1003,0)),"")</f>
        <v/>
      </c>
      <c r="E153" s="33" t="str">
        <f aca="false">IFERROR(INDEX('Lead Management'!$F$4:$F$1003,MATCH($B153,'Lead Management'!$A$4:$A$1003,0)),"")</f>
        <v/>
      </c>
      <c r="F153" s="27"/>
      <c r="G153" s="28"/>
      <c r="H153" s="28"/>
      <c r="I153" s="27"/>
      <c r="J153" s="29"/>
      <c r="K153" s="28"/>
      <c r="L153" s="34" t="str">
        <f aca="false">IF($F153="","",IFERROR(INDEX(Settings!$B$18:$B$27,MATCH($F153,Settings!$A$18:$A$27,0)),""))</f>
        <v/>
      </c>
      <c r="M153" s="34" t="str">
        <f aca="false">IF($A153="","",SUMIFS(Finance!$E$4:$E$1003,Finance!$B$4:$B$1003,$A153,Finance!$J$4:$J$1003,"Paid"))</f>
        <v/>
      </c>
      <c r="N153" s="34" t="str">
        <f aca="false">IF($A153="","",IFERROR($L153-$M153,""))</f>
        <v/>
      </c>
      <c r="O153" s="35" t="str">
        <f aca="false">IF($A153="","",IFERROR($M153/$L153,""))</f>
        <v/>
      </c>
      <c r="P153" s="33" t="str">
        <f aca="false">IFERROR(INDEX('Process Tracking'!$E$5:$E$1003,MATCH($A153,'Process Tracking'!$A$5:$A$1003,0)),"")</f>
        <v/>
      </c>
      <c r="Q153" s="35" t="str">
        <f aca="false">IFERROR(INDEX(Documents!$Q$4:$Q$1003,MATCH($A153,Documents!$A$4:$A$1003,0)),"")</f>
        <v/>
      </c>
      <c r="R153" s="27"/>
      <c r="S153" s="31" t="str">
        <f aca="false">IFERROR(INDEX('Lead Management'!$O$4:$O$1003,MATCH($B153,'Lead Management'!$A$4:$A$1003,0)),"")</f>
        <v/>
      </c>
      <c r="T153" s="36" t="str">
        <f aca="false">IFERROR(INDEX('Lead Management'!$P$4:$P$1003,MATCH($B153,'Lead Management'!$A$4:$A$1003,0)),"")</f>
        <v/>
      </c>
      <c r="U153" s="32"/>
    </row>
    <row r="154" customFormat="false" ht="15.75" hidden="false" customHeight="true" outlineLevel="0" collapsed="false">
      <c r="A154" s="27"/>
      <c r="B154" s="27"/>
      <c r="C154" s="33" t="str">
        <f aca="false">IFERROR(INDEX('Lead Management'!$B$4:$B$1003,MATCH($B154,'Lead Management'!$A$4:$A$1003,0)),"")</f>
        <v/>
      </c>
      <c r="D154" s="33" t="str">
        <f aca="false">IFERROR(INDEX('Lead Management'!$C$4:$C$1003,MATCH($B154,'Lead Management'!$A$4:$A$1003,0)),"")</f>
        <v/>
      </c>
      <c r="E154" s="33" t="str">
        <f aca="false">IFERROR(INDEX('Lead Management'!$F$4:$F$1003,MATCH($B154,'Lead Management'!$A$4:$A$1003,0)),"")</f>
        <v/>
      </c>
      <c r="F154" s="27"/>
      <c r="G154" s="28"/>
      <c r="H154" s="28"/>
      <c r="I154" s="27"/>
      <c r="J154" s="29"/>
      <c r="K154" s="28"/>
      <c r="L154" s="34" t="str">
        <f aca="false">IF($F154="","",IFERROR(INDEX(Settings!$B$18:$B$27,MATCH($F154,Settings!$A$18:$A$27,0)),""))</f>
        <v/>
      </c>
      <c r="M154" s="34" t="str">
        <f aca="false">IF($A154="","",SUMIFS(Finance!$E$4:$E$1003,Finance!$B$4:$B$1003,$A154,Finance!$J$4:$J$1003,"Paid"))</f>
        <v/>
      </c>
      <c r="N154" s="34" t="str">
        <f aca="false">IF($A154="","",IFERROR($L154-$M154,""))</f>
        <v/>
      </c>
      <c r="O154" s="35" t="str">
        <f aca="false">IF($A154="","",IFERROR($M154/$L154,""))</f>
        <v/>
      </c>
      <c r="P154" s="33" t="str">
        <f aca="false">IFERROR(INDEX('Process Tracking'!$E$5:$E$1003,MATCH($A154,'Process Tracking'!$A$5:$A$1003,0)),"")</f>
        <v/>
      </c>
      <c r="Q154" s="35" t="str">
        <f aca="false">IFERROR(INDEX(Documents!$Q$4:$Q$1003,MATCH($A154,Documents!$A$4:$A$1003,0)),"")</f>
        <v/>
      </c>
      <c r="R154" s="27"/>
      <c r="S154" s="31" t="str">
        <f aca="false">IFERROR(INDEX('Lead Management'!$O$4:$O$1003,MATCH($B154,'Lead Management'!$A$4:$A$1003,0)),"")</f>
        <v/>
      </c>
      <c r="T154" s="36" t="str">
        <f aca="false">IFERROR(INDEX('Lead Management'!$P$4:$P$1003,MATCH($B154,'Lead Management'!$A$4:$A$1003,0)),"")</f>
        <v/>
      </c>
      <c r="U154" s="32"/>
    </row>
    <row r="155" customFormat="false" ht="15.75" hidden="false" customHeight="true" outlineLevel="0" collapsed="false">
      <c r="A155" s="27"/>
      <c r="B155" s="27"/>
      <c r="C155" s="33" t="str">
        <f aca="false">IFERROR(INDEX('Lead Management'!$B$4:$B$1003,MATCH($B155,'Lead Management'!$A$4:$A$1003,0)),"")</f>
        <v/>
      </c>
      <c r="D155" s="33" t="str">
        <f aca="false">IFERROR(INDEX('Lead Management'!$C$4:$C$1003,MATCH($B155,'Lead Management'!$A$4:$A$1003,0)),"")</f>
        <v/>
      </c>
      <c r="E155" s="33" t="str">
        <f aca="false">IFERROR(INDEX('Lead Management'!$F$4:$F$1003,MATCH($B155,'Lead Management'!$A$4:$A$1003,0)),"")</f>
        <v/>
      </c>
      <c r="F155" s="27"/>
      <c r="G155" s="28"/>
      <c r="H155" s="28"/>
      <c r="I155" s="27"/>
      <c r="J155" s="29"/>
      <c r="K155" s="28"/>
      <c r="L155" s="34" t="str">
        <f aca="false">IF($F155="","",IFERROR(INDEX(Settings!$B$18:$B$27,MATCH($F155,Settings!$A$18:$A$27,0)),""))</f>
        <v/>
      </c>
      <c r="M155" s="34" t="str">
        <f aca="false">IF($A155="","",SUMIFS(Finance!$E$4:$E$1003,Finance!$B$4:$B$1003,$A155,Finance!$J$4:$J$1003,"Paid"))</f>
        <v/>
      </c>
      <c r="N155" s="34" t="str">
        <f aca="false">IF($A155="","",IFERROR($L155-$M155,""))</f>
        <v/>
      </c>
      <c r="O155" s="35" t="str">
        <f aca="false">IF($A155="","",IFERROR($M155/$L155,""))</f>
        <v/>
      </c>
      <c r="P155" s="33" t="str">
        <f aca="false">IFERROR(INDEX('Process Tracking'!$E$5:$E$1003,MATCH($A155,'Process Tracking'!$A$5:$A$1003,0)),"")</f>
        <v/>
      </c>
      <c r="Q155" s="35" t="str">
        <f aca="false">IFERROR(INDEX(Documents!$Q$4:$Q$1003,MATCH($A155,Documents!$A$4:$A$1003,0)),"")</f>
        <v/>
      </c>
      <c r="R155" s="27"/>
      <c r="S155" s="31" t="str">
        <f aca="false">IFERROR(INDEX('Lead Management'!$O$4:$O$1003,MATCH($B155,'Lead Management'!$A$4:$A$1003,0)),"")</f>
        <v/>
      </c>
      <c r="T155" s="36" t="str">
        <f aca="false">IFERROR(INDEX('Lead Management'!$P$4:$P$1003,MATCH($B155,'Lead Management'!$A$4:$A$1003,0)),"")</f>
        <v/>
      </c>
      <c r="U155" s="32"/>
    </row>
    <row r="156" customFormat="false" ht="15.75" hidden="false" customHeight="true" outlineLevel="0" collapsed="false">
      <c r="A156" s="27"/>
      <c r="B156" s="27"/>
      <c r="C156" s="33" t="str">
        <f aca="false">IFERROR(INDEX('Lead Management'!$B$4:$B$1003,MATCH($B156,'Lead Management'!$A$4:$A$1003,0)),"")</f>
        <v/>
      </c>
      <c r="D156" s="33" t="str">
        <f aca="false">IFERROR(INDEX('Lead Management'!$C$4:$C$1003,MATCH($B156,'Lead Management'!$A$4:$A$1003,0)),"")</f>
        <v/>
      </c>
      <c r="E156" s="33" t="str">
        <f aca="false">IFERROR(INDEX('Lead Management'!$F$4:$F$1003,MATCH($B156,'Lead Management'!$A$4:$A$1003,0)),"")</f>
        <v/>
      </c>
      <c r="F156" s="27"/>
      <c r="G156" s="28"/>
      <c r="H156" s="28"/>
      <c r="I156" s="27"/>
      <c r="J156" s="29"/>
      <c r="K156" s="28"/>
      <c r="L156" s="34" t="str">
        <f aca="false">IF($F156="","",IFERROR(INDEX(Settings!$B$18:$B$27,MATCH($F156,Settings!$A$18:$A$27,0)),""))</f>
        <v/>
      </c>
      <c r="M156" s="34" t="str">
        <f aca="false">IF($A156="","",SUMIFS(Finance!$E$4:$E$1003,Finance!$B$4:$B$1003,$A156,Finance!$J$4:$J$1003,"Paid"))</f>
        <v/>
      </c>
      <c r="N156" s="34" t="str">
        <f aca="false">IF($A156="","",IFERROR($L156-$M156,""))</f>
        <v/>
      </c>
      <c r="O156" s="35" t="str">
        <f aca="false">IF($A156="","",IFERROR($M156/$L156,""))</f>
        <v/>
      </c>
      <c r="P156" s="33" t="str">
        <f aca="false">IFERROR(INDEX('Process Tracking'!$E$5:$E$1003,MATCH($A156,'Process Tracking'!$A$5:$A$1003,0)),"")</f>
        <v/>
      </c>
      <c r="Q156" s="35" t="str">
        <f aca="false">IFERROR(INDEX(Documents!$Q$4:$Q$1003,MATCH($A156,Documents!$A$4:$A$1003,0)),"")</f>
        <v/>
      </c>
      <c r="R156" s="27"/>
      <c r="S156" s="31" t="str">
        <f aca="false">IFERROR(INDEX('Lead Management'!$O$4:$O$1003,MATCH($B156,'Lead Management'!$A$4:$A$1003,0)),"")</f>
        <v/>
      </c>
      <c r="T156" s="36" t="str">
        <f aca="false">IFERROR(INDEX('Lead Management'!$P$4:$P$1003,MATCH($B156,'Lead Management'!$A$4:$A$1003,0)),"")</f>
        <v/>
      </c>
      <c r="U156" s="32"/>
    </row>
    <row r="157" customFormat="false" ht="15.75" hidden="false" customHeight="true" outlineLevel="0" collapsed="false">
      <c r="A157" s="27"/>
      <c r="B157" s="27"/>
      <c r="C157" s="33" t="str">
        <f aca="false">IFERROR(INDEX('Lead Management'!$B$4:$B$1003,MATCH($B157,'Lead Management'!$A$4:$A$1003,0)),"")</f>
        <v/>
      </c>
      <c r="D157" s="33" t="str">
        <f aca="false">IFERROR(INDEX('Lead Management'!$C$4:$C$1003,MATCH($B157,'Lead Management'!$A$4:$A$1003,0)),"")</f>
        <v/>
      </c>
      <c r="E157" s="33" t="str">
        <f aca="false">IFERROR(INDEX('Lead Management'!$F$4:$F$1003,MATCH($B157,'Lead Management'!$A$4:$A$1003,0)),"")</f>
        <v/>
      </c>
      <c r="F157" s="27"/>
      <c r="G157" s="28"/>
      <c r="H157" s="28"/>
      <c r="I157" s="27"/>
      <c r="J157" s="29"/>
      <c r="K157" s="28"/>
      <c r="L157" s="34" t="str">
        <f aca="false">IF($F157="","",IFERROR(INDEX(Settings!$B$18:$B$27,MATCH($F157,Settings!$A$18:$A$27,0)),""))</f>
        <v/>
      </c>
      <c r="M157" s="34" t="str">
        <f aca="false">IF($A157="","",SUMIFS(Finance!$E$4:$E$1003,Finance!$B$4:$B$1003,$A157,Finance!$J$4:$J$1003,"Paid"))</f>
        <v/>
      </c>
      <c r="N157" s="34" t="str">
        <f aca="false">IF($A157="","",IFERROR($L157-$M157,""))</f>
        <v/>
      </c>
      <c r="O157" s="35" t="str">
        <f aca="false">IF($A157="","",IFERROR($M157/$L157,""))</f>
        <v/>
      </c>
      <c r="P157" s="33" t="str">
        <f aca="false">IFERROR(INDEX('Process Tracking'!$E$5:$E$1003,MATCH($A157,'Process Tracking'!$A$5:$A$1003,0)),"")</f>
        <v/>
      </c>
      <c r="Q157" s="35" t="str">
        <f aca="false">IFERROR(INDEX(Documents!$Q$4:$Q$1003,MATCH($A157,Documents!$A$4:$A$1003,0)),"")</f>
        <v/>
      </c>
      <c r="R157" s="27"/>
      <c r="S157" s="31" t="str">
        <f aca="false">IFERROR(INDEX('Lead Management'!$O$4:$O$1003,MATCH($B157,'Lead Management'!$A$4:$A$1003,0)),"")</f>
        <v/>
      </c>
      <c r="T157" s="36" t="str">
        <f aca="false">IFERROR(INDEX('Lead Management'!$P$4:$P$1003,MATCH($B157,'Lead Management'!$A$4:$A$1003,0)),"")</f>
        <v/>
      </c>
      <c r="U157" s="32"/>
    </row>
    <row r="158" customFormat="false" ht="15.75" hidden="false" customHeight="true" outlineLevel="0" collapsed="false">
      <c r="A158" s="27"/>
      <c r="B158" s="27"/>
      <c r="C158" s="33" t="str">
        <f aca="false">IFERROR(INDEX('Lead Management'!$B$4:$B$1003,MATCH($B158,'Lead Management'!$A$4:$A$1003,0)),"")</f>
        <v/>
      </c>
      <c r="D158" s="33" t="str">
        <f aca="false">IFERROR(INDEX('Lead Management'!$C$4:$C$1003,MATCH($B158,'Lead Management'!$A$4:$A$1003,0)),"")</f>
        <v/>
      </c>
      <c r="E158" s="33" t="str">
        <f aca="false">IFERROR(INDEX('Lead Management'!$F$4:$F$1003,MATCH($B158,'Lead Management'!$A$4:$A$1003,0)),"")</f>
        <v/>
      </c>
      <c r="F158" s="27"/>
      <c r="G158" s="28"/>
      <c r="H158" s="28"/>
      <c r="I158" s="27"/>
      <c r="J158" s="29"/>
      <c r="K158" s="28"/>
      <c r="L158" s="34" t="str">
        <f aca="false">IF($F158="","",IFERROR(INDEX(Settings!$B$18:$B$27,MATCH($F158,Settings!$A$18:$A$27,0)),""))</f>
        <v/>
      </c>
      <c r="M158" s="34" t="str">
        <f aca="false">IF($A158="","",SUMIFS(Finance!$E$4:$E$1003,Finance!$B$4:$B$1003,$A158,Finance!$J$4:$J$1003,"Paid"))</f>
        <v/>
      </c>
      <c r="N158" s="34" t="str">
        <f aca="false">IF($A158="","",IFERROR($L158-$M158,""))</f>
        <v/>
      </c>
      <c r="O158" s="35" t="str">
        <f aca="false">IF($A158="","",IFERROR($M158/$L158,""))</f>
        <v/>
      </c>
      <c r="P158" s="33" t="str">
        <f aca="false">IFERROR(INDEX('Process Tracking'!$E$5:$E$1003,MATCH($A158,'Process Tracking'!$A$5:$A$1003,0)),"")</f>
        <v/>
      </c>
      <c r="Q158" s="35" t="str">
        <f aca="false">IFERROR(INDEX(Documents!$Q$4:$Q$1003,MATCH($A158,Documents!$A$4:$A$1003,0)),"")</f>
        <v/>
      </c>
      <c r="R158" s="27"/>
      <c r="S158" s="31" t="str">
        <f aca="false">IFERROR(INDEX('Lead Management'!$O$4:$O$1003,MATCH($B158,'Lead Management'!$A$4:$A$1003,0)),"")</f>
        <v/>
      </c>
      <c r="T158" s="36" t="str">
        <f aca="false">IFERROR(INDEX('Lead Management'!$P$4:$P$1003,MATCH($B158,'Lead Management'!$A$4:$A$1003,0)),"")</f>
        <v/>
      </c>
      <c r="U158" s="32"/>
    </row>
    <row r="159" customFormat="false" ht="15.75" hidden="false" customHeight="true" outlineLevel="0" collapsed="false">
      <c r="A159" s="27"/>
      <c r="B159" s="27"/>
      <c r="C159" s="33" t="str">
        <f aca="false">IFERROR(INDEX('Lead Management'!$B$4:$B$1003,MATCH($B159,'Lead Management'!$A$4:$A$1003,0)),"")</f>
        <v/>
      </c>
      <c r="D159" s="33" t="str">
        <f aca="false">IFERROR(INDEX('Lead Management'!$C$4:$C$1003,MATCH($B159,'Lead Management'!$A$4:$A$1003,0)),"")</f>
        <v/>
      </c>
      <c r="E159" s="33" t="str">
        <f aca="false">IFERROR(INDEX('Lead Management'!$F$4:$F$1003,MATCH($B159,'Lead Management'!$A$4:$A$1003,0)),"")</f>
        <v/>
      </c>
      <c r="F159" s="27"/>
      <c r="G159" s="28"/>
      <c r="H159" s="28"/>
      <c r="I159" s="27"/>
      <c r="J159" s="29"/>
      <c r="K159" s="28"/>
      <c r="L159" s="34" t="str">
        <f aca="false">IF($F159="","",IFERROR(INDEX(Settings!$B$18:$B$27,MATCH($F159,Settings!$A$18:$A$27,0)),""))</f>
        <v/>
      </c>
      <c r="M159" s="34" t="str">
        <f aca="false">IF($A159="","",SUMIFS(Finance!$E$4:$E$1003,Finance!$B$4:$B$1003,$A159,Finance!$J$4:$J$1003,"Paid"))</f>
        <v/>
      </c>
      <c r="N159" s="34" t="str">
        <f aca="false">IF($A159="","",IFERROR($L159-$M159,""))</f>
        <v/>
      </c>
      <c r="O159" s="35" t="str">
        <f aca="false">IF($A159="","",IFERROR($M159/$L159,""))</f>
        <v/>
      </c>
      <c r="P159" s="33" t="str">
        <f aca="false">IFERROR(INDEX('Process Tracking'!$E$5:$E$1003,MATCH($A159,'Process Tracking'!$A$5:$A$1003,0)),"")</f>
        <v/>
      </c>
      <c r="Q159" s="35" t="str">
        <f aca="false">IFERROR(INDEX(Documents!$Q$4:$Q$1003,MATCH($A159,Documents!$A$4:$A$1003,0)),"")</f>
        <v/>
      </c>
      <c r="R159" s="27"/>
      <c r="S159" s="31" t="str">
        <f aca="false">IFERROR(INDEX('Lead Management'!$O$4:$O$1003,MATCH($B159,'Lead Management'!$A$4:$A$1003,0)),"")</f>
        <v/>
      </c>
      <c r="T159" s="36" t="str">
        <f aca="false">IFERROR(INDEX('Lead Management'!$P$4:$P$1003,MATCH($B159,'Lead Management'!$A$4:$A$1003,0)),"")</f>
        <v/>
      </c>
      <c r="U159" s="32"/>
    </row>
    <row r="160" customFormat="false" ht="15.75" hidden="false" customHeight="true" outlineLevel="0" collapsed="false">
      <c r="A160" s="27"/>
      <c r="B160" s="27"/>
      <c r="C160" s="33" t="str">
        <f aca="false">IFERROR(INDEX('Lead Management'!$B$4:$B$1003,MATCH($B160,'Lead Management'!$A$4:$A$1003,0)),"")</f>
        <v/>
      </c>
      <c r="D160" s="33" t="str">
        <f aca="false">IFERROR(INDEX('Lead Management'!$C$4:$C$1003,MATCH($B160,'Lead Management'!$A$4:$A$1003,0)),"")</f>
        <v/>
      </c>
      <c r="E160" s="33" t="str">
        <f aca="false">IFERROR(INDEX('Lead Management'!$F$4:$F$1003,MATCH($B160,'Lead Management'!$A$4:$A$1003,0)),"")</f>
        <v/>
      </c>
      <c r="F160" s="27"/>
      <c r="G160" s="28"/>
      <c r="H160" s="28"/>
      <c r="I160" s="27"/>
      <c r="J160" s="29"/>
      <c r="K160" s="28"/>
      <c r="L160" s="34" t="str">
        <f aca="false">IF($F160="","",IFERROR(INDEX(Settings!$B$18:$B$27,MATCH($F160,Settings!$A$18:$A$27,0)),""))</f>
        <v/>
      </c>
      <c r="M160" s="34" t="str">
        <f aca="false">IF($A160="","",SUMIFS(Finance!$E$4:$E$1003,Finance!$B$4:$B$1003,$A160,Finance!$J$4:$J$1003,"Paid"))</f>
        <v/>
      </c>
      <c r="N160" s="34" t="str">
        <f aca="false">IF($A160="","",IFERROR($L160-$M160,""))</f>
        <v/>
      </c>
      <c r="O160" s="35" t="str">
        <f aca="false">IF($A160="","",IFERROR($M160/$L160,""))</f>
        <v/>
      </c>
      <c r="P160" s="33" t="str">
        <f aca="false">IFERROR(INDEX('Process Tracking'!$E$5:$E$1003,MATCH($A160,'Process Tracking'!$A$5:$A$1003,0)),"")</f>
        <v/>
      </c>
      <c r="Q160" s="35" t="str">
        <f aca="false">IFERROR(INDEX(Documents!$Q$4:$Q$1003,MATCH($A160,Documents!$A$4:$A$1003,0)),"")</f>
        <v/>
      </c>
      <c r="R160" s="27"/>
      <c r="S160" s="31" t="str">
        <f aca="false">IFERROR(INDEX('Lead Management'!$O$4:$O$1003,MATCH($B160,'Lead Management'!$A$4:$A$1003,0)),"")</f>
        <v/>
      </c>
      <c r="T160" s="36" t="str">
        <f aca="false">IFERROR(INDEX('Lead Management'!$P$4:$P$1003,MATCH($B160,'Lead Management'!$A$4:$A$1003,0)),"")</f>
        <v/>
      </c>
      <c r="U160" s="32"/>
    </row>
    <row r="161" customFormat="false" ht="15.75" hidden="false" customHeight="true" outlineLevel="0" collapsed="false">
      <c r="A161" s="27"/>
      <c r="B161" s="27"/>
      <c r="C161" s="33" t="str">
        <f aca="false">IFERROR(INDEX('Lead Management'!$B$4:$B$1003,MATCH($B161,'Lead Management'!$A$4:$A$1003,0)),"")</f>
        <v/>
      </c>
      <c r="D161" s="33" t="str">
        <f aca="false">IFERROR(INDEX('Lead Management'!$C$4:$C$1003,MATCH($B161,'Lead Management'!$A$4:$A$1003,0)),"")</f>
        <v/>
      </c>
      <c r="E161" s="33" t="str">
        <f aca="false">IFERROR(INDEX('Lead Management'!$F$4:$F$1003,MATCH($B161,'Lead Management'!$A$4:$A$1003,0)),"")</f>
        <v/>
      </c>
      <c r="F161" s="27"/>
      <c r="G161" s="28"/>
      <c r="H161" s="28"/>
      <c r="I161" s="27"/>
      <c r="J161" s="29"/>
      <c r="K161" s="28"/>
      <c r="L161" s="34" t="str">
        <f aca="false">IF($F161="","",IFERROR(INDEX(Settings!$B$18:$B$27,MATCH($F161,Settings!$A$18:$A$27,0)),""))</f>
        <v/>
      </c>
      <c r="M161" s="34" t="str">
        <f aca="false">IF($A161="","",SUMIFS(Finance!$E$4:$E$1003,Finance!$B$4:$B$1003,$A161,Finance!$J$4:$J$1003,"Paid"))</f>
        <v/>
      </c>
      <c r="N161" s="34" t="str">
        <f aca="false">IF($A161="","",IFERROR($L161-$M161,""))</f>
        <v/>
      </c>
      <c r="O161" s="35" t="str">
        <f aca="false">IF($A161="","",IFERROR($M161/$L161,""))</f>
        <v/>
      </c>
      <c r="P161" s="33" t="str">
        <f aca="false">IFERROR(INDEX('Process Tracking'!$E$5:$E$1003,MATCH($A161,'Process Tracking'!$A$5:$A$1003,0)),"")</f>
        <v/>
      </c>
      <c r="Q161" s="35" t="str">
        <f aca="false">IFERROR(INDEX(Documents!$Q$4:$Q$1003,MATCH($A161,Documents!$A$4:$A$1003,0)),"")</f>
        <v/>
      </c>
      <c r="R161" s="27"/>
      <c r="S161" s="31" t="str">
        <f aca="false">IFERROR(INDEX('Lead Management'!$O$4:$O$1003,MATCH($B161,'Lead Management'!$A$4:$A$1003,0)),"")</f>
        <v/>
      </c>
      <c r="T161" s="36" t="str">
        <f aca="false">IFERROR(INDEX('Lead Management'!$P$4:$P$1003,MATCH($B161,'Lead Management'!$A$4:$A$1003,0)),"")</f>
        <v/>
      </c>
      <c r="U161" s="32"/>
    </row>
    <row r="162" customFormat="false" ht="15.75" hidden="false" customHeight="true" outlineLevel="0" collapsed="false">
      <c r="A162" s="27"/>
      <c r="B162" s="27"/>
      <c r="C162" s="33" t="str">
        <f aca="false">IFERROR(INDEX('Lead Management'!$B$4:$B$1003,MATCH($B162,'Lead Management'!$A$4:$A$1003,0)),"")</f>
        <v/>
      </c>
      <c r="D162" s="33" t="str">
        <f aca="false">IFERROR(INDEX('Lead Management'!$C$4:$C$1003,MATCH($B162,'Lead Management'!$A$4:$A$1003,0)),"")</f>
        <v/>
      </c>
      <c r="E162" s="33" t="str">
        <f aca="false">IFERROR(INDEX('Lead Management'!$F$4:$F$1003,MATCH($B162,'Lead Management'!$A$4:$A$1003,0)),"")</f>
        <v/>
      </c>
      <c r="F162" s="27"/>
      <c r="G162" s="28"/>
      <c r="H162" s="28"/>
      <c r="I162" s="27"/>
      <c r="J162" s="29"/>
      <c r="K162" s="28"/>
      <c r="L162" s="34" t="str">
        <f aca="false">IF($F162="","",IFERROR(INDEX(Settings!$B$18:$B$27,MATCH($F162,Settings!$A$18:$A$27,0)),""))</f>
        <v/>
      </c>
      <c r="M162" s="34" t="str">
        <f aca="false">IF($A162="","",SUMIFS(Finance!$E$4:$E$1003,Finance!$B$4:$B$1003,$A162,Finance!$J$4:$J$1003,"Paid"))</f>
        <v/>
      </c>
      <c r="N162" s="34" t="str">
        <f aca="false">IF($A162="","",IFERROR($L162-$M162,""))</f>
        <v/>
      </c>
      <c r="O162" s="35" t="str">
        <f aca="false">IF($A162="","",IFERROR($M162/$L162,""))</f>
        <v/>
      </c>
      <c r="P162" s="33" t="str">
        <f aca="false">IFERROR(INDEX('Process Tracking'!$E$5:$E$1003,MATCH($A162,'Process Tracking'!$A$5:$A$1003,0)),"")</f>
        <v/>
      </c>
      <c r="Q162" s="35" t="str">
        <f aca="false">IFERROR(INDEX(Documents!$Q$4:$Q$1003,MATCH($A162,Documents!$A$4:$A$1003,0)),"")</f>
        <v/>
      </c>
      <c r="R162" s="27"/>
      <c r="S162" s="31" t="str">
        <f aca="false">IFERROR(INDEX('Lead Management'!$O$4:$O$1003,MATCH($B162,'Lead Management'!$A$4:$A$1003,0)),"")</f>
        <v/>
      </c>
      <c r="T162" s="36" t="str">
        <f aca="false">IFERROR(INDEX('Lead Management'!$P$4:$P$1003,MATCH($B162,'Lead Management'!$A$4:$A$1003,0)),"")</f>
        <v/>
      </c>
      <c r="U162" s="32"/>
    </row>
    <row r="163" customFormat="false" ht="15.75" hidden="false" customHeight="true" outlineLevel="0" collapsed="false">
      <c r="A163" s="27"/>
      <c r="B163" s="27"/>
      <c r="C163" s="33" t="str">
        <f aca="false">IFERROR(INDEX('Lead Management'!$B$4:$B$1003,MATCH($B163,'Lead Management'!$A$4:$A$1003,0)),"")</f>
        <v/>
      </c>
      <c r="D163" s="33" t="str">
        <f aca="false">IFERROR(INDEX('Lead Management'!$C$4:$C$1003,MATCH($B163,'Lead Management'!$A$4:$A$1003,0)),"")</f>
        <v/>
      </c>
      <c r="E163" s="33" t="str">
        <f aca="false">IFERROR(INDEX('Lead Management'!$F$4:$F$1003,MATCH($B163,'Lead Management'!$A$4:$A$1003,0)),"")</f>
        <v/>
      </c>
      <c r="F163" s="27"/>
      <c r="G163" s="28"/>
      <c r="H163" s="28"/>
      <c r="I163" s="27"/>
      <c r="J163" s="29"/>
      <c r="K163" s="28"/>
      <c r="L163" s="34" t="str">
        <f aca="false">IF($F163="","",IFERROR(INDEX(Settings!$B$18:$B$27,MATCH($F163,Settings!$A$18:$A$27,0)),""))</f>
        <v/>
      </c>
      <c r="M163" s="34" t="str">
        <f aca="false">IF($A163="","",SUMIFS(Finance!$E$4:$E$1003,Finance!$B$4:$B$1003,$A163,Finance!$J$4:$J$1003,"Paid"))</f>
        <v/>
      </c>
      <c r="N163" s="34" t="str">
        <f aca="false">IF($A163="","",IFERROR($L163-$M163,""))</f>
        <v/>
      </c>
      <c r="O163" s="35" t="str">
        <f aca="false">IF($A163="","",IFERROR($M163/$L163,""))</f>
        <v/>
      </c>
      <c r="P163" s="33" t="str">
        <f aca="false">IFERROR(INDEX('Process Tracking'!$E$5:$E$1003,MATCH($A163,'Process Tracking'!$A$5:$A$1003,0)),"")</f>
        <v/>
      </c>
      <c r="Q163" s="35" t="str">
        <f aca="false">IFERROR(INDEX(Documents!$Q$4:$Q$1003,MATCH($A163,Documents!$A$4:$A$1003,0)),"")</f>
        <v/>
      </c>
      <c r="R163" s="27"/>
      <c r="S163" s="31" t="str">
        <f aca="false">IFERROR(INDEX('Lead Management'!$O$4:$O$1003,MATCH($B163,'Lead Management'!$A$4:$A$1003,0)),"")</f>
        <v/>
      </c>
      <c r="T163" s="36" t="str">
        <f aca="false">IFERROR(INDEX('Lead Management'!$P$4:$P$1003,MATCH($B163,'Lead Management'!$A$4:$A$1003,0)),"")</f>
        <v/>
      </c>
      <c r="U163" s="32"/>
    </row>
    <row r="164" customFormat="false" ht="15.75" hidden="false" customHeight="true" outlineLevel="0" collapsed="false">
      <c r="A164" s="27"/>
      <c r="B164" s="27"/>
      <c r="C164" s="33" t="str">
        <f aca="false">IFERROR(INDEX('Lead Management'!$B$4:$B$1003,MATCH($B164,'Lead Management'!$A$4:$A$1003,0)),"")</f>
        <v/>
      </c>
      <c r="D164" s="33" t="str">
        <f aca="false">IFERROR(INDEX('Lead Management'!$C$4:$C$1003,MATCH($B164,'Lead Management'!$A$4:$A$1003,0)),"")</f>
        <v/>
      </c>
      <c r="E164" s="33" t="str">
        <f aca="false">IFERROR(INDEX('Lead Management'!$F$4:$F$1003,MATCH($B164,'Lead Management'!$A$4:$A$1003,0)),"")</f>
        <v/>
      </c>
      <c r="F164" s="27"/>
      <c r="G164" s="28"/>
      <c r="H164" s="28"/>
      <c r="I164" s="27"/>
      <c r="J164" s="29"/>
      <c r="K164" s="28"/>
      <c r="L164" s="34" t="str">
        <f aca="false">IF($F164="","",IFERROR(INDEX(Settings!$B$18:$B$27,MATCH($F164,Settings!$A$18:$A$27,0)),""))</f>
        <v/>
      </c>
      <c r="M164" s="34" t="str">
        <f aca="false">IF($A164="","",SUMIFS(Finance!$E$4:$E$1003,Finance!$B$4:$B$1003,$A164,Finance!$J$4:$J$1003,"Paid"))</f>
        <v/>
      </c>
      <c r="N164" s="34" t="str">
        <f aca="false">IF($A164="","",IFERROR($L164-$M164,""))</f>
        <v/>
      </c>
      <c r="O164" s="35" t="str">
        <f aca="false">IF($A164="","",IFERROR($M164/$L164,""))</f>
        <v/>
      </c>
      <c r="P164" s="33" t="str">
        <f aca="false">IFERROR(INDEX('Process Tracking'!$E$5:$E$1003,MATCH($A164,'Process Tracking'!$A$5:$A$1003,0)),"")</f>
        <v/>
      </c>
      <c r="Q164" s="35" t="str">
        <f aca="false">IFERROR(INDEX(Documents!$Q$4:$Q$1003,MATCH($A164,Documents!$A$4:$A$1003,0)),"")</f>
        <v/>
      </c>
      <c r="R164" s="27"/>
      <c r="S164" s="31" t="str">
        <f aca="false">IFERROR(INDEX('Lead Management'!$O$4:$O$1003,MATCH($B164,'Lead Management'!$A$4:$A$1003,0)),"")</f>
        <v/>
      </c>
      <c r="T164" s="36" t="str">
        <f aca="false">IFERROR(INDEX('Lead Management'!$P$4:$P$1003,MATCH($B164,'Lead Management'!$A$4:$A$1003,0)),"")</f>
        <v/>
      </c>
      <c r="U164" s="32"/>
    </row>
    <row r="165" customFormat="false" ht="15.75" hidden="false" customHeight="true" outlineLevel="0" collapsed="false">
      <c r="A165" s="27"/>
      <c r="B165" s="27"/>
      <c r="C165" s="33" t="str">
        <f aca="false">IFERROR(INDEX('Lead Management'!$B$4:$B$1003,MATCH($B165,'Lead Management'!$A$4:$A$1003,0)),"")</f>
        <v/>
      </c>
      <c r="D165" s="33" t="str">
        <f aca="false">IFERROR(INDEX('Lead Management'!$C$4:$C$1003,MATCH($B165,'Lead Management'!$A$4:$A$1003,0)),"")</f>
        <v/>
      </c>
      <c r="E165" s="33" t="str">
        <f aca="false">IFERROR(INDEX('Lead Management'!$F$4:$F$1003,MATCH($B165,'Lead Management'!$A$4:$A$1003,0)),"")</f>
        <v/>
      </c>
      <c r="F165" s="27"/>
      <c r="G165" s="28"/>
      <c r="H165" s="28"/>
      <c r="I165" s="27"/>
      <c r="J165" s="29"/>
      <c r="K165" s="28"/>
      <c r="L165" s="34" t="str">
        <f aca="false">IF($F165="","",IFERROR(INDEX(Settings!$B$18:$B$27,MATCH($F165,Settings!$A$18:$A$27,0)),""))</f>
        <v/>
      </c>
      <c r="M165" s="34" t="str">
        <f aca="false">IF($A165="","",SUMIFS(Finance!$E$4:$E$1003,Finance!$B$4:$B$1003,$A165,Finance!$J$4:$J$1003,"Paid"))</f>
        <v/>
      </c>
      <c r="N165" s="34" t="str">
        <f aca="false">IF($A165="","",IFERROR($L165-$M165,""))</f>
        <v/>
      </c>
      <c r="O165" s="35" t="str">
        <f aca="false">IF($A165="","",IFERROR($M165/$L165,""))</f>
        <v/>
      </c>
      <c r="P165" s="33" t="str">
        <f aca="false">IFERROR(INDEX('Process Tracking'!$E$5:$E$1003,MATCH($A165,'Process Tracking'!$A$5:$A$1003,0)),"")</f>
        <v/>
      </c>
      <c r="Q165" s="35" t="str">
        <f aca="false">IFERROR(INDEX(Documents!$Q$4:$Q$1003,MATCH($A165,Documents!$A$4:$A$1003,0)),"")</f>
        <v/>
      </c>
      <c r="R165" s="27"/>
      <c r="S165" s="31" t="str">
        <f aca="false">IFERROR(INDEX('Lead Management'!$O$4:$O$1003,MATCH($B165,'Lead Management'!$A$4:$A$1003,0)),"")</f>
        <v/>
      </c>
      <c r="T165" s="36" t="str">
        <f aca="false">IFERROR(INDEX('Lead Management'!$P$4:$P$1003,MATCH($B165,'Lead Management'!$A$4:$A$1003,0)),"")</f>
        <v/>
      </c>
      <c r="U165" s="32"/>
    </row>
    <row r="166" customFormat="false" ht="15.75" hidden="false" customHeight="true" outlineLevel="0" collapsed="false">
      <c r="A166" s="27"/>
      <c r="B166" s="27"/>
      <c r="C166" s="33" t="str">
        <f aca="false">IFERROR(INDEX('Lead Management'!$B$4:$B$1003,MATCH($B166,'Lead Management'!$A$4:$A$1003,0)),"")</f>
        <v/>
      </c>
      <c r="D166" s="33" t="str">
        <f aca="false">IFERROR(INDEX('Lead Management'!$C$4:$C$1003,MATCH($B166,'Lead Management'!$A$4:$A$1003,0)),"")</f>
        <v/>
      </c>
      <c r="E166" s="33" t="str">
        <f aca="false">IFERROR(INDEX('Lead Management'!$F$4:$F$1003,MATCH($B166,'Lead Management'!$A$4:$A$1003,0)),"")</f>
        <v/>
      </c>
      <c r="F166" s="27"/>
      <c r="G166" s="28"/>
      <c r="H166" s="28"/>
      <c r="I166" s="27"/>
      <c r="J166" s="29"/>
      <c r="K166" s="28"/>
      <c r="L166" s="34" t="str">
        <f aca="false">IF($F166="","",IFERROR(INDEX(Settings!$B$18:$B$27,MATCH($F166,Settings!$A$18:$A$27,0)),""))</f>
        <v/>
      </c>
      <c r="M166" s="34" t="str">
        <f aca="false">IF($A166="","",SUMIFS(Finance!$E$4:$E$1003,Finance!$B$4:$B$1003,$A166,Finance!$J$4:$J$1003,"Paid"))</f>
        <v/>
      </c>
      <c r="N166" s="34" t="str">
        <f aca="false">IF($A166="","",IFERROR($L166-$M166,""))</f>
        <v/>
      </c>
      <c r="O166" s="35" t="str">
        <f aca="false">IF($A166="","",IFERROR($M166/$L166,""))</f>
        <v/>
      </c>
      <c r="P166" s="33" t="str">
        <f aca="false">IFERROR(INDEX('Process Tracking'!$E$5:$E$1003,MATCH($A166,'Process Tracking'!$A$5:$A$1003,0)),"")</f>
        <v/>
      </c>
      <c r="Q166" s="35" t="str">
        <f aca="false">IFERROR(INDEX(Documents!$Q$4:$Q$1003,MATCH($A166,Documents!$A$4:$A$1003,0)),"")</f>
        <v/>
      </c>
      <c r="R166" s="27"/>
      <c r="S166" s="31" t="str">
        <f aca="false">IFERROR(INDEX('Lead Management'!$O$4:$O$1003,MATCH($B166,'Lead Management'!$A$4:$A$1003,0)),"")</f>
        <v/>
      </c>
      <c r="T166" s="36" t="str">
        <f aca="false">IFERROR(INDEX('Lead Management'!$P$4:$P$1003,MATCH($B166,'Lead Management'!$A$4:$A$1003,0)),"")</f>
        <v/>
      </c>
      <c r="U166" s="32"/>
    </row>
    <row r="167" customFormat="false" ht="15.75" hidden="false" customHeight="true" outlineLevel="0" collapsed="false">
      <c r="A167" s="27"/>
      <c r="B167" s="27"/>
      <c r="C167" s="33" t="str">
        <f aca="false">IFERROR(INDEX('Lead Management'!$B$4:$B$1003,MATCH($B167,'Lead Management'!$A$4:$A$1003,0)),"")</f>
        <v/>
      </c>
      <c r="D167" s="33" t="str">
        <f aca="false">IFERROR(INDEX('Lead Management'!$C$4:$C$1003,MATCH($B167,'Lead Management'!$A$4:$A$1003,0)),"")</f>
        <v/>
      </c>
      <c r="E167" s="33" t="str">
        <f aca="false">IFERROR(INDEX('Lead Management'!$F$4:$F$1003,MATCH($B167,'Lead Management'!$A$4:$A$1003,0)),"")</f>
        <v/>
      </c>
      <c r="F167" s="27"/>
      <c r="G167" s="28"/>
      <c r="H167" s="28"/>
      <c r="I167" s="27"/>
      <c r="J167" s="29"/>
      <c r="K167" s="28"/>
      <c r="L167" s="34" t="str">
        <f aca="false">IF($F167="","",IFERROR(INDEX(Settings!$B$18:$B$27,MATCH($F167,Settings!$A$18:$A$27,0)),""))</f>
        <v/>
      </c>
      <c r="M167" s="34" t="str">
        <f aca="false">IF($A167="","",SUMIFS(Finance!$E$4:$E$1003,Finance!$B$4:$B$1003,$A167,Finance!$J$4:$J$1003,"Paid"))</f>
        <v/>
      </c>
      <c r="N167" s="34" t="str">
        <f aca="false">IF($A167="","",IFERROR($L167-$M167,""))</f>
        <v/>
      </c>
      <c r="O167" s="35" t="str">
        <f aca="false">IF($A167="","",IFERROR($M167/$L167,""))</f>
        <v/>
      </c>
      <c r="P167" s="33" t="str">
        <f aca="false">IFERROR(INDEX('Process Tracking'!$E$5:$E$1003,MATCH($A167,'Process Tracking'!$A$5:$A$1003,0)),"")</f>
        <v/>
      </c>
      <c r="Q167" s="35" t="str">
        <f aca="false">IFERROR(INDEX(Documents!$Q$4:$Q$1003,MATCH($A167,Documents!$A$4:$A$1003,0)),"")</f>
        <v/>
      </c>
      <c r="R167" s="27"/>
      <c r="S167" s="31" t="str">
        <f aca="false">IFERROR(INDEX('Lead Management'!$O$4:$O$1003,MATCH($B167,'Lead Management'!$A$4:$A$1003,0)),"")</f>
        <v/>
      </c>
      <c r="T167" s="36" t="str">
        <f aca="false">IFERROR(INDEX('Lead Management'!$P$4:$P$1003,MATCH($B167,'Lead Management'!$A$4:$A$1003,0)),"")</f>
        <v/>
      </c>
      <c r="U167" s="32"/>
    </row>
    <row r="168" customFormat="false" ht="15.75" hidden="false" customHeight="true" outlineLevel="0" collapsed="false">
      <c r="A168" s="27"/>
      <c r="B168" s="27"/>
      <c r="C168" s="33" t="str">
        <f aca="false">IFERROR(INDEX('Lead Management'!$B$4:$B$1003,MATCH($B168,'Lead Management'!$A$4:$A$1003,0)),"")</f>
        <v/>
      </c>
      <c r="D168" s="33" t="str">
        <f aca="false">IFERROR(INDEX('Lead Management'!$C$4:$C$1003,MATCH($B168,'Lead Management'!$A$4:$A$1003,0)),"")</f>
        <v/>
      </c>
      <c r="E168" s="33" t="str">
        <f aca="false">IFERROR(INDEX('Lead Management'!$F$4:$F$1003,MATCH($B168,'Lead Management'!$A$4:$A$1003,0)),"")</f>
        <v/>
      </c>
      <c r="F168" s="27"/>
      <c r="G168" s="28"/>
      <c r="H168" s="28"/>
      <c r="I168" s="27"/>
      <c r="J168" s="29"/>
      <c r="K168" s="28"/>
      <c r="L168" s="34" t="str">
        <f aca="false">IF($F168="","",IFERROR(INDEX(Settings!$B$18:$B$27,MATCH($F168,Settings!$A$18:$A$27,0)),""))</f>
        <v/>
      </c>
      <c r="M168" s="34" t="str">
        <f aca="false">IF($A168="","",SUMIFS(Finance!$E$4:$E$1003,Finance!$B$4:$B$1003,$A168,Finance!$J$4:$J$1003,"Paid"))</f>
        <v/>
      </c>
      <c r="N168" s="34" t="str">
        <f aca="false">IF($A168="","",IFERROR($L168-$M168,""))</f>
        <v/>
      </c>
      <c r="O168" s="35" t="str">
        <f aca="false">IF($A168="","",IFERROR($M168/$L168,""))</f>
        <v/>
      </c>
      <c r="P168" s="33" t="str">
        <f aca="false">IFERROR(INDEX('Process Tracking'!$E$5:$E$1003,MATCH($A168,'Process Tracking'!$A$5:$A$1003,0)),"")</f>
        <v/>
      </c>
      <c r="Q168" s="35" t="str">
        <f aca="false">IFERROR(INDEX(Documents!$Q$4:$Q$1003,MATCH($A168,Documents!$A$4:$A$1003,0)),"")</f>
        <v/>
      </c>
      <c r="R168" s="27"/>
      <c r="S168" s="31" t="str">
        <f aca="false">IFERROR(INDEX('Lead Management'!$O$4:$O$1003,MATCH($B168,'Lead Management'!$A$4:$A$1003,0)),"")</f>
        <v/>
      </c>
      <c r="T168" s="36" t="str">
        <f aca="false">IFERROR(INDEX('Lead Management'!$P$4:$P$1003,MATCH($B168,'Lead Management'!$A$4:$A$1003,0)),"")</f>
        <v/>
      </c>
      <c r="U168" s="32"/>
    </row>
    <row r="169" customFormat="false" ht="15.75" hidden="false" customHeight="true" outlineLevel="0" collapsed="false">
      <c r="A169" s="27"/>
      <c r="B169" s="27"/>
      <c r="C169" s="33" t="str">
        <f aca="false">IFERROR(INDEX('Lead Management'!$B$4:$B$1003,MATCH($B169,'Lead Management'!$A$4:$A$1003,0)),"")</f>
        <v/>
      </c>
      <c r="D169" s="33" t="str">
        <f aca="false">IFERROR(INDEX('Lead Management'!$C$4:$C$1003,MATCH($B169,'Lead Management'!$A$4:$A$1003,0)),"")</f>
        <v/>
      </c>
      <c r="E169" s="33" t="str">
        <f aca="false">IFERROR(INDEX('Lead Management'!$F$4:$F$1003,MATCH($B169,'Lead Management'!$A$4:$A$1003,0)),"")</f>
        <v/>
      </c>
      <c r="F169" s="27"/>
      <c r="G169" s="28"/>
      <c r="H169" s="28"/>
      <c r="I169" s="27"/>
      <c r="J169" s="29"/>
      <c r="K169" s="28"/>
      <c r="L169" s="34" t="str">
        <f aca="false">IF($F169="","",IFERROR(INDEX(Settings!$B$18:$B$27,MATCH($F169,Settings!$A$18:$A$27,0)),""))</f>
        <v/>
      </c>
      <c r="M169" s="34" t="str">
        <f aca="false">IF($A169="","",SUMIFS(Finance!$E$4:$E$1003,Finance!$B$4:$B$1003,$A169,Finance!$J$4:$J$1003,"Paid"))</f>
        <v/>
      </c>
      <c r="N169" s="34" t="str">
        <f aca="false">IF($A169="","",IFERROR($L169-$M169,""))</f>
        <v/>
      </c>
      <c r="O169" s="35" t="str">
        <f aca="false">IF($A169="","",IFERROR($M169/$L169,""))</f>
        <v/>
      </c>
      <c r="P169" s="33" t="str">
        <f aca="false">IFERROR(INDEX('Process Tracking'!$E$5:$E$1003,MATCH($A169,'Process Tracking'!$A$5:$A$1003,0)),"")</f>
        <v/>
      </c>
      <c r="Q169" s="35" t="str">
        <f aca="false">IFERROR(INDEX(Documents!$Q$4:$Q$1003,MATCH($A169,Documents!$A$4:$A$1003,0)),"")</f>
        <v/>
      </c>
      <c r="R169" s="27"/>
      <c r="S169" s="31" t="str">
        <f aca="false">IFERROR(INDEX('Lead Management'!$O$4:$O$1003,MATCH($B169,'Lead Management'!$A$4:$A$1003,0)),"")</f>
        <v/>
      </c>
      <c r="T169" s="36" t="str">
        <f aca="false">IFERROR(INDEX('Lead Management'!$P$4:$P$1003,MATCH($B169,'Lead Management'!$A$4:$A$1003,0)),"")</f>
        <v/>
      </c>
      <c r="U169" s="32"/>
    </row>
    <row r="170" customFormat="false" ht="15.75" hidden="false" customHeight="true" outlineLevel="0" collapsed="false">
      <c r="A170" s="27"/>
      <c r="B170" s="27"/>
      <c r="C170" s="33" t="str">
        <f aca="false">IFERROR(INDEX('Lead Management'!$B$4:$B$1003,MATCH($B170,'Lead Management'!$A$4:$A$1003,0)),"")</f>
        <v/>
      </c>
      <c r="D170" s="33" t="str">
        <f aca="false">IFERROR(INDEX('Lead Management'!$C$4:$C$1003,MATCH($B170,'Lead Management'!$A$4:$A$1003,0)),"")</f>
        <v/>
      </c>
      <c r="E170" s="33" t="str">
        <f aca="false">IFERROR(INDEX('Lead Management'!$F$4:$F$1003,MATCH($B170,'Lead Management'!$A$4:$A$1003,0)),"")</f>
        <v/>
      </c>
      <c r="F170" s="27"/>
      <c r="G170" s="28"/>
      <c r="H170" s="28"/>
      <c r="I170" s="27"/>
      <c r="J170" s="29"/>
      <c r="K170" s="28"/>
      <c r="L170" s="34" t="str">
        <f aca="false">IF($F170="","",IFERROR(INDEX(Settings!$B$18:$B$27,MATCH($F170,Settings!$A$18:$A$27,0)),""))</f>
        <v/>
      </c>
      <c r="M170" s="34" t="str">
        <f aca="false">IF($A170="","",SUMIFS(Finance!$E$4:$E$1003,Finance!$B$4:$B$1003,$A170,Finance!$J$4:$J$1003,"Paid"))</f>
        <v/>
      </c>
      <c r="N170" s="34" t="str">
        <f aca="false">IF($A170="","",IFERROR($L170-$M170,""))</f>
        <v/>
      </c>
      <c r="O170" s="35" t="str">
        <f aca="false">IF($A170="","",IFERROR($M170/$L170,""))</f>
        <v/>
      </c>
      <c r="P170" s="33" t="str">
        <f aca="false">IFERROR(INDEX('Process Tracking'!$E$5:$E$1003,MATCH($A170,'Process Tracking'!$A$5:$A$1003,0)),"")</f>
        <v/>
      </c>
      <c r="Q170" s="35" t="str">
        <f aca="false">IFERROR(INDEX(Documents!$Q$4:$Q$1003,MATCH($A170,Documents!$A$4:$A$1003,0)),"")</f>
        <v/>
      </c>
      <c r="R170" s="27"/>
      <c r="S170" s="31" t="str">
        <f aca="false">IFERROR(INDEX('Lead Management'!$O$4:$O$1003,MATCH($B170,'Lead Management'!$A$4:$A$1003,0)),"")</f>
        <v/>
      </c>
      <c r="T170" s="36" t="str">
        <f aca="false">IFERROR(INDEX('Lead Management'!$P$4:$P$1003,MATCH($B170,'Lead Management'!$A$4:$A$1003,0)),"")</f>
        <v/>
      </c>
      <c r="U170" s="32"/>
    </row>
    <row r="171" customFormat="false" ht="15.75" hidden="false" customHeight="true" outlineLevel="0" collapsed="false">
      <c r="A171" s="27"/>
      <c r="B171" s="27"/>
      <c r="C171" s="33" t="str">
        <f aca="false">IFERROR(INDEX('Lead Management'!$B$4:$B$1003,MATCH($B171,'Lead Management'!$A$4:$A$1003,0)),"")</f>
        <v/>
      </c>
      <c r="D171" s="33" t="str">
        <f aca="false">IFERROR(INDEX('Lead Management'!$C$4:$C$1003,MATCH($B171,'Lead Management'!$A$4:$A$1003,0)),"")</f>
        <v/>
      </c>
      <c r="E171" s="33" t="str">
        <f aca="false">IFERROR(INDEX('Lead Management'!$F$4:$F$1003,MATCH($B171,'Lead Management'!$A$4:$A$1003,0)),"")</f>
        <v/>
      </c>
      <c r="F171" s="27"/>
      <c r="G171" s="28"/>
      <c r="H171" s="28"/>
      <c r="I171" s="27"/>
      <c r="J171" s="29"/>
      <c r="K171" s="28"/>
      <c r="L171" s="34" t="str">
        <f aca="false">IF($F171="","",IFERROR(INDEX(Settings!$B$18:$B$27,MATCH($F171,Settings!$A$18:$A$27,0)),""))</f>
        <v/>
      </c>
      <c r="M171" s="34" t="str">
        <f aca="false">IF($A171="","",SUMIFS(Finance!$E$4:$E$1003,Finance!$B$4:$B$1003,$A171,Finance!$J$4:$J$1003,"Paid"))</f>
        <v/>
      </c>
      <c r="N171" s="34" t="str">
        <f aca="false">IF($A171="","",IFERROR($L171-$M171,""))</f>
        <v/>
      </c>
      <c r="O171" s="35" t="str">
        <f aca="false">IF($A171="","",IFERROR($M171/$L171,""))</f>
        <v/>
      </c>
      <c r="P171" s="33" t="str">
        <f aca="false">IFERROR(INDEX('Process Tracking'!$E$5:$E$1003,MATCH($A171,'Process Tracking'!$A$5:$A$1003,0)),"")</f>
        <v/>
      </c>
      <c r="Q171" s="35" t="str">
        <f aca="false">IFERROR(INDEX(Documents!$Q$4:$Q$1003,MATCH($A171,Documents!$A$4:$A$1003,0)),"")</f>
        <v/>
      </c>
      <c r="R171" s="27"/>
      <c r="S171" s="31" t="str">
        <f aca="false">IFERROR(INDEX('Lead Management'!$O$4:$O$1003,MATCH($B171,'Lead Management'!$A$4:$A$1003,0)),"")</f>
        <v/>
      </c>
      <c r="T171" s="36" t="str">
        <f aca="false">IFERROR(INDEX('Lead Management'!$P$4:$P$1003,MATCH($B171,'Lead Management'!$A$4:$A$1003,0)),"")</f>
        <v/>
      </c>
      <c r="U171" s="32"/>
    </row>
    <row r="172" customFormat="false" ht="15.75" hidden="false" customHeight="true" outlineLevel="0" collapsed="false">
      <c r="A172" s="27"/>
      <c r="B172" s="27"/>
      <c r="C172" s="33" t="str">
        <f aca="false">IFERROR(INDEX('Lead Management'!$B$4:$B$1003,MATCH($B172,'Lead Management'!$A$4:$A$1003,0)),"")</f>
        <v/>
      </c>
      <c r="D172" s="33" t="str">
        <f aca="false">IFERROR(INDEX('Lead Management'!$C$4:$C$1003,MATCH($B172,'Lead Management'!$A$4:$A$1003,0)),"")</f>
        <v/>
      </c>
      <c r="E172" s="33" t="str">
        <f aca="false">IFERROR(INDEX('Lead Management'!$F$4:$F$1003,MATCH($B172,'Lead Management'!$A$4:$A$1003,0)),"")</f>
        <v/>
      </c>
      <c r="F172" s="27"/>
      <c r="G172" s="28"/>
      <c r="H172" s="28"/>
      <c r="I172" s="27"/>
      <c r="J172" s="29"/>
      <c r="K172" s="28"/>
      <c r="L172" s="34" t="str">
        <f aca="false">IF($F172="","",IFERROR(INDEX(Settings!$B$18:$B$27,MATCH($F172,Settings!$A$18:$A$27,0)),""))</f>
        <v/>
      </c>
      <c r="M172" s="34" t="str">
        <f aca="false">IF($A172="","",SUMIFS(Finance!$E$4:$E$1003,Finance!$B$4:$B$1003,$A172,Finance!$J$4:$J$1003,"Paid"))</f>
        <v/>
      </c>
      <c r="N172" s="34" t="str">
        <f aca="false">IF($A172="","",IFERROR($L172-$M172,""))</f>
        <v/>
      </c>
      <c r="O172" s="35" t="str">
        <f aca="false">IF($A172="","",IFERROR($M172/$L172,""))</f>
        <v/>
      </c>
      <c r="P172" s="33" t="str">
        <f aca="false">IFERROR(INDEX('Process Tracking'!$E$5:$E$1003,MATCH($A172,'Process Tracking'!$A$5:$A$1003,0)),"")</f>
        <v/>
      </c>
      <c r="Q172" s="35" t="str">
        <f aca="false">IFERROR(INDEX(Documents!$Q$4:$Q$1003,MATCH($A172,Documents!$A$4:$A$1003,0)),"")</f>
        <v/>
      </c>
      <c r="R172" s="27"/>
      <c r="S172" s="31" t="str">
        <f aca="false">IFERROR(INDEX('Lead Management'!$O$4:$O$1003,MATCH($B172,'Lead Management'!$A$4:$A$1003,0)),"")</f>
        <v/>
      </c>
      <c r="T172" s="36" t="str">
        <f aca="false">IFERROR(INDEX('Lead Management'!$P$4:$P$1003,MATCH($B172,'Lead Management'!$A$4:$A$1003,0)),"")</f>
        <v/>
      </c>
      <c r="U172" s="32"/>
    </row>
    <row r="173" customFormat="false" ht="15.75" hidden="false" customHeight="true" outlineLevel="0" collapsed="false">
      <c r="A173" s="27"/>
      <c r="B173" s="27"/>
      <c r="C173" s="33" t="str">
        <f aca="false">IFERROR(INDEX('Lead Management'!$B$4:$B$1003,MATCH($B173,'Lead Management'!$A$4:$A$1003,0)),"")</f>
        <v/>
      </c>
      <c r="D173" s="33" t="str">
        <f aca="false">IFERROR(INDEX('Lead Management'!$C$4:$C$1003,MATCH($B173,'Lead Management'!$A$4:$A$1003,0)),"")</f>
        <v/>
      </c>
      <c r="E173" s="33" t="str">
        <f aca="false">IFERROR(INDEX('Lead Management'!$F$4:$F$1003,MATCH($B173,'Lead Management'!$A$4:$A$1003,0)),"")</f>
        <v/>
      </c>
      <c r="F173" s="27"/>
      <c r="G173" s="28"/>
      <c r="H173" s="28"/>
      <c r="I173" s="27"/>
      <c r="J173" s="29"/>
      <c r="K173" s="28"/>
      <c r="L173" s="34" t="str">
        <f aca="false">IF($F173="","",IFERROR(INDEX(Settings!$B$18:$B$27,MATCH($F173,Settings!$A$18:$A$27,0)),""))</f>
        <v/>
      </c>
      <c r="M173" s="34" t="str">
        <f aca="false">IF($A173="","",SUMIFS(Finance!$E$4:$E$1003,Finance!$B$4:$B$1003,$A173,Finance!$J$4:$J$1003,"Paid"))</f>
        <v/>
      </c>
      <c r="N173" s="34" t="str">
        <f aca="false">IF($A173="","",IFERROR($L173-$M173,""))</f>
        <v/>
      </c>
      <c r="O173" s="35" t="str">
        <f aca="false">IF($A173="","",IFERROR($M173/$L173,""))</f>
        <v/>
      </c>
      <c r="P173" s="33" t="str">
        <f aca="false">IFERROR(INDEX('Process Tracking'!$E$5:$E$1003,MATCH($A173,'Process Tracking'!$A$5:$A$1003,0)),"")</f>
        <v/>
      </c>
      <c r="Q173" s="35" t="str">
        <f aca="false">IFERROR(INDEX(Documents!$Q$4:$Q$1003,MATCH($A173,Documents!$A$4:$A$1003,0)),"")</f>
        <v/>
      </c>
      <c r="R173" s="27"/>
      <c r="S173" s="31" t="str">
        <f aca="false">IFERROR(INDEX('Lead Management'!$O$4:$O$1003,MATCH($B173,'Lead Management'!$A$4:$A$1003,0)),"")</f>
        <v/>
      </c>
      <c r="T173" s="36" t="str">
        <f aca="false">IFERROR(INDEX('Lead Management'!$P$4:$P$1003,MATCH($B173,'Lead Management'!$A$4:$A$1003,0)),"")</f>
        <v/>
      </c>
      <c r="U173" s="32"/>
    </row>
    <row r="174" customFormat="false" ht="15.75" hidden="false" customHeight="true" outlineLevel="0" collapsed="false">
      <c r="A174" s="27"/>
      <c r="B174" s="27"/>
      <c r="C174" s="33" t="str">
        <f aca="false">IFERROR(INDEX('Lead Management'!$B$4:$B$1003,MATCH($B174,'Lead Management'!$A$4:$A$1003,0)),"")</f>
        <v/>
      </c>
      <c r="D174" s="33" t="str">
        <f aca="false">IFERROR(INDEX('Lead Management'!$C$4:$C$1003,MATCH($B174,'Lead Management'!$A$4:$A$1003,0)),"")</f>
        <v/>
      </c>
      <c r="E174" s="33" t="str">
        <f aca="false">IFERROR(INDEX('Lead Management'!$F$4:$F$1003,MATCH($B174,'Lead Management'!$A$4:$A$1003,0)),"")</f>
        <v/>
      </c>
      <c r="F174" s="27"/>
      <c r="G174" s="28"/>
      <c r="H174" s="28"/>
      <c r="I174" s="27"/>
      <c r="J174" s="29"/>
      <c r="K174" s="28"/>
      <c r="L174" s="34" t="str">
        <f aca="false">IF($F174="","",IFERROR(INDEX(Settings!$B$18:$B$27,MATCH($F174,Settings!$A$18:$A$27,0)),""))</f>
        <v/>
      </c>
      <c r="M174" s="34" t="str">
        <f aca="false">IF($A174="","",SUMIFS(Finance!$E$4:$E$1003,Finance!$B$4:$B$1003,$A174,Finance!$J$4:$J$1003,"Paid"))</f>
        <v/>
      </c>
      <c r="N174" s="34" t="str">
        <f aca="false">IF($A174="","",IFERROR($L174-$M174,""))</f>
        <v/>
      </c>
      <c r="O174" s="35" t="str">
        <f aca="false">IF($A174="","",IFERROR($M174/$L174,""))</f>
        <v/>
      </c>
      <c r="P174" s="33" t="str">
        <f aca="false">IFERROR(INDEX('Process Tracking'!$E$5:$E$1003,MATCH($A174,'Process Tracking'!$A$5:$A$1003,0)),"")</f>
        <v/>
      </c>
      <c r="Q174" s="35" t="str">
        <f aca="false">IFERROR(INDEX(Documents!$Q$4:$Q$1003,MATCH($A174,Documents!$A$4:$A$1003,0)),"")</f>
        <v/>
      </c>
      <c r="R174" s="27"/>
      <c r="S174" s="31" t="str">
        <f aca="false">IFERROR(INDEX('Lead Management'!$O$4:$O$1003,MATCH($B174,'Lead Management'!$A$4:$A$1003,0)),"")</f>
        <v/>
      </c>
      <c r="T174" s="36" t="str">
        <f aca="false">IFERROR(INDEX('Lead Management'!$P$4:$P$1003,MATCH($B174,'Lead Management'!$A$4:$A$1003,0)),"")</f>
        <v/>
      </c>
      <c r="U174" s="32"/>
    </row>
    <row r="175" customFormat="false" ht="15.75" hidden="false" customHeight="true" outlineLevel="0" collapsed="false">
      <c r="A175" s="27"/>
      <c r="B175" s="27"/>
      <c r="C175" s="33" t="str">
        <f aca="false">IFERROR(INDEX('Lead Management'!$B$4:$B$1003,MATCH($B175,'Lead Management'!$A$4:$A$1003,0)),"")</f>
        <v/>
      </c>
      <c r="D175" s="33" t="str">
        <f aca="false">IFERROR(INDEX('Lead Management'!$C$4:$C$1003,MATCH($B175,'Lead Management'!$A$4:$A$1003,0)),"")</f>
        <v/>
      </c>
      <c r="E175" s="33" t="str">
        <f aca="false">IFERROR(INDEX('Lead Management'!$F$4:$F$1003,MATCH($B175,'Lead Management'!$A$4:$A$1003,0)),"")</f>
        <v/>
      </c>
      <c r="F175" s="27"/>
      <c r="G175" s="28"/>
      <c r="H175" s="28"/>
      <c r="I175" s="27"/>
      <c r="J175" s="29"/>
      <c r="K175" s="28"/>
      <c r="L175" s="34" t="str">
        <f aca="false">IF($F175="","",IFERROR(INDEX(Settings!$B$18:$B$27,MATCH($F175,Settings!$A$18:$A$27,0)),""))</f>
        <v/>
      </c>
      <c r="M175" s="34" t="str">
        <f aca="false">IF($A175="","",SUMIFS(Finance!$E$4:$E$1003,Finance!$B$4:$B$1003,$A175,Finance!$J$4:$J$1003,"Paid"))</f>
        <v/>
      </c>
      <c r="N175" s="34" t="str">
        <f aca="false">IF($A175="","",IFERROR($L175-$M175,""))</f>
        <v/>
      </c>
      <c r="O175" s="35" t="str">
        <f aca="false">IF($A175="","",IFERROR($M175/$L175,""))</f>
        <v/>
      </c>
      <c r="P175" s="33" t="str">
        <f aca="false">IFERROR(INDEX('Process Tracking'!$E$5:$E$1003,MATCH($A175,'Process Tracking'!$A$5:$A$1003,0)),"")</f>
        <v/>
      </c>
      <c r="Q175" s="35" t="str">
        <f aca="false">IFERROR(INDEX(Documents!$Q$4:$Q$1003,MATCH($A175,Documents!$A$4:$A$1003,0)),"")</f>
        <v/>
      </c>
      <c r="R175" s="27"/>
      <c r="S175" s="31" t="str">
        <f aca="false">IFERROR(INDEX('Lead Management'!$O$4:$O$1003,MATCH($B175,'Lead Management'!$A$4:$A$1003,0)),"")</f>
        <v/>
      </c>
      <c r="T175" s="36" t="str">
        <f aca="false">IFERROR(INDEX('Lead Management'!$P$4:$P$1003,MATCH($B175,'Lead Management'!$A$4:$A$1003,0)),"")</f>
        <v/>
      </c>
      <c r="U175" s="32"/>
    </row>
    <row r="176" customFormat="false" ht="15.75" hidden="false" customHeight="true" outlineLevel="0" collapsed="false">
      <c r="A176" s="27"/>
      <c r="B176" s="27"/>
      <c r="C176" s="33" t="str">
        <f aca="false">IFERROR(INDEX('Lead Management'!$B$4:$B$1003,MATCH($B176,'Lead Management'!$A$4:$A$1003,0)),"")</f>
        <v/>
      </c>
      <c r="D176" s="33" t="str">
        <f aca="false">IFERROR(INDEX('Lead Management'!$C$4:$C$1003,MATCH($B176,'Lead Management'!$A$4:$A$1003,0)),"")</f>
        <v/>
      </c>
      <c r="E176" s="33" t="str">
        <f aca="false">IFERROR(INDEX('Lead Management'!$F$4:$F$1003,MATCH($B176,'Lead Management'!$A$4:$A$1003,0)),"")</f>
        <v/>
      </c>
      <c r="F176" s="27"/>
      <c r="G176" s="28"/>
      <c r="H176" s="28"/>
      <c r="I176" s="27"/>
      <c r="J176" s="29"/>
      <c r="K176" s="28"/>
      <c r="L176" s="34" t="str">
        <f aca="false">IF($F176="","",IFERROR(INDEX(Settings!$B$18:$B$27,MATCH($F176,Settings!$A$18:$A$27,0)),""))</f>
        <v/>
      </c>
      <c r="M176" s="34" t="str">
        <f aca="false">IF($A176="","",SUMIFS(Finance!$E$4:$E$1003,Finance!$B$4:$B$1003,$A176,Finance!$J$4:$J$1003,"Paid"))</f>
        <v/>
      </c>
      <c r="N176" s="34" t="str">
        <f aca="false">IF($A176="","",IFERROR($L176-$M176,""))</f>
        <v/>
      </c>
      <c r="O176" s="35" t="str">
        <f aca="false">IF($A176="","",IFERROR($M176/$L176,""))</f>
        <v/>
      </c>
      <c r="P176" s="33" t="str">
        <f aca="false">IFERROR(INDEX('Process Tracking'!$E$5:$E$1003,MATCH($A176,'Process Tracking'!$A$5:$A$1003,0)),"")</f>
        <v/>
      </c>
      <c r="Q176" s="35" t="str">
        <f aca="false">IFERROR(INDEX(Documents!$Q$4:$Q$1003,MATCH($A176,Documents!$A$4:$A$1003,0)),"")</f>
        <v/>
      </c>
      <c r="R176" s="27"/>
      <c r="S176" s="31" t="str">
        <f aca="false">IFERROR(INDEX('Lead Management'!$O$4:$O$1003,MATCH($B176,'Lead Management'!$A$4:$A$1003,0)),"")</f>
        <v/>
      </c>
      <c r="T176" s="36" t="str">
        <f aca="false">IFERROR(INDEX('Lead Management'!$P$4:$P$1003,MATCH($B176,'Lead Management'!$A$4:$A$1003,0)),"")</f>
        <v/>
      </c>
      <c r="U176" s="32"/>
    </row>
    <row r="177" customFormat="false" ht="15.75" hidden="false" customHeight="true" outlineLevel="0" collapsed="false">
      <c r="A177" s="27"/>
      <c r="B177" s="27"/>
      <c r="C177" s="33" t="str">
        <f aca="false">IFERROR(INDEX('Lead Management'!$B$4:$B$1003,MATCH($B177,'Lead Management'!$A$4:$A$1003,0)),"")</f>
        <v/>
      </c>
      <c r="D177" s="33" t="str">
        <f aca="false">IFERROR(INDEX('Lead Management'!$C$4:$C$1003,MATCH($B177,'Lead Management'!$A$4:$A$1003,0)),"")</f>
        <v/>
      </c>
      <c r="E177" s="33" t="str">
        <f aca="false">IFERROR(INDEX('Lead Management'!$F$4:$F$1003,MATCH($B177,'Lead Management'!$A$4:$A$1003,0)),"")</f>
        <v/>
      </c>
      <c r="F177" s="27"/>
      <c r="G177" s="28"/>
      <c r="H177" s="28"/>
      <c r="I177" s="27"/>
      <c r="J177" s="29"/>
      <c r="K177" s="28"/>
      <c r="L177" s="34" t="str">
        <f aca="false">IF($F177="","",IFERROR(INDEX(Settings!$B$18:$B$27,MATCH($F177,Settings!$A$18:$A$27,0)),""))</f>
        <v/>
      </c>
      <c r="M177" s="34" t="str">
        <f aca="false">IF($A177="","",SUMIFS(Finance!$E$4:$E$1003,Finance!$B$4:$B$1003,$A177,Finance!$J$4:$J$1003,"Paid"))</f>
        <v/>
      </c>
      <c r="N177" s="34" t="str">
        <f aca="false">IF($A177="","",IFERROR($L177-$M177,""))</f>
        <v/>
      </c>
      <c r="O177" s="35" t="str">
        <f aca="false">IF($A177="","",IFERROR($M177/$L177,""))</f>
        <v/>
      </c>
      <c r="P177" s="33" t="str">
        <f aca="false">IFERROR(INDEX('Process Tracking'!$E$5:$E$1003,MATCH($A177,'Process Tracking'!$A$5:$A$1003,0)),"")</f>
        <v/>
      </c>
      <c r="Q177" s="35" t="str">
        <f aca="false">IFERROR(INDEX(Documents!$Q$4:$Q$1003,MATCH($A177,Documents!$A$4:$A$1003,0)),"")</f>
        <v/>
      </c>
      <c r="R177" s="27"/>
      <c r="S177" s="31" t="str">
        <f aca="false">IFERROR(INDEX('Lead Management'!$O$4:$O$1003,MATCH($B177,'Lead Management'!$A$4:$A$1003,0)),"")</f>
        <v/>
      </c>
      <c r="T177" s="36" t="str">
        <f aca="false">IFERROR(INDEX('Lead Management'!$P$4:$P$1003,MATCH($B177,'Lead Management'!$A$4:$A$1003,0)),"")</f>
        <v/>
      </c>
      <c r="U177" s="32"/>
    </row>
    <row r="178" customFormat="false" ht="15.75" hidden="false" customHeight="true" outlineLevel="0" collapsed="false">
      <c r="A178" s="27"/>
      <c r="B178" s="27"/>
      <c r="C178" s="33" t="str">
        <f aca="false">IFERROR(INDEX('Lead Management'!$B$4:$B$1003,MATCH($B178,'Lead Management'!$A$4:$A$1003,0)),"")</f>
        <v/>
      </c>
      <c r="D178" s="33" t="str">
        <f aca="false">IFERROR(INDEX('Lead Management'!$C$4:$C$1003,MATCH($B178,'Lead Management'!$A$4:$A$1003,0)),"")</f>
        <v/>
      </c>
      <c r="E178" s="33" t="str">
        <f aca="false">IFERROR(INDEX('Lead Management'!$F$4:$F$1003,MATCH($B178,'Lead Management'!$A$4:$A$1003,0)),"")</f>
        <v/>
      </c>
      <c r="F178" s="27"/>
      <c r="G178" s="28"/>
      <c r="H178" s="28"/>
      <c r="I178" s="27"/>
      <c r="J178" s="29"/>
      <c r="K178" s="28"/>
      <c r="L178" s="34" t="str">
        <f aca="false">IF($F178="","",IFERROR(INDEX(Settings!$B$18:$B$27,MATCH($F178,Settings!$A$18:$A$27,0)),""))</f>
        <v/>
      </c>
      <c r="M178" s="34" t="str">
        <f aca="false">IF($A178="","",SUMIFS(Finance!$E$4:$E$1003,Finance!$B$4:$B$1003,$A178,Finance!$J$4:$J$1003,"Paid"))</f>
        <v/>
      </c>
      <c r="N178" s="34" t="str">
        <f aca="false">IF($A178="","",IFERROR($L178-$M178,""))</f>
        <v/>
      </c>
      <c r="O178" s="35" t="str">
        <f aca="false">IF($A178="","",IFERROR($M178/$L178,""))</f>
        <v/>
      </c>
      <c r="P178" s="33" t="str">
        <f aca="false">IFERROR(INDEX('Process Tracking'!$E$5:$E$1003,MATCH($A178,'Process Tracking'!$A$5:$A$1003,0)),"")</f>
        <v/>
      </c>
      <c r="Q178" s="35" t="str">
        <f aca="false">IFERROR(INDEX(Documents!$Q$4:$Q$1003,MATCH($A178,Documents!$A$4:$A$1003,0)),"")</f>
        <v/>
      </c>
      <c r="R178" s="27"/>
      <c r="S178" s="31" t="str">
        <f aca="false">IFERROR(INDEX('Lead Management'!$O$4:$O$1003,MATCH($B178,'Lead Management'!$A$4:$A$1003,0)),"")</f>
        <v/>
      </c>
      <c r="T178" s="36" t="str">
        <f aca="false">IFERROR(INDEX('Lead Management'!$P$4:$P$1003,MATCH($B178,'Lead Management'!$A$4:$A$1003,0)),"")</f>
        <v/>
      </c>
      <c r="U178" s="32"/>
    </row>
    <row r="179" customFormat="false" ht="15.75" hidden="false" customHeight="true" outlineLevel="0" collapsed="false">
      <c r="A179" s="27"/>
      <c r="B179" s="27"/>
      <c r="C179" s="33" t="str">
        <f aca="false">IFERROR(INDEX('Lead Management'!$B$4:$B$1003,MATCH($B179,'Lead Management'!$A$4:$A$1003,0)),"")</f>
        <v/>
      </c>
      <c r="D179" s="33" t="str">
        <f aca="false">IFERROR(INDEX('Lead Management'!$C$4:$C$1003,MATCH($B179,'Lead Management'!$A$4:$A$1003,0)),"")</f>
        <v/>
      </c>
      <c r="E179" s="33" t="str">
        <f aca="false">IFERROR(INDEX('Lead Management'!$F$4:$F$1003,MATCH($B179,'Lead Management'!$A$4:$A$1003,0)),"")</f>
        <v/>
      </c>
      <c r="F179" s="27"/>
      <c r="G179" s="28"/>
      <c r="H179" s="28"/>
      <c r="I179" s="27"/>
      <c r="J179" s="29"/>
      <c r="K179" s="28"/>
      <c r="L179" s="34" t="str">
        <f aca="false">IF($F179="","",IFERROR(INDEX(Settings!$B$18:$B$27,MATCH($F179,Settings!$A$18:$A$27,0)),""))</f>
        <v/>
      </c>
      <c r="M179" s="34" t="str">
        <f aca="false">IF($A179="","",SUMIFS(Finance!$E$4:$E$1003,Finance!$B$4:$B$1003,$A179,Finance!$J$4:$J$1003,"Paid"))</f>
        <v/>
      </c>
      <c r="N179" s="34" t="str">
        <f aca="false">IF($A179="","",IFERROR($L179-$M179,""))</f>
        <v/>
      </c>
      <c r="O179" s="35" t="str">
        <f aca="false">IF($A179="","",IFERROR($M179/$L179,""))</f>
        <v/>
      </c>
      <c r="P179" s="33" t="str">
        <f aca="false">IFERROR(INDEX('Process Tracking'!$E$5:$E$1003,MATCH($A179,'Process Tracking'!$A$5:$A$1003,0)),"")</f>
        <v/>
      </c>
      <c r="Q179" s="35" t="str">
        <f aca="false">IFERROR(INDEX(Documents!$Q$4:$Q$1003,MATCH($A179,Documents!$A$4:$A$1003,0)),"")</f>
        <v/>
      </c>
      <c r="R179" s="27"/>
      <c r="S179" s="31" t="str">
        <f aca="false">IFERROR(INDEX('Lead Management'!$O$4:$O$1003,MATCH($B179,'Lead Management'!$A$4:$A$1003,0)),"")</f>
        <v/>
      </c>
      <c r="T179" s="36" t="str">
        <f aca="false">IFERROR(INDEX('Lead Management'!$P$4:$P$1003,MATCH($B179,'Lead Management'!$A$4:$A$1003,0)),"")</f>
        <v/>
      </c>
      <c r="U179" s="32"/>
    </row>
    <row r="180" customFormat="false" ht="15.75" hidden="false" customHeight="true" outlineLevel="0" collapsed="false">
      <c r="A180" s="27"/>
      <c r="B180" s="27"/>
      <c r="C180" s="33" t="str">
        <f aca="false">IFERROR(INDEX('Lead Management'!$B$4:$B$1003,MATCH($B180,'Lead Management'!$A$4:$A$1003,0)),"")</f>
        <v/>
      </c>
      <c r="D180" s="33" t="str">
        <f aca="false">IFERROR(INDEX('Lead Management'!$C$4:$C$1003,MATCH($B180,'Lead Management'!$A$4:$A$1003,0)),"")</f>
        <v/>
      </c>
      <c r="E180" s="33" t="str">
        <f aca="false">IFERROR(INDEX('Lead Management'!$F$4:$F$1003,MATCH($B180,'Lead Management'!$A$4:$A$1003,0)),"")</f>
        <v/>
      </c>
      <c r="F180" s="27"/>
      <c r="G180" s="28"/>
      <c r="H180" s="28"/>
      <c r="I180" s="27"/>
      <c r="J180" s="29"/>
      <c r="K180" s="28"/>
      <c r="L180" s="34" t="str">
        <f aca="false">IF($F180="","",IFERROR(INDEX(Settings!$B$18:$B$27,MATCH($F180,Settings!$A$18:$A$27,0)),""))</f>
        <v/>
      </c>
      <c r="M180" s="34" t="str">
        <f aca="false">IF($A180="","",SUMIFS(Finance!$E$4:$E$1003,Finance!$B$4:$B$1003,$A180,Finance!$J$4:$J$1003,"Paid"))</f>
        <v/>
      </c>
      <c r="N180" s="34" t="str">
        <f aca="false">IF($A180="","",IFERROR($L180-$M180,""))</f>
        <v/>
      </c>
      <c r="O180" s="35" t="str">
        <f aca="false">IF($A180="","",IFERROR($M180/$L180,""))</f>
        <v/>
      </c>
      <c r="P180" s="33" t="str">
        <f aca="false">IFERROR(INDEX('Process Tracking'!$E$5:$E$1003,MATCH($A180,'Process Tracking'!$A$5:$A$1003,0)),"")</f>
        <v/>
      </c>
      <c r="Q180" s="35" t="str">
        <f aca="false">IFERROR(INDEX(Documents!$Q$4:$Q$1003,MATCH($A180,Documents!$A$4:$A$1003,0)),"")</f>
        <v/>
      </c>
      <c r="R180" s="27"/>
      <c r="S180" s="31" t="str">
        <f aca="false">IFERROR(INDEX('Lead Management'!$O$4:$O$1003,MATCH($B180,'Lead Management'!$A$4:$A$1003,0)),"")</f>
        <v/>
      </c>
      <c r="T180" s="36" t="str">
        <f aca="false">IFERROR(INDEX('Lead Management'!$P$4:$P$1003,MATCH($B180,'Lead Management'!$A$4:$A$1003,0)),"")</f>
        <v/>
      </c>
      <c r="U180" s="32"/>
    </row>
    <row r="181" customFormat="false" ht="15.75" hidden="false" customHeight="true" outlineLevel="0" collapsed="false">
      <c r="A181" s="27"/>
      <c r="B181" s="27"/>
      <c r="C181" s="33" t="str">
        <f aca="false">IFERROR(INDEX('Lead Management'!$B$4:$B$1003,MATCH($B181,'Lead Management'!$A$4:$A$1003,0)),"")</f>
        <v/>
      </c>
      <c r="D181" s="33" t="str">
        <f aca="false">IFERROR(INDEX('Lead Management'!$C$4:$C$1003,MATCH($B181,'Lead Management'!$A$4:$A$1003,0)),"")</f>
        <v/>
      </c>
      <c r="E181" s="33" t="str">
        <f aca="false">IFERROR(INDEX('Lead Management'!$F$4:$F$1003,MATCH($B181,'Lead Management'!$A$4:$A$1003,0)),"")</f>
        <v/>
      </c>
      <c r="F181" s="27"/>
      <c r="G181" s="28"/>
      <c r="H181" s="28"/>
      <c r="I181" s="27"/>
      <c r="J181" s="29"/>
      <c r="K181" s="28"/>
      <c r="L181" s="34" t="str">
        <f aca="false">IF($F181="","",IFERROR(INDEX(Settings!$B$18:$B$27,MATCH($F181,Settings!$A$18:$A$27,0)),""))</f>
        <v/>
      </c>
      <c r="M181" s="34" t="str">
        <f aca="false">IF($A181="","",SUMIFS(Finance!$E$4:$E$1003,Finance!$B$4:$B$1003,$A181,Finance!$J$4:$J$1003,"Paid"))</f>
        <v/>
      </c>
      <c r="N181" s="34" t="str">
        <f aca="false">IF($A181="","",IFERROR($L181-$M181,""))</f>
        <v/>
      </c>
      <c r="O181" s="35" t="str">
        <f aca="false">IF($A181="","",IFERROR($M181/$L181,""))</f>
        <v/>
      </c>
      <c r="P181" s="33" t="str">
        <f aca="false">IFERROR(INDEX('Process Tracking'!$E$5:$E$1003,MATCH($A181,'Process Tracking'!$A$5:$A$1003,0)),"")</f>
        <v/>
      </c>
      <c r="Q181" s="35" t="str">
        <f aca="false">IFERROR(INDEX(Documents!$Q$4:$Q$1003,MATCH($A181,Documents!$A$4:$A$1003,0)),"")</f>
        <v/>
      </c>
      <c r="R181" s="27"/>
      <c r="S181" s="31" t="str">
        <f aca="false">IFERROR(INDEX('Lead Management'!$O$4:$O$1003,MATCH($B181,'Lead Management'!$A$4:$A$1003,0)),"")</f>
        <v/>
      </c>
      <c r="T181" s="36" t="str">
        <f aca="false">IFERROR(INDEX('Lead Management'!$P$4:$P$1003,MATCH($B181,'Lead Management'!$A$4:$A$1003,0)),"")</f>
        <v/>
      </c>
      <c r="U181" s="32"/>
    </row>
    <row r="182" customFormat="false" ht="15.75" hidden="false" customHeight="true" outlineLevel="0" collapsed="false">
      <c r="A182" s="27"/>
      <c r="B182" s="27"/>
      <c r="C182" s="33" t="str">
        <f aca="false">IFERROR(INDEX('Lead Management'!$B$4:$B$1003,MATCH($B182,'Lead Management'!$A$4:$A$1003,0)),"")</f>
        <v/>
      </c>
      <c r="D182" s="33" t="str">
        <f aca="false">IFERROR(INDEX('Lead Management'!$C$4:$C$1003,MATCH($B182,'Lead Management'!$A$4:$A$1003,0)),"")</f>
        <v/>
      </c>
      <c r="E182" s="33" t="str">
        <f aca="false">IFERROR(INDEX('Lead Management'!$F$4:$F$1003,MATCH($B182,'Lead Management'!$A$4:$A$1003,0)),"")</f>
        <v/>
      </c>
      <c r="F182" s="27"/>
      <c r="G182" s="28"/>
      <c r="H182" s="28"/>
      <c r="I182" s="27"/>
      <c r="J182" s="29"/>
      <c r="K182" s="28"/>
      <c r="L182" s="34" t="str">
        <f aca="false">IF($F182="","",IFERROR(INDEX(Settings!$B$18:$B$27,MATCH($F182,Settings!$A$18:$A$27,0)),""))</f>
        <v/>
      </c>
      <c r="M182" s="34" t="str">
        <f aca="false">IF($A182="","",SUMIFS(Finance!$E$4:$E$1003,Finance!$B$4:$B$1003,$A182,Finance!$J$4:$J$1003,"Paid"))</f>
        <v/>
      </c>
      <c r="N182" s="34" t="str">
        <f aca="false">IF($A182="","",IFERROR($L182-$M182,""))</f>
        <v/>
      </c>
      <c r="O182" s="35" t="str">
        <f aca="false">IF($A182="","",IFERROR($M182/$L182,""))</f>
        <v/>
      </c>
      <c r="P182" s="33" t="str">
        <f aca="false">IFERROR(INDEX('Process Tracking'!$E$5:$E$1003,MATCH($A182,'Process Tracking'!$A$5:$A$1003,0)),"")</f>
        <v/>
      </c>
      <c r="Q182" s="35" t="str">
        <f aca="false">IFERROR(INDEX(Documents!$Q$4:$Q$1003,MATCH($A182,Documents!$A$4:$A$1003,0)),"")</f>
        <v/>
      </c>
      <c r="R182" s="27"/>
      <c r="S182" s="31" t="str">
        <f aca="false">IFERROR(INDEX('Lead Management'!$O$4:$O$1003,MATCH($B182,'Lead Management'!$A$4:$A$1003,0)),"")</f>
        <v/>
      </c>
      <c r="T182" s="36" t="str">
        <f aca="false">IFERROR(INDEX('Lead Management'!$P$4:$P$1003,MATCH($B182,'Lead Management'!$A$4:$A$1003,0)),"")</f>
        <v/>
      </c>
      <c r="U182" s="32"/>
    </row>
    <row r="183" customFormat="false" ht="15.75" hidden="false" customHeight="true" outlineLevel="0" collapsed="false">
      <c r="A183" s="27"/>
      <c r="B183" s="27"/>
      <c r="C183" s="33" t="str">
        <f aca="false">IFERROR(INDEX('Lead Management'!$B$4:$B$1003,MATCH($B183,'Lead Management'!$A$4:$A$1003,0)),"")</f>
        <v/>
      </c>
      <c r="D183" s="33" t="str">
        <f aca="false">IFERROR(INDEX('Lead Management'!$C$4:$C$1003,MATCH($B183,'Lead Management'!$A$4:$A$1003,0)),"")</f>
        <v/>
      </c>
      <c r="E183" s="33" t="str">
        <f aca="false">IFERROR(INDEX('Lead Management'!$F$4:$F$1003,MATCH($B183,'Lead Management'!$A$4:$A$1003,0)),"")</f>
        <v/>
      </c>
      <c r="F183" s="27"/>
      <c r="G183" s="28"/>
      <c r="H183" s="28"/>
      <c r="I183" s="27"/>
      <c r="J183" s="29"/>
      <c r="K183" s="28"/>
      <c r="L183" s="34" t="str">
        <f aca="false">IF($F183="","",IFERROR(INDEX(Settings!$B$18:$B$27,MATCH($F183,Settings!$A$18:$A$27,0)),""))</f>
        <v/>
      </c>
      <c r="M183" s="34" t="str">
        <f aca="false">IF($A183="","",SUMIFS(Finance!$E$4:$E$1003,Finance!$B$4:$B$1003,$A183,Finance!$J$4:$J$1003,"Paid"))</f>
        <v/>
      </c>
      <c r="N183" s="34" t="str">
        <f aca="false">IF($A183="","",IFERROR($L183-$M183,""))</f>
        <v/>
      </c>
      <c r="O183" s="35" t="str">
        <f aca="false">IF($A183="","",IFERROR($M183/$L183,""))</f>
        <v/>
      </c>
      <c r="P183" s="33" t="str">
        <f aca="false">IFERROR(INDEX('Process Tracking'!$E$5:$E$1003,MATCH($A183,'Process Tracking'!$A$5:$A$1003,0)),"")</f>
        <v/>
      </c>
      <c r="Q183" s="35" t="str">
        <f aca="false">IFERROR(INDEX(Documents!$Q$4:$Q$1003,MATCH($A183,Documents!$A$4:$A$1003,0)),"")</f>
        <v/>
      </c>
      <c r="R183" s="27"/>
      <c r="S183" s="31" t="str">
        <f aca="false">IFERROR(INDEX('Lead Management'!$O$4:$O$1003,MATCH($B183,'Lead Management'!$A$4:$A$1003,0)),"")</f>
        <v/>
      </c>
      <c r="T183" s="36" t="str">
        <f aca="false">IFERROR(INDEX('Lead Management'!$P$4:$P$1003,MATCH($B183,'Lead Management'!$A$4:$A$1003,0)),"")</f>
        <v/>
      </c>
      <c r="U183" s="32"/>
    </row>
    <row r="184" customFormat="false" ht="15.75" hidden="false" customHeight="true" outlineLevel="0" collapsed="false">
      <c r="A184" s="27"/>
      <c r="B184" s="27"/>
      <c r="C184" s="33" t="str">
        <f aca="false">IFERROR(INDEX('Lead Management'!$B$4:$B$1003,MATCH($B184,'Lead Management'!$A$4:$A$1003,0)),"")</f>
        <v/>
      </c>
      <c r="D184" s="33" t="str">
        <f aca="false">IFERROR(INDEX('Lead Management'!$C$4:$C$1003,MATCH($B184,'Lead Management'!$A$4:$A$1003,0)),"")</f>
        <v/>
      </c>
      <c r="E184" s="33" t="str">
        <f aca="false">IFERROR(INDEX('Lead Management'!$F$4:$F$1003,MATCH($B184,'Lead Management'!$A$4:$A$1003,0)),"")</f>
        <v/>
      </c>
      <c r="F184" s="27"/>
      <c r="G184" s="28"/>
      <c r="H184" s="28"/>
      <c r="I184" s="27"/>
      <c r="J184" s="29"/>
      <c r="K184" s="28"/>
      <c r="L184" s="34" t="str">
        <f aca="false">IF($F184="","",IFERROR(INDEX(Settings!$B$18:$B$27,MATCH($F184,Settings!$A$18:$A$27,0)),""))</f>
        <v/>
      </c>
      <c r="M184" s="34" t="str">
        <f aca="false">IF($A184="","",SUMIFS(Finance!$E$4:$E$1003,Finance!$B$4:$B$1003,$A184,Finance!$J$4:$J$1003,"Paid"))</f>
        <v/>
      </c>
      <c r="N184" s="34" t="str">
        <f aca="false">IF($A184="","",IFERROR($L184-$M184,""))</f>
        <v/>
      </c>
      <c r="O184" s="35" t="str">
        <f aca="false">IF($A184="","",IFERROR($M184/$L184,""))</f>
        <v/>
      </c>
      <c r="P184" s="33" t="str">
        <f aca="false">IFERROR(INDEX('Process Tracking'!$E$5:$E$1003,MATCH($A184,'Process Tracking'!$A$5:$A$1003,0)),"")</f>
        <v/>
      </c>
      <c r="Q184" s="35" t="str">
        <f aca="false">IFERROR(INDEX(Documents!$Q$4:$Q$1003,MATCH($A184,Documents!$A$4:$A$1003,0)),"")</f>
        <v/>
      </c>
      <c r="R184" s="27"/>
      <c r="S184" s="31" t="str">
        <f aca="false">IFERROR(INDEX('Lead Management'!$O$4:$O$1003,MATCH($B184,'Lead Management'!$A$4:$A$1003,0)),"")</f>
        <v/>
      </c>
      <c r="T184" s="36" t="str">
        <f aca="false">IFERROR(INDEX('Lead Management'!$P$4:$P$1003,MATCH($B184,'Lead Management'!$A$4:$A$1003,0)),"")</f>
        <v/>
      </c>
      <c r="U184" s="32"/>
    </row>
    <row r="185" customFormat="false" ht="15.75" hidden="false" customHeight="true" outlineLevel="0" collapsed="false">
      <c r="A185" s="27"/>
      <c r="B185" s="27"/>
      <c r="C185" s="33" t="str">
        <f aca="false">IFERROR(INDEX('Lead Management'!$B$4:$B$1003,MATCH($B185,'Lead Management'!$A$4:$A$1003,0)),"")</f>
        <v/>
      </c>
      <c r="D185" s="33" t="str">
        <f aca="false">IFERROR(INDEX('Lead Management'!$C$4:$C$1003,MATCH($B185,'Lead Management'!$A$4:$A$1003,0)),"")</f>
        <v/>
      </c>
      <c r="E185" s="33" t="str">
        <f aca="false">IFERROR(INDEX('Lead Management'!$F$4:$F$1003,MATCH($B185,'Lead Management'!$A$4:$A$1003,0)),"")</f>
        <v/>
      </c>
      <c r="F185" s="27"/>
      <c r="G185" s="28"/>
      <c r="H185" s="28"/>
      <c r="I185" s="27"/>
      <c r="J185" s="29"/>
      <c r="K185" s="28"/>
      <c r="L185" s="34" t="str">
        <f aca="false">IF($F185="","",IFERROR(INDEX(Settings!$B$18:$B$27,MATCH($F185,Settings!$A$18:$A$27,0)),""))</f>
        <v/>
      </c>
      <c r="M185" s="34" t="str">
        <f aca="false">IF($A185="","",SUMIFS(Finance!$E$4:$E$1003,Finance!$B$4:$B$1003,$A185,Finance!$J$4:$J$1003,"Paid"))</f>
        <v/>
      </c>
      <c r="N185" s="34" t="str">
        <f aca="false">IF($A185="","",IFERROR($L185-$M185,""))</f>
        <v/>
      </c>
      <c r="O185" s="35" t="str">
        <f aca="false">IF($A185="","",IFERROR($M185/$L185,""))</f>
        <v/>
      </c>
      <c r="P185" s="33" t="str">
        <f aca="false">IFERROR(INDEX('Process Tracking'!$E$5:$E$1003,MATCH($A185,'Process Tracking'!$A$5:$A$1003,0)),"")</f>
        <v/>
      </c>
      <c r="Q185" s="35" t="str">
        <f aca="false">IFERROR(INDEX(Documents!$Q$4:$Q$1003,MATCH($A185,Documents!$A$4:$A$1003,0)),"")</f>
        <v/>
      </c>
      <c r="R185" s="27"/>
      <c r="S185" s="31" t="str">
        <f aca="false">IFERROR(INDEX('Lead Management'!$O$4:$O$1003,MATCH($B185,'Lead Management'!$A$4:$A$1003,0)),"")</f>
        <v/>
      </c>
      <c r="T185" s="36" t="str">
        <f aca="false">IFERROR(INDEX('Lead Management'!$P$4:$P$1003,MATCH($B185,'Lead Management'!$A$4:$A$1003,0)),"")</f>
        <v/>
      </c>
      <c r="U185" s="32"/>
    </row>
    <row r="186" customFormat="false" ht="15.75" hidden="false" customHeight="true" outlineLevel="0" collapsed="false">
      <c r="A186" s="27"/>
      <c r="B186" s="27"/>
      <c r="C186" s="33" t="str">
        <f aca="false">IFERROR(INDEX('Lead Management'!$B$4:$B$1003,MATCH($B186,'Lead Management'!$A$4:$A$1003,0)),"")</f>
        <v/>
      </c>
      <c r="D186" s="33" t="str">
        <f aca="false">IFERROR(INDEX('Lead Management'!$C$4:$C$1003,MATCH($B186,'Lead Management'!$A$4:$A$1003,0)),"")</f>
        <v/>
      </c>
      <c r="E186" s="33" t="str">
        <f aca="false">IFERROR(INDEX('Lead Management'!$F$4:$F$1003,MATCH($B186,'Lead Management'!$A$4:$A$1003,0)),"")</f>
        <v/>
      </c>
      <c r="F186" s="27"/>
      <c r="G186" s="28"/>
      <c r="H186" s="28"/>
      <c r="I186" s="27"/>
      <c r="J186" s="29"/>
      <c r="K186" s="28"/>
      <c r="L186" s="34" t="str">
        <f aca="false">IF($F186="","",IFERROR(INDEX(Settings!$B$18:$B$27,MATCH($F186,Settings!$A$18:$A$27,0)),""))</f>
        <v/>
      </c>
      <c r="M186" s="34" t="str">
        <f aca="false">IF($A186="","",SUMIFS(Finance!$E$4:$E$1003,Finance!$B$4:$B$1003,$A186,Finance!$J$4:$J$1003,"Paid"))</f>
        <v/>
      </c>
      <c r="N186" s="34" t="str">
        <f aca="false">IF($A186="","",IFERROR($L186-$M186,""))</f>
        <v/>
      </c>
      <c r="O186" s="35" t="str">
        <f aca="false">IF($A186="","",IFERROR($M186/$L186,""))</f>
        <v/>
      </c>
      <c r="P186" s="33" t="str">
        <f aca="false">IFERROR(INDEX('Process Tracking'!$E$5:$E$1003,MATCH($A186,'Process Tracking'!$A$5:$A$1003,0)),"")</f>
        <v/>
      </c>
      <c r="Q186" s="35" t="str">
        <f aca="false">IFERROR(INDEX(Documents!$Q$4:$Q$1003,MATCH($A186,Documents!$A$4:$A$1003,0)),"")</f>
        <v/>
      </c>
      <c r="R186" s="27"/>
      <c r="S186" s="31" t="str">
        <f aca="false">IFERROR(INDEX('Lead Management'!$O$4:$O$1003,MATCH($B186,'Lead Management'!$A$4:$A$1003,0)),"")</f>
        <v/>
      </c>
      <c r="T186" s="36" t="str">
        <f aca="false">IFERROR(INDEX('Lead Management'!$P$4:$P$1003,MATCH($B186,'Lead Management'!$A$4:$A$1003,0)),"")</f>
        <v/>
      </c>
      <c r="U186" s="32"/>
    </row>
    <row r="187" customFormat="false" ht="15.75" hidden="false" customHeight="true" outlineLevel="0" collapsed="false">
      <c r="A187" s="27"/>
      <c r="B187" s="27"/>
      <c r="C187" s="33" t="str">
        <f aca="false">IFERROR(INDEX('Lead Management'!$B$4:$B$1003,MATCH($B187,'Lead Management'!$A$4:$A$1003,0)),"")</f>
        <v/>
      </c>
      <c r="D187" s="33" t="str">
        <f aca="false">IFERROR(INDEX('Lead Management'!$C$4:$C$1003,MATCH($B187,'Lead Management'!$A$4:$A$1003,0)),"")</f>
        <v/>
      </c>
      <c r="E187" s="33" t="str">
        <f aca="false">IFERROR(INDEX('Lead Management'!$F$4:$F$1003,MATCH($B187,'Lead Management'!$A$4:$A$1003,0)),"")</f>
        <v/>
      </c>
      <c r="F187" s="27"/>
      <c r="G187" s="28"/>
      <c r="H187" s="28"/>
      <c r="I187" s="27"/>
      <c r="J187" s="29"/>
      <c r="K187" s="28"/>
      <c r="L187" s="34" t="str">
        <f aca="false">IF($F187="","",IFERROR(INDEX(Settings!$B$18:$B$27,MATCH($F187,Settings!$A$18:$A$27,0)),""))</f>
        <v/>
      </c>
      <c r="M187" s="34" t="str">
        <f aca="false">IF($A187="","",SUMIFS(Finance!$E$4:$E$1003,Finance!$B$4:$B$1003,$A187,Finance!$J$4:$J$1003,"Paid"))</f>
        <v/>
      </c>
      <c r="N187" s="34" t="str">
        <f aca="false">IF($A187="","",IFERROR($L187-$M187,""))</f>
        <v/>
      </c>
      <c r="O187" s="35" t="str">
        <f aca="false">IF($A187="","",IFERROR($M187/$L187,""))</f>
        <v/>
      </c>
      <c r="P187" s="33" t="str">
        <f aca="false">IFERROR(INDEX('Process Tracking'!$E$5:$E$1003,MATCH($A187,'Process Tracking'!$A$5:$A$1003,0)),"")</f>
        <v/>
      </c>
      <c r="Q187" s="35" t="str">
        <f aca="false">IFERROR(INDEX(Documents!$Q$4:$Q$1003,MATCH($A187,Documents!$A$4:$A$1003,0)),"")</f>
        <v/>
      </c>
      <c r="R187" s="27"/>
      <c r="S187" s="31" t="str">
        <f aca="false">IFERROR(INDEX('Lead Management'!$O$4:$O$1003,MATCH($B187,'Lead Management'!$A$4:$A$1003,0)),"")</f>
        <v/>
      </c>
      <c r="T187" s="36" t="str">
        <f aca="false">IFERROR(INDEX('Lead Management'!$P$4:$P$1003,MATCH($B187,'Lead Management'!$A$4:$A$1003,0)),"")</f>
        <v/>
      </c>
      <c r="U187" s="32"/>
    </row>
    <row r="188" customFormat="false" ht="15.75" hidden="false" customHeight="true" outlineLevel="0" collapsed="false">
      <c r="A188" s="27"/>
      <c r="B188" s="27"/>
      <c r="C188" s="33" t="str">
        <f aca="false">IFERROR(INDEX('Lead Management'!$B$4:$B$1003,MATCH($B188,'Lead Management'!$A$4:$A$1003,0)),"")</f>
        <v/>
      </c>
      <c r="D188" s="33" t="str">
        <f aca="false">IFERROR(INDEX('Lead Management'!$C$4:$C$1003,MATCH($B188,'Lead Management'!$A$4:$A$1003,0)),"")</f>
        <v/>
      </c>
      <c r="E188" s="33" t="str">
        <f aca="false">IFERROR(INDEX('Lead Management'!$F$4:$F$1003,MATCH($B188,'Lead Management'!$A$4:$A$1003,0)),"")</f>
        <v/>
      </c>
      <c r="F188" s="27"/>
      <c r="G188" s="28"/>
      <c r="H188" s="28"/>
      <c r="I188" s="27"/>
      <c r="J188" s="29"/>
      <c r="K188" s="28"/>
      <c r="L188" s="34" t="str">
        <f aca="false">IF($F188="","",IFERROR(INDEX(Settings!$B$18:$B$27,MATCH($F188,Settings!$A$18:$A$27,0)),""))</f>
        <v/>
      </c>
      <c r="M188" s="34" t="str">
        <f aca="false">IF($A188="","",SUMIFS(Finance!$E$4:$E$1003,Finance!$B$4:$B$1003,$A188,Finance!$J$4:$J$1003,"Paid"))</f>
        <v/>
      </c>
      <c r="N188" s="34" t="str">
        <f aca="false">IF($A188="","",IFERROR($L188-$M188,""))</f>
        <v/>
      </c>
      <c r="O188" s="35" t="str">
        <f aca="false">IF($A188="","",IFERROR($M188/$L188,""))</f>
        <v/>
      </c>
      <c r="P188" s="33" t="str">
        <f aca="false">IFERROR(INDEX('Process Tracking'!$E$5:$E$1003,MATCH($A188,'Process Tracking'!$A$5:$A$1003,0)),"")</f>
        <v/>
      </c>
      <c r="Q188" s="35" t="str">
        <f aca="false">IFERROR(INDEX(Documents!$Q$4:$Q$1003,MATCH($A188,Documents!$A$4:$A$1003,0)),"")</f>
        <v/>
      </c>
      <c r="R188" s="27"/>
      <c r="S188" s="31" t="str">
        <f aca="false">IFERROR(INDEX('Lead Management'!$O$4:$O$1003,MATCH($B188,'Lead Management'!$A$4:$A$1003,0)),"")</f>
        <v/>
      </c>
      <c r="T188" s="36" t="str">
        <f aca="false">IFERROR(INDEX('Lead Management'!$P$4:$P$1003,MATCH($B188,'Lead Management'!$A$4:$A$1003,0)),"")</f>
        <v/>
      </c>
      <c r="U188" s="32"/>
    </row>
    <row r="189" customFormat="false" ht="15.75" hidden="false" customHeight="true" outlineLevel="0" collapsed="false">
      <c r="A189" s="27"/>
      <c r="B189" s="27"/>
      <c r="C189" s="33" t="str">
        <f aca="false">IFERROR(INDEX('Lead Management'!$B$4:$B$1003,MATCH($B189,'Lead Management'!$A$4:$A$1003,0)),"")</f>
        <v/>
      </c>
      <c r="D189" s="33" t="str">
        <f aca="false">IFERROR(INDEX('Lead Management'!$C$4:$C$1003,MATCH($B189,'Lead Management'!$A$4:$A$1003,0)),"")</f>
        <v/>
      </c>
      <c r="E189" s="33" t="str">
        <f aca="false">IFERROR(INDEX('Lead Management'!$F$4:$F$1003,MATCH($B189,'Lead Management'!$A$4:$A$1003,0)),"")</f>
        <v/>
      </c>
      <c r="F189" s="27"/>
      <c r="G189" s="28"/>
      <c r="H189" s="28"/>
      <c r="I189" s="27"/>
      <c r="J189" s="29"/>
      <c r="K189" s="28"/>
      <c r="L189" s="34" t="str">
        <f aca="false">IF($F189="","",IFERROR(INDEX(Settings!$B$18:$B$27,MATCH($F189,Settings!$A$18:$A$27,0)),""))</f>
        <v/>
      </c>
      <c r="M189" s="34" t="str">
        <f aca="false">IF($A189="","",SUMIFS(Finance!$E$4:$E$1003,Finance!$B$4:$B$1003,$A189,Finance!$J$4:$J$1003,"Paid"))</f>
        <v/>
      </c>
      <c r="N189" s="34" t="str">
        <f aca="false">IF($A189="","",IFERROR($L189-$M189,""))</f>
        <v/>
      </c>
      <c r="O189" s="35" t="str">
        <f aca="false">IF($A189="","",IFERROR($M189/$L189,""))</f>
        <v/>
      </c>
      <c r="P189" s="33" t="str">
        <f aca="false">IFERROR(INDEX('Process Tracking'!$E$5:$E$1003,MATCH($A189,'Process Tracking'!$A$5:$A$1003,0)),"")</f>
        <v/>
      </c>
      <c r="Q189" s="35" t="str">
        <f aca="false">IFERROR(INDEX(Documents!$Q$4:$Q$1003,MATCH($A189,Documents!$A$4:$A$1003,0)),"")</f>
        <v/>
      </c>
      <c r="R189" s="27"/>
      <c r="S189" s="31" t="str">
        <f aca="false">IFERROR(INDEX('Lead Management'!$O$4:$O$1003,MATCH($B189,'Lead Management'!$A$4:$A$1003,0)),"")</f>
        <v/>
      </c>
      <c r="T189" s="36" t="str">
        <f aca="false">IFERROR(INDEX('Lead Management'!$P$4:$P$1003,MATCH($B189,'Lead Management'!$A$4:$A$1003,0)),"")</f>
        <v/>
      </c>
      <c r="U189" s="32"/>
    </row>
    <row r="190" customFormat="false" ht="15.75" hidden="false" customHeight="true" outlineLevel="0" collapsed="false">
      <c r="A190" s="27"/>
      <c r="B190" s="27"/>
      <c r="C190" s="33" t="str">
        <f aca="false">IFERROR(INDEX('Lead Management'!$B$4:$B$1003,MATCH($B190,'Lead Management'!$A$4:$A$1003,0)),"")</f>
        <v/>
      </c>
      <c r="D190" s="33" t="str">
        <f aca="false">IFERROR(INDEX('Lead Management'!$C$4:$C$1003,MATCH($B190,'Lead Management'!$A$4:$A$1003,0)),"")</f>
        <v/>
      </c>
      <c r="E190" s="33" t="str">
        <f aca="false">IFERROR(INDEX('Lead Management'!$F$4:$F$1003,MATCH($B190,'Lead Management'!$A$4:$A$1003,0)),"")</f>
        <v/>
      </c>
      <c r="F190" s="27"/>
      <c r="G190" s="28"/>
      <c r="H190" s="28"/>
      <c r="I190" s="27"/>
      <c r="J190" s="29"/>
      <c r="K190" s="28"/>
      <c r="L190" s="34" t="str">
        <f aca="false">IF($F190="","",IFERROR(INDEX(Settings!$B$18:$B$27,MATCH($F190,Settings!$A$18:$A$27,0)),""))</f>
        <v/>
      </c>
      <c r="M190" s="34" t="str">
        <f aca="false">IF($A190="","",SUMIFS(Finance!$E$4:$E$1003,Finance!$B$4:$B$1003,$A190,Finance!$J$4:$J$1003,"Paid"))</f>
        <v/>
      </c>
      <c r="N190" s="34" t="str">
        <f aca="false">IF($A190="","",IFERROR($L190-$M190,""))</f>
        <v/>
      </c>
      <c r="O190" s="35" t="str">
        <f aca="false">IF($A190="","",IFERROR($M190/$L190,""))</f>
        <v/>
      </c>
      <c r="P190" s="33" t="str">
        <f aca="false">IFERROR(INDEX('Process Tracking'!$E$5:$E$1003,MATCH($A190,'Process Tracking'!$A$5:$A$1003,0)),"")</f>
        <v/>
      </c>
      <c r="Q190" s="35" t="str">
        <f aca="false">IFERROR(INDEX(Documents!$Q$4:$Q$1003,MATCH($A190,Documents!$A$4:$A$1003,0)),"")</f>
        <v/>
      </c>
      <c r="R190" s="27"/>
      <c r="S190" s="31" t="str">
        <f aca="false">IFERROR(INDEX('Lead Management'!$O$4:$O$1003,MATCH($B190,'Lead Management'!$A$4:$A$1003,0)),"")</f>
        <v/>
      </c>
      <c r="T190" s="36" t="str">
        <f aca="false">IFERROR(INDEX('Lead Management'!$P$4:$P$1003,MATCH($B190,'Lead Management'!$A$4:$A$1003,0)),"")</f>
        <v/>
      </c>
      <c r="U190" s="32"/>
    </row>
    <row r="191" customFormat="false" ht="15.75" hidden="false" customHeight="true" outlineLevel="0" collapsed="false">
      <c r="A191" s="27"/>
      <c r="B191" s="27"/>
      <c r="C191" s="33" t="str">
        <f aca="false">IFERROR(INDEX('Lead Management'!$B$4:$B$1003,MATCH($B191,'Lead Management'!$A$4:$A$1003,0)),"")</f>
        <v/>
      </c>
      <c r="D191" s="33" t="str">
        <f aca="false">IFERROR(INDEX('Lead Management'!$C$4:$C$1003,MATCH($B191,'Lead Management'!$A$4:$A$1003,0)),"")</f>
        <v/>
      </c>
      <c r="E191" s="33" t="str">
        <f aca="false">IFERROR(INDEX('Lead Management'!$F$4:$F$1003,MATCH($B191,'Lead Management'!$A$4:$A$1003,0)),"")</f>
        <v/>
      </c>
      <c r="F191" s="27"/>
      <c r="G191" s="28"/>
      <c r="H191" s="28"/>
      <c r="I191" s="27"/>
      <c r="J191" s="29"/>
      <c r="K191" s="28"/>
      <c r="L191" s="34" t="str">
        <f aca="false">IF($F191="","",IFERROR(INDEX(Settings!$B$18:$B$27,MATCH($F191,Settings!$A$18:$A$27,0)),""))</f>
        <v/>
      </c>
      <c r="M191" s="34" t="str">
        <f aca="false">IF($A191="","",SUMIFS(Finance!$E$4:$E$1003,Finance!$B$4:$B$1003,$A191,Finance!$J$4:$J$1003,"Paid"))</f>
        <v/>
      </c>
      <c r="N191" s="34" t="str">
        <f aca="false">IF($A191="","",IFERROR($L191-$M191,""))</f>
        <v/>
      </c>
      <c r="O191" s="35" t="str">
        <f aca="false">IF($A191="","",IFERROR($M191/$L191,""))</f>
        <v/>
      </c>
      <c r="P191" s="33" t="str">
        <f aca="false">IFERROR(INDEX('Process Tracking'!$E$5:$E$1003,MATCH($A191,'Process Tracking'!$A$5:$A$1003,0)),"")</f>
        <v/>
      </c>
      <c r="Q191" s="35" t="str">
        <f aca="false">IFERROR(INDEX(Documents!$Q$4:$Q$1003,MATCH($A191,Documents!$A$4:$A$1003,0)),"")</f>
        <v/>
      </c>
      <c r="R191" s="27"/>
      <c r="S191" s="31" t="str">
        <f aca="false">IFERROR(INDEX('Lead Management'!$O$4:$O$1003,MATCH($B191,'Lead Management'!$A$4:$A$1003,0)),"")</f>
        <v/>
      </c>
      <c r="T191" s="36" t="str">
        <f aca="false">IFERROR(INDEX('Lead Management'!$P$4:$P$1003,MATCH($B191,'Lead Management'!$A$4:$A$1003,0)),"")</f>
        <v/>
      </c>
      <c r="U191" s="32"/>
    </row>
    <row r="192" customFormat="false" ht="15.75" hidden="false" customHeight="true" outlineLevel="0" collapsed="false">
      <c r="A192" s="27"/>
      <c r="B192" s="27"/>
      <c r="C192" s="33" t="str">
        <f aca="false">IFERROR(INDEX('Lead Management'!$B$4:$B$1003,MATCH($B192,'Lead Management'!$A$4:$A$1003,0)),"")</f>
        <v/>
      </c>
      <c r="D192" s="33" t="str">
        <f aca="false">IFERROR(INDEX('Lead Management'!$C$4:$C$1003,MATCH($B192,'Lead Management'!$A$4:$A$1003,0)),"")</f>
        <v/>
      </c>
      <c r="E192" s="33" t="str">
        <f aca="false">IFERROR(INDEX('Lead Management'!$F$4:$F$1003,MATCH($B192,'Lead Management'!$A$4:$A$1003,0)),"")</f>
        <v/>
      </c>
      <c r="F192" s="27"/>
      <c r="G192" s="28"/>
      <c r="H192" s="28"/>
      <c r="I192" s="27"/>
      <c r="J192" s="29"/>
      <c r="K192" s="28"/>
      <c r="L192" s="34" t="str">
        <f aca="false">IF($F192="","",IFERROR(INDEX(Settings!$B$18:$B$27,MATCH($F192,Settings!$A$18:$A$27,0)),""))</f>
        <v/>
      </c>
      <c r="M192" s="34" t="str">
        <f aca="false">IF($A192="","",SUMIFS(Finance!$E$4:$E$1003,Finance!$B$4:$B$1003,$A192,Finance!$J$4:$J$1003,"Paid"))</f>
        <v/>
      </c>
      <c r="N192" s="34" t="str">
        <f aca="false">IF($A192="","",IFERROR($L192-$M192,""))</f>
        <v/>
      </c>
      <c r="O192" s="35" t="str">
        <f aca="false">IF($A192="","",IFERROR($M192/$L192,""))</f>
        <v/>
      </c>
      <c r="P192" s="33" t="str">
        <f aca="false">IFERROR(INDEX('Process Tracking'!$E$5:$E$1003,MATCH($A192,'Process Tracking'!$A$5:$A$1003,0)),"")</f>
        <v/>
      </c>
      <c r="Q192" s="35" t="str">
        <f aca="false">IFERROR(INDEX(Documents!$Q$4:$Q$1003,MATCH($A192,Documents!$A$4:$A$1003,0)),"")</f>
        <v/>
      </c>
      <c r="R192" s="27"/>
      <c r="S192" s="31" t="str">
        <f aca="false">IFERROR(INDEX('Lead Management'!$O$4:$O$1003,MATCH($B192,'Lead Management'!$A$4:$A$1003,0)),"")</f>
        <v/>
      </c>
      <c r="T192" s="36" t="str">
        <f aca="false">IFERROR(INDEX('Lead Management'!$P$4:$P$1003,MATCH($B192,'Lead Management'!$A$4:$A$1003,0)),"")</f>
        <v/>
      </c>
      <c r="U192" s="32"/>
    </row>
    <row r="193" customFormat="false" ht="15.75" hidden="false" customHeight="true" outlineLevel="0" collapsed="false">
      <c r="A193" s="27"/>
      <c r="B193" s="27"/>
      <c r="C193" s="33" t="str">
        <f aca="false">IFERROR(INDEX('Lead Management'!$B$4:$B$1003,MATCH($B193,'Lead Management'!$A$4:$A$1003,0)),"")</f>
        <v/>
      </c>
      <c r="D193" s="33" t="str">
        <f aca="false">IFERROR(INDEX('Lead Management'!$C$4:$C$1003,MATCH($B193,'Lead Management'!$A$4:$A$1003,0)),"")</f>
        <v/>
      </c>
      <c r="E193" s="33" t="str">
        <f aca="false">IFERROR(INDEX('Lead Management'!$F$4:$F$1003,MATCH($B193,'Lead Management'!$A$4:$A$1003,0)),"")</f>
        <v/>
      </c>
      <c r="F193" s="27"/>
      <c r="G193" s="28"/>
      <c r="H193" s="28"/>
      <c r="I193" s="27"/>
      <c r="J193" s="29"/>
      <c r="K193" s="28"/>
      <c r="L193" s="34" t="str">
        <f aca="false">IF($F193="","",IFERROR(INDEX(Settings!$B$18:$B$27,MATCH($F193,Settings!$A$18:$A$27,0)),""))</f>
        <v/>
      </c>
      <c r="M193" s="34" t="str">
        <f aca="false">IF($A193="","",SUMIFS(Finance!$E$4:$E$1003,Finance!$B$4:$B$1003,$A193,Finance!$J$4:$J$1003,"Paid"))</f>
        <v/>
      </c>
      <c r="N193" s="34" t="str">
        <f aca="false">IF($A193="","",IFERROR($L193-$M193,""))</f>
        <v/>
      </c>
      <c r="O193" s="35" t="str">
        <f aca="false">IF($A193="","",IFERROR($M193/$L193,""))</f>
        <v/>
      </c>
      <c r="P193" s="33" t="str">
        <f aca="false">IFERROR(INDEX('Process Tracking'!$E$5:$E$1003,MATCH($A193,'Process Tracking'!$A$5:$A$1003,0)),"")</f>
        <v/>
      </c>
      <c r="Q193" s="35" t="str">
        <f aca="false">IFERROR(INDEX(Documents!$Q$4:$Q$1003,MATCH($A193,Documents!$A$4:$A$1003,0)),"")</f>
        <v/>
      </c>
      <c r="R193" s="27"/>
      <c r="S193" s="31" t="str">
        <f aca="false">IFERROR(INDEX('Lead Management'!$O$4:$O$1003,MATCH($B193,'Lead Management'!$A$4:$A$1003,0)),"")</f>
        <v/>
      </c>
      <c r="T193" s="36" t="str">
        <f aca="false">IFERROR(INDEX('Lead Management'!$P$4:$P$1003,MATCH($B193,'Lead Management'!$A$4:$A$1003,0)),"")</f>
        <v/>
      </c>
      <c r="U193" s="32"/>
    </row>
    <row r="194" customFormat="false" ht="15.75" hidden="false" customHeight="true" outlineLevel="0" collapsed="false">
      <c r="A194" s="27"/>
      <c r="B194" s="27"/>
      <c r="C194" s="33" t="str">
        <f aca="false">IFERROR(INDEX('Lead Management'!$B$4:$B$1003,MATCH($B194,'Lead Management'!$A$4:$A$1003,0)),"")</f>
        <v/>
      </c>
      <c r="D194" s="33" t="str">
        <f aca="false">IFERROR(INDEX('Lead Management'!$C$4:$C$1003,MATCH($B194,'Lead Management'!$A$4:$A$1003,0)),"")</f>
        <v/>
      </c>
      <c r="E194" s="33" t="str">
        <f aca="false">IFERROR(INDEX('Lead Management'!$F$4:$F$1003,MATCH($B194,'Lead Management'!$A$4:$A$1003,0)),"")</f>
        <v/>
      </c>
      <c r="F194" s="27"/>
      <c r="G194" s="28"/>
      <c r="H194" s="28"/>
      <c r="I194" s="27"/>
      <c r="J194" s="29"/>
      <c r="K194" s="28"/>
      <c r="L194" s="34" t="str">
        <f aca="false">IF($F194="","",IFERROR(INDEX(Settings!$B$18:$B$27,MATCH($F194,Settings!$A$18:$A$27,0)),""))</f>
        <v/>
      </c>
      <c r="M194" s="34" t="str">
        <f aca="false">IF($A194="","",SUMIFS(Finance!$E$4:$E$1003,Finance!$B$4:$B$1003,$A194,Finance!$J$4:$J$1003,"Paid"))</f>
        <v/>
      </c>
      <c r="N194" s="34" t="str">
        <f aca="false">IF($A194="","",IFERROR($L194-$M194,""))</f>
        <v/>
      </c>
      <c r="O194" s="35" t="str">
        <f aca="false">IF($A194="","",IFERROR($M194/$L194,""))</f>
        <v/>
      </c>
      <c r="P194" s="33" t="str">
        <f aca="false">IFERROR(INDEX('Process Tracking'!$E$5:$E$1003,MATCH($A194,'Process Tracking'!$A$5:$A$1003,0)),"")</f>
        <v/>
      </c>
      <c r="Q194" s="35" t="str">
        <f aca="false">IFERROR(INDEX(Documents!$Q$4:$Q$1003,MATCH($A194,Documents!$A$4:$A$1003,0)),"")</f>
        <v/>
      </c>
      <c r="R194" s="27"/>
      <c r="S194" s="31" t="str">
        <f aca="false">IFERROR(INDEX('Lead Management'!$O$4:$O$1003,MATCH($B194,'Lead Management'!$A$4:$A$1003,0)),"")</f>
        <v/>
      </c>
      <c r="T194" s="36" t="str">
        <f aca="false">IFERROR(INDEX('Lead Management'!$P$4:$P$1003,MATCH($B194,'Lead Management'!$A$4:$A$1003,0)),"")</f>
        <v/>
      </c>
      <c r="U194" s="32"/>
    </row>
    <row r="195" customFormat="false" ht="15.75" hidden="false" customHeight="true" outlineLevel="0" collapsed="false">
      <c r="A195" s="27"/>
      <c r="B195" s="27"/>
      <c r="C195" s="33" t="str">
        <f aca="false">IFERROR(INDEX('Lead Management'!$B$4:$B$1003,MATCH($B195,'Lead Management'!$A$4:$A$1003,0)),"")</f>
        <v/>
      </c>
      <c r="D195" s="33" t="str">
        <f aca="false">IFERROR(INDEX('Lead Management'!$C$4:$C$1003,MATCH($B195,'Lead Management'!$A$4:$A$1003,0)),"")</f>
        <v/>
      </c>
      <c r="E195" s="33" t="str">
        <f aca="false">IFERROR(INDEX('Lead Management'!$F$4:$F$1003,MATCH($B195,'Lead Management'!$A$4:$A$1003,0)),"")</f>
        <v/>
      </c>
      <c r="F195" s="27"/>
      <c r="G195" s="28"/>
      <c r="H195" s="28"/>
      <c r="I195" s="27"/>
      <c r="J195" s="29"/>
      <c r="K195" s="28"/>
      <c r="L195" s="34" t="str">
        <f aca="false">IF($F195="","",IFERROR(INDEX(Settings!$B$18:$B$27,MATCH($F195,Settings!$A$18:$A$27,0)),""))</f>
        <v/>
      </c>
      <c r="M195" s="34" t="str">
        <f aca="false">IF($A195="","",SUMIFS(Finance!$E$4:$E$1003,Finance!$B$4:$B$1003,$A195,Finance!$J$4:$J$1003,"Paid"))</f>
        <v/>
      </c>
      <c r="N195" s="34" t="str">
        <f aca="false">IF($A195="","",IFERROR($L195-$M195,""))</f>
        <v/>
      </c>
      <c r="O195" s="35" t="str">
        <f aca="false">IF($A195="","",IFERROR($M195/$L195,""))</f>
        <v/>
      </c>
      <c r="P195" s="33" t="str">
        <f aca="false">IFERROR(INDEX('Process Tracking'!$E$5:$E$1003,MATCH($A195,'Process Tracking'!$A$5:$A$1003,0)),"")</f>
        <v/>
      </c>
      <c r="Q195" s="35" t="str">
        <f aca="false">IFERROR(INDEX(Documents!$Q$4:$Q$1003,MATCH($A195,Documents!$A$4:$A$1003,0)),"")</f>
        <v/>
      </c>
      <c r="R195" s="27"/>
      <c r="S195" s="31" t="str">
        <f aca="false">IFERROR(INDEX('Lead Management'!$O$4:$O$1003,MATCH($B195,'Lead Management'!$A$4:$A$1003,0)),"")</f>
        <v/>
      </c>
      <c r="T195" s="36" t="str">
        <f aca="false">IFERROR(INDEX('Lead Management'!$P$4:$P$1003,MATCH($B195,'Lead Management'!$A$4:$A$1003,0)),"")</f>
        <v/>
      </c>
      <c r="U195" s="32"/>
    </row>
    <row r="196" customFormat="false" ht="15.75" hidden="false" customHeight="true" outlineLevel="0" collapsed="false">
      <c r="A196" s="27"/>
      <c r="B196" s="27"/>
      <c r="C196" s="33" t="str">
        <f aca="false">IFERROR(INDEX('Lead Management'!$B$4:$B$1003,MATCH($B196,'Lead Management'!$A$4:$A$1003,0)),"")</f>
        <v/>
      </c>
      <c r="D196" s="33" t="str">
        <f aca="false">IFERROR(INDEX('Lead Management'!$C$4:$C$1003,MATCH($B196,'Lead Management'!$A$4:$A$1003,0)),"")</f>
        <v/>
      </c>
      <c r="E196" s="33" t="str">
        <f aca="false">IFERROR(INDEX('Lead Management'!$F$4:$F$1003,MATCH($B196,'Lead Management'!$A$4:$A$1003,0)),"")</f>
        <v/>
      </c>
      <c r="F196" s="27"/>
      <c r="G196" s="28"/>
      <c r="H196" s="28"/>
      <c r="I196" s="27"/>
      <c r="J196" s="29"/>
      <c r="K196" s="28"/>
      <c r="L196" s="34" t="str">
        <f aca="false">IF($F196="","",IFERROR(INDEX(Settings!$B$18:$B$27,MATCH($F196,Settings!$A$18:$A$27,0)),""))</f>
        <v/>
      </c>
      <c r="M196" s="34" t="str">
        <f aca="false">IF($A196="","",SUMIFS(Finance!$E$4:$E$1003,Finance!$B$4:$B$1003,$A196,Finance!$J$4:$J$1003,"Paid"))</f>
        <v/>
      </c>
      <c r="N196" s="34" t="str">
        <f aca="false">IF($A196="","",IFERROR($L196-$M196,""))</f>
        <v/>
      </c>
      <c r="O196" s="35" t="str">
        <f aca="false">IF($A196="","",IFERROR($M196/$L196,""))</f>
        <v/>
      </c>
      <c r="P196" s="33" t="str">
        <f aca="false">IFERROR(INDEX('Process Tracking'!$E$5:$E$1003,MATCH($A196,'Process Tracking'!$A$5:$A$1003,0)),"")</f>
        <v/>
      </c>
      <c r="Q196" s="35" t="str">
        <f aca="false">IFERROR(INDEX(Documents!$Q$4:$Q$1003,MATCH($A196,Documents!$A$4:$A$1003,0)),"")</f>
        <v/>
      </c>
      <c r="R196" s="27"/>
      <c r="S196" s="31" t="str">
        <f aca="false">IFERROR(INDEX('Lead Management'!$O$4:$O$1003,MATCH($B196,'Lead Management'!$A$4:$A$1003,0)),"")</f>
        <v/>
      </c>
      <c r="T196" s="36" t="str">
        <f aca="false">IFERROR(INDEX('Lead Management'!$P$4:$P$1003,MATCH($B196,'Lead Management'!$A$4:$A$1003,0)),"")</f>
        <v/>
      </c>
      <c r="U196" s="32"/>
    </row>
    <row r="197" customFormat="false" ht="15.75" hidden="false" customHeight="true" outlineLevel="0" collapsed="false">
      <c r="A197" s="27"/>
      <c r="B197" s="27"/>
      <c r="C197" s="33" t="str">
        <f aca="false">IFERROR(INDEX('Lead Management'!$B$4:$B$1003,MATCH($B197,'Lead Management'!$A$4:$A$1003,0)),"")</f>
        <v/>
      </c>
      <c r="D197" s="33" t="str">
        <f aca="false">IFERROR(INDEX('Lead Management'!$C$4:$C$1003,MATCH($B197,'Lead Management'!$A$4:$A$1003,0)),"")</f>
        <v/>
      </c>
      <c r="E197" s="33" t="str">
        <f aca="false">IFERROR(INDEX('Lead Management'!$F$4:$F$1003,MATCH($B197,'Lead Management'!$A$4:$A$1003,0)),"")</f>
        <v/>
      </c>
      <c r="F197" s="27"/>
      <c r="G197" s="28"/>
      <c r="H197" s="28"/>
      <c r="I197" s="27"/>
      <c r="J197" s="29"/>
      <c r="K197" s="28"/>
      <c r="L197" s="34" t="str">
        <f aca="false">IF($F197="","",IFERROR(INDEX(Settings!$B$18:$B$27,MATCH($F197,Settings!$A$18:$A$27,0)),""))</f>
        <v/>
      </c>
      <c r="M197" s="34" t="str">
        <f aca="false">IF($A197="","",SUMIFS(Finance!$E$4:$E$1003,Finance!$B$4:$B$1003,$A197,Finance!$J$4:$J$1003,"Paid"))</f>
        <v/>
      </c>
      <c r="N197" s="34" t="str">
        <f aca="false">IF($A197="","",IFERROR($L197-$M197,""))</f>
        <v/>
      </c>
      <c r="O197" s="35" t="str">
        <f aca="false">IF($A197="","",IFERROR($M197/$L197,""))</f>
        <v/>
      </c>
      <c r="P197" s="33" t="str">
        <f aca="false">IFERROR(INDEX('Process Tracking'!$E$5:$E$1003,MATCH($A197,'Process Tracking'!$A$5:$A$1003,0)),"")</f>
        <v/>
      </c>
      <c r="Q197" s="35" t="str">
        <f aca="false">IFERROR(INDEX(Documents!$Q$4:$Q$1003,MATCH($A197,Documents!$A$4:$A$1003,0)),"")</f>
        <v/>
      </c>
      <c r="R197" s="27"/>
      <c r="S197" s="31" t="str">
        <f aca="false">IFERROR(INDEX('Lead Management'!$O$4:$O$1003,MATCH($B197,'Lead Management'!$A$4:$A$1003,0)),"")</f>
        <v/>
      </c>
      <c r="T197" s="36" t="str">
        <f aca="false">IFERROR(INDEX('Lead Management'!$P$4:$P$1003,MATCH($B197,'Lead Management'!$A$4:$A$1003,0)),"")</f>
        <v/>
      </c>
      <c r="U197" s="32"/>
    </row>
    <row r="198" customFormat="false" ht="15.75" hidden="false" customHeight="true" outlineLevel="0" collapsed="false">
      <c r="A198" s="27"/>
      <c r="B198" s="27"/>
      <c r="C198" s="33" t="str">
        <f aca="false">IFERROR(INDEX('Lead Management'!$B$4:$B$1003,MATCH($B198,'Lead Management'!$A$4:$A$1003,0)),"")</f>
        <v/>
      </c>
      <c r="D198" s="33" t="str">
        <f aca="false">IFERROR(INDEX('Lead Management'!$C$4:$C$1003,MATCH($B198,'Lead Management'!$A$4:$A$1003,0)),"")</f>
        <v/>
      </c>
      <c r="E198" s="33" t="str">
        <f aca="false">IFERROR(INDEX('Lead Management'!$F$4:$F$1003,MATCH($B198,'Lead Management'!$A$4:$A$1003,0)),"")</f>
        <v/>
      </c>
      <c r="F198" s="27"/>
      <c r="G198" s="28"/>
      <c r="H198" s="28"/>
      <c r="I198" s="27"/>
      <c r="J198" s="29"/>
      <c r="K198" s="28"/>
      <c r="L198" s="34" t="str">
        <f aca="false">IF($F198="","",IFERROR(INDEX(Settings!$B$18:$B$27,MATCH($F198,Settings!$A$18:$A$27,0)),""))</f>
        <v/>
      </c>
      <c r="M198" s="34" t="str">
        <f aca="false">IF($A198="","",SUMIFS(Finance!$E$4:$E$1003,Finance!$B$4:$B$1003,$A198,Finance!$J$4:$J$1003,"Paid"))</f>
        <v/>
      </c>
      <c r="N198" s="34" t="str">
        <f aca="false">IF($A198="","",IFERROR($L198-$M198,""))</f>
        <v/>
      </c>
      <c r="O198" s="35" t="str">
        <f aca="false">IF($A198="","",IFERROR($M198/$L198,""))</f>
        <v/>
      </c>
      <c r="P198" s="33" t="str">
        <f aca="false">IFERROR(INDEX('Process Tracking'!$E$5:$E$1003,MATCH($A198,'Process Tracking'!$A$5:$A$1003,0)),"")</f>
        <v/>
      </c>
      <c r="Q198" s="35" t="str">
        <f aca="false">IFERROR(INDEX(Documents!$Q$4:$Q$1003,MATCH($A198,Documents!$A$4:$A$1003,0)),"")</f>
        <v/>
      </c>
      <c r="R198" s="27"/>
      <c r="S198" s="31" t="str">
        <f aca="false">IFERROR(INDEX('Lead Management'!$O$4:$O$1003,MATCH($B198,'Lead Management'!$A$4:$A$1003,0)),"")</f>
        <v/>
      </c>
      <c r="T198" s="36" t="str">
        <f aca="false">IFERROR(INDEX('Lead Management'!$P$4:$P$1003,MATCH($B198,'Lead Management'!$A$4:$A$1003,0)),"")</f>
        <v/>
      </c>
      <c r="U198" s="32"/>
    </row>
    <row r="199" customFormat="false" ht="15.75" hidden="false" customHeight="true" outlineLevel="0" collapsed="false">
      <c r="A199" s="27"/>
      <c r="B199" s="27"/>
      <c r="C199" s="33" t="str">
        <f aca="false">IFERROR(INDEX('Lead Management'!$B$4:$B$1003,MATCH($B199,'Lead Management'!$A$4:$A$1003,0)),"")</f>
        <v/>
      </c>
      <c r="D199" s="33" t="str">
        <f aca="false">IFERROR(INDEX('Lead Management'!$C$4:$C$1003,MATCH($B199,'Lead Management'!$A$4:$A$1003,0)),"")</f>
        <v/>
      </c>
      <c r="E199" s="33" t="str">
        <f aca="false">IFERROR(INDEX('Lead Management'!$F$4:$F$1003,MATCH($B199,'Lead Management'!$A$4:$A$1003,0)),"")</f>
        <v/>
      </c>
      <c r="F199" s="27"/>
      <c r="G199" s="28"/>
      <c r="H199" s="28"/>
      <c r="I199" s="27"/>
      <c r="J199" s="29"/>
      <c r="K199" s="28"/>
      <c r="L199" s="34" t="str">
        <f aca="false">IF($F199="","",IFERROR(INDEX(Settings!$B$18:$B$27,MATCH($F199,Settings!$A$18:$A$27,0)),""))</f>
        <v/>
      </c>
      <c r="M199" s="34" t="str">
        <f aca="false">IF($A199="","",SUMIFS(Finance!$E$4:$E$1003,Finance!$B$4:$B$1003,$A199,Finance!$J$4:$J$1003,"Paid"))</f>
        <v/>
      </c>
      <c r="N199" s="34" t="str">
        <f aca="false">IF($A199="","",IFERROR($L199-$M199,""))</f>
        <v/>
      </c>
      <c r="O199" s="35" t="str">
        <f aca="false">IF($A199="","",IFERROR($M199/$L199,""))</f>
        <v/>
      </c>
      <c r="P199" s="33" t="str">
        <f aca="false">IFERROR(INDEX('Process Tracking'!$E$5:$E$1003,MATCH($A199,'Process Tracking'!$A$5:$A$1003,0)),"")</f>
        <v/>
      </c>
      <c r="Q199" s="35" t="str">
        <f aca="false">IFERROR(INDEX(Documents!$Q$4:$Q$1003,MATCH($A199,Documents!$A$4:$A$1003,0)),"")</f>
        <v/>
      </c>
      <c r="R199" s="27"/>
      <c r="S199" s="31" t="str">
        <f aca="false">IFERROR(INDEX('Lead Management'!$O$4:$O$1003,MATCH($B199,'Lead Management'!$A$4:$A$1003,0)),"")</f>
        <v/>
      </c>
      <c r="T199" s="36" t="str">
        <f aca="false">IFERROR(INDEX('Lead Management'!$P$4:$P$1003,MATCH($B199,'Lead Management'!$A$4:$A$1003,0)),"")</f>
        <v/>
      </c>
      <c r="U199" s="32"/>
    </row>
    <row r="200" customFormat="false" ht="15.75" hidden="false" customHeight="true" outlineLevel="0" collapsed="false">
      <c r="A200" s="27"/>
      <c r="B200" s="27"/>
      <c r="C200" s="33" t="str">
        <f aca="false">IFERROR(INDEX('Lead Management'!$B$4:$B$1003,MATCH($B200,'Lead Management'!$A$4:$A$1003,0)),"")</f>
        <v/>
      </c>
      <c r="D200" s="33" t="str">
        <f aca="false">IFERROR(INDEX('Lead Management'!$C$4:$C$1003,MATCH($B200,'Lead Management'!$A$4:$A$1003,0)),"")</f>
        <v/>
      </c>
      <c r="E200" s="33" t="str">
        <f aca="false">IFERROR(INDEX('Lead Management'!$F$4:$F$1003,MATCH($B200,'Lead Management'!$A$4:$A$1003,0)),"")</f>
        <v/>
      </c>
      <c r="F200" s="27"/>
      <c r="G200" s="28"/>
      <c r="H200" s="28"/>
      <c r="I200" s="27"/>
      <c r="J200" s="29"/>
      <c r="K200" s="28"/>
      <c r="L200" s="34" t="str">
        <f aca="false">IF($F200="","",IFERROR(INDEX(Settings!$B$18:$B$27,MATCH($F200,Settings!$A$18:$A$27,0)),""))</f>
        <v/>
      </c>
      <c r="M200" s="34" t="str">
        <f aca="false">IF($A200="","",SUMIFS(Finance!$E$4:$E$1003,Finance!$B$4:$B$1003,$A200,Finance!$J$4:$J$1003,"Paid"))</f>
        <v/>
      </c>
      <c r="N200" s="34" t="str">
        <f aca="false">IF($A200="","",IFERROR($L200-$M200,""))</f>
        <v/>
      </c>
      <c r="O200" s="35" t="str">
        <f aca="false">IF($A200="","",IFERROR($M200/$L200,""))</f>
        <v/>
      </c>
      <c r="P200" s="33" t="str">
        <f aca="false">IFERROR(INDEX('Process Tracking'!$E$5:$E$1003,MATCH($A200,'Process Tracking'!$A$5:$A$1003,0)),"")</f>
        <v/>
      </c>
      <c r="Q200" s="35" t="str">
        <f aca="false">IFERROR(INDEX(Documents!$Q$4:$Q$1003,MATCH($A200,Documents!$A$4:$A$1003,0)),"")</f>
        <v/>
      </c>
      <c r="R200" s="27"/>
      <c r="S200" s="31" t="str">
        <f aca="false">IFERROR(INDEX('Lead Management'!$O$4:$O$1003,MATCH($B200,'Lead Management'!$A$4:$A$1003,0)),"")</f>
        <v/>
      </c>
      <c r="T200" s="36" t="str">
        <f aca="false">IFERROR(INDEX('Lead Management'!$P$4:$P$1003,MATCH($B200,'Lead Management'!$A$4:$A$1003,0)),"")</f>
        <v/>
      </c>
      <c r="U200" s="32"/>
    </row>
    <row r="201" customFormat="false" ht="15.75" hidden="false" customHeight="true" outlineLevel="0" collapsed="false">
      <c r="A201" s="27"/>
      <c r="B201" s="27"/>
      <c r="C201" s="33" t="str">
        <f aca="false">IFERROR(INDEX('Lead Management'!$B$4:$B$1003,MATCH($B201,'Lead Management'!$A$4:$A$1003,0)),"")</f>
        <v/>
      </c>
      <c r="D201" s="33" t="str">
        <f aca="false">IFERROR(INDEX('Lead Management'!$C$4:$C$1003,MATCH($B201,'Lead Management'!$A$4:$A$1003,0)),"")</f>
        <v/>
      </c>
      <c r="E201" s="33" t="str">
        <f aca="false">IFERROR(INDEX('Lead Management'!$F$4:$F$1003,MATCH($B201,'Lead Management'!$A$4:$A$1003,0)),"")</f>
        <v/>
      </c>
      <c r="F201" s="27"/>
      <c r="G201" s="28"/>
      <c r="H201" s="28"/>
      <c r="I201" s="27"/>
      <c r="J201" s="29"/>
      <c r="K201" s="28"/>
      <c r="L201" s="34" t="str">
        <f aca="false">IF($F201="","",IFERROR(INDEX(Settings!$B$18:$B$27,MATCH($F201,Settings!$A$18:$A$27,0)),""))</f>
        <v/>
      </c>
      <c r="M201" s="34" t="str">
        <f aca="false">IF($A201="","",SUMIFS(Finance!$E$4:$E$1003,Finance!$B$4:$B$1003,$A201,Finance!$J$4:$J$1003,"Paid"))</f>
        <v/>
      </c>
      <c r="N201" s="34" t="str">
        <f aca="false">IF($A201="","",IFERROR($L201-$M201,""))</f>
        <v/>
      </c>
      <c r="O201" s="35" t="str">
        <f aca="false">IF($A201="","",IFERROR($M201/$L201,""))</f>
        <v/>
      </c>
      <c r="P201" s="33" t="str">
        <f aca="false">IFERROR(INDEX('Process Tracking'!$E$5:$E$1003,MATCH($A201,'Process Tracking'!$A$5:$A$1003,0)),"")</f>
        <v/>
      </c>
      <c r="Q201" s="35" t="str">
        <f aca="false">IFERROR(INDEX(Documents!$Q$4:$Q$1003,MATCH($A201,Documents!$A$4:$A$1003,0)),"")</f>
        <v/>
      </c>
      <c r="R201" s="27"/>
      <c r="S201" s="31" t="str">
        <f aca="false">IFERROR(INDEX('Lead Management'!$O$4:$O$1003,MATCH($B201,'Lead Management'!$A$4:$A$1003,0)),"")</f>
        <v/>
      </c>
      <c r="T201" s="36" t="str">
        <f aca="false">IFERROR(INDEX('Lead Management'!$P$4:$P$1003,MATCH($B201,'Lead Management'!$A$4:$A$1003,0)),"")</f>
        <v/>
      </c>
      <c r="U201" s="32"/>
    </row>
    <row r="202" customFormat="false" ht="15.75" hidden="false" customHeight="true" outlineLevel="0" collapsed="false">
      <c r="A202" s="27"/>
      <c r="B202" s="27"/>
      <c r="C202" s="33" t="str">
        <f aca="false">IFERROR(INDEX('Lead Management'!$B$4:$B$1003,MATCH($B202,'Lead Management'!$A$4:$A$1003,0)),"")</f>
        <v/>
      </c>
      <c r="D202" s="33" t="str">
        <f aca="false">IFERROR(INDEX('Lead Management'!$C$4:$C$1003,MATCH($B202,'Lead Management'!$A$4:$A$1003,0)),"")</f>
        <v/>
      </c>
      <c r="E202" s="33" t="str">
        <f aca="false">IFERROR(INDEX('Lead Management'!$F$4:$F$1003,MATCH($B202,'Lead Management'!$A$4:$A$1003,0)),"")</f>
        <v/>
      </c>
      <c r="F202" s="27"/>
      <c r="G202" s="28"/>
      <c r="H202" s="28"/>
      <c r="I202" s="27"/>
      <c r="J202" s="29"/>
      <c r="K202" s="28"/>
      <c r="L202" s="34" t="str">
        <f aca="false">IF($F202="","",IFERROR(INDEX(Settings!$B$18:$B$27,MATCH($F202,Settings!$A$18:$A$27,0)),""))</f>
        <v/>
      </c>
      <c r="M202" s="34" t="str">
        <f aca="false">IF($A202="","",SUMIFS(Finance!$E$4:$E$1003,Finance!$B$4:$B$1003,$A202,Finance!$J$4:$J$1003,"Paid"))</f>
        <v/>
      </c>
      <c r="N202" s="34" t="str">
        <f aca="false">IF($A202="","",IFERROR($L202-$M202,""))</f>
        <v/>
      </c>
      <c r="O202" s="35" t="str">
        <f aca="false">IF($A202="","",IFERROR($M202/$L202,""))</f>
        <v/>
      </c>
      <c r="P202" s="33" t="str">
        <f aca="false">IFERROR(INDEX('Process Tracking'!$E$5:$E$1003,MATCH($A202,'Process Tracking'!$A$5:$A$1003,0)),"")</f>
        <v/>
      </c>
      <c r="Q202" s="35" t="str">
        <f aca="false">IFERROR(INDEX(Documents!$Q$4:$Q$1003,MATCH($A202,Documents!$A$4:$A$1003,0)),"")</f>
        <v/>
      </c>
      <c r="R202" s="27"/>
      <c r="S202" s="31" t="str">
        <f aca="false">IFERROR(INDEX('Lead Management'!$O$4:$O$1003,MATCH($B202,'Lead Management'!$A$4:$A$1003,0)),"")</f>
        <v/>
      </c>
      <c r="T202" s="36" t="str">
        <f aca="false">IFERROR(INDEX('Lead Management'!$P$4:$P$1003,MATCH($B202,'Lead Management'!$A$4:$A$1003,0)),"")</f>
        <v/>
      </c>
      <c r="U202" s="32"/>
    </row>
    <row r="203" customFormat="false" ht="15.75" hidden="false" customHeight="true" outlineLevel="0" collapsed="false">
      <c r="A203" s="27"/>
      <c r="B203" s="27"/>
      <c r="C203" s="33" t="str">
        <f aca="false">IFERROR(INDEX('Lead Management'!$B$4:$B$1003,MATCH($B203,'Lead Management'!$A$4:$A$1003,0)),"")</f>
        <v/>
      </c>
      <c r="D203" s="33" t="str">
        <f aca="false">IFERROR(INDEX('Lead Management'!$C$4:$C$1003,MATCH($B203,'Lead Management'!$A$4:$A$1003,0)),"")</f>
        <v/>
      </c>
      <c r="E203" s="33" t="str">
        <f aca="false">IFERROR(INDEX('Lead Management'!$F$4:$F$1003,MATCH($B203,'Lead Management'!$A$4:$A$1003,0)),"")</f>
        <v/>
      </c>
      <c r="F203" s="27"/>
      <c r="G203" s="28"/>
      <c r="H203" s="28"/>
      <c r="I203" s="27"/>
      <c r="J203" s="29"/>
      <c r="K203" s="28"/>
      <c r="L203" s="34" t="str">
        <f aca="false">IF($F203="","",IFERROR(INDEX(Settings!$B$18:$B$27,MATCH($F203,Settings!$A$18:$A$27,0)),""))</f>
        <v/>
      </c>
      <c r="M203" s="34" t="str">
        <f aca="false">IF($A203="","",SUMIFS(Finance!$E$4:$E$1003,Finance!$B$4:$B$1003,$A203,Finance!$J$4:$J$1003,"Paid"))</f>
        <v/>
      </c>
      <c r="N203" s="34" t="str">
        <f aca="false">IF($A203="","",IFERROR($L203-$M203,""))</f>
        <v/>
      </c>
      <c r="O203" s="35" t="str">
        <f aca="false">IF($A203="","",IFERROR($M203/$L203,""))</f>
        <v/>
      </c>
      <c r="P203" s="33" t="str">
        <f aca="false">IFERROR(INDEX('Process Tracking'!$E$5:$E$1003,MATCH($A203,'Process Tracking'!$A$5:$A$1003,0)),"")</f>
        <v/>
      </c>
      <c r="Q203" s="35" t="str">
        <f aca="false">IFERROR(INDEX(Documents!$Q$4:$Q$1003,MATCH($A203,Documents!$A$4:$A$1003,0)),"")</f>
        <v/>
      </c>
      <c r="R203" s="27"/>
      <c r="S203" s="31" t="str">
        <f aca="false">IFERROR(INDEX('Lead Management'!$O$4:$O$1003,MATCH($B203,'Lead Management'!$A$4:$A$1003,0)),"")</f>
        <v/>
      </c>
      <c r="T203" s="36" t="str">
        <f aca="false">IFERROR(INDEX('Lead Management'!$P$4:$P$1003,MATCH($B203,'Lead Management'!$A$4:$A$1003,0)),"")</f>
        <v/>
      </c>
      <c r="U203" s="32"/>
    </row>
  </sheetData>
  <autoFilter ref="A3:U203"/>
  <mergeCells count="2">
    <mergeCell ref="A1:U1"/>
    <mergeCell ref="A2:U2"/>
  </mergeCells>
  <conditionalFormatting sqref="A4:U203">
    <cfRule type="expression" priority="2" aboveAverage="0" equalAverage="0" bottom="0" percent="0" rank="0" text="" dxfId="17">
      <formula>MOD(ROW(),2)=0</formula>
    </cfRule>
  </conditionalFormatting>
  <conditionalFormatting sqref="R4:R203">
    <cfRule type="cellIs" priority="3" operator="equal" aboveAverage="0" equalAverage="0" bottom="0" percent="0" rank="0" text="" dxfId="19">
      <formula>"Active"</formula>
    </cfRule>
    <cfRule type="cellIs" priority="4" operator="equal" aboveAverage="0" equalAverage="0" bottom="0" percent="0" rank="0" text="" dxfId="20">
      <formula>"On Hold"</formula>
    </cfRule>
    <cfRule type="cellIs" priority="5" operator="equal" aboveAverage="0" equalAverage="0" bottom="0" percent="0" rank="0" text="" dxfId="18">
      <formula>"Completed"</formula>
    </cfRule>
    <cfRule type="cellIs" priority="6" operator="equal" aboveAverage="0" equalAverage="0" bottom="0" percent="0" rank="0" text="" dxfId="22">
      <formula>"Cancelled"</formula>
    </cfRule>
  </conditionalFormatting>
  <conditionalFormatting sqref="O4:O203">
    <cfRule type="dataBar" priority="7">
      <dataBar showValue="1" minLength="10" maxLength="90">
        <cfvo type="num" val="0"/>
        <cfvo type="num" val="1"/>
        <color rgb="FF2E5C8A"/>
      </dataBar>
      <extLst>
        <ext xmlns:x14="http://schemas.microsoft.com/office/spreadsheetml/2009/9/main" uri="{B025F937-C7B1-47D3-B67F-A62EFF666E3E}">
          <x14:id>{CAFB194F-F55C-4CC2-A9E1-B65737B17E9B}</x14:id>
        </ext>
      </extLst>
    </cfRule>
  </conditionalFormatting>
  <conditionalFormatting sqref="Q4:Q203">
    <cfRule type="colorScale" priority="8">
      <colorScale>
        <cfvo type="num" val="0"/>
        <cfvo type="num" val="0.5"/>
        <cfvo type="num" val="1"/>
        <color rgb="FFFFC7CE"/>
        <color rgb="FFFFEB9C"/>
        <color rgb="FFC6EFCE"/>
      </colorScale>
    </cfRule>
  </conditionalFormatting>
  <conditionalFormatting sqref="N4:N203">
    <cfRule type="cellIs" priority="9" operator="greaterThan" aboveAverage="0" equalAverage="0" bottom="0" percent="0" rank="0" text="" dxfId="24">
      <formula>0</formula>
    </cfRule>
  </conditionalFormatting>
  <dataValidations count="5">
    <dataValidation allowBlank="true" error="Please choose one of the values from the drop-down list." errorStyle="stop" errorTitle="Invalid entry" operator="between" showDropDown="false" showErrorMessage="false" showInputMessage="false" sqref="F4:F203" type="list">
      <formula1>Settings!$C$32:$C$41</formula1>
      <formula2>0</formula2>
    </dataValidation>
    <dataValidation allowBlank="true" error="Please choose one of the values from the drop-down list." errorStyle="stop" errorTitle="Invalid entry" operator="between" showDropDown="false" showErrorMessage="false" showInputMessage="false" sqref="G4:G203" type="list">
      <formula1>Settings!$S$32:$S$46</formula1>
      <formula2>0</formula2>
    </dataValidation>
    <dataValidation allowBlank="true" error="Please choose one of the values from the drop-down list." errorStyle="stop" errorTitle="Invalid entry" operator="between" showDropDown="false" showErrorMessage="false" showInputMessage="false" sqref="K4:K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R4:R203" type="list">
      <formula1>Settings!$N$32:$N$35</formula1>
      <formula2>0</formula2>
    </dataValidation>
    <dataValidation allowBlank="true" error="Enter a valid date (dd/mm/yyyy)." errorStyle="stop" errorTitle="Invalid date" operator="between" showDropDown="false" showErrorMessage="false" showInputMessage="false" sqref="J4:J203"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CAFB194F-F55C-4CC2-A9E1-B65737B17E9B}">
            <x14:dataBar minLength="10" maxLength="90" axisPosition="none" gradient="true">
              <x14:cfvo type="num">
                <xm:f>0</xm:f>
              </x14:cfvo>
              <x14:cfvo type="num">
                <xm:f>1</xm:f>
              </x14:cfvo>
              <x14:negativeFillColor rgb="FF2E5C8A"/>
              <x14:axisColor rgb="FF000000"/>
            </x14:dataBar>
          </x14:cfRule>
          <xm:sqref>O4:O203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Q2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2734375" defaultRowHeight="15" customHeight="false"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2"/>
    <col collapsed="false" customWidth="true" hidden="false" outlineLevel="0" max="4" min="4" style="0" width="14"/>
    <col collapsed="false" customWidth="true" hidden="false" outlineLevel="0" max="5" min="5" style="0" width="18"/>
    <col collapsed="false" customWidth="true" hidden="false" outlineLevel="0" max="6" min="6" style="0" width="26"/>
    <col collapsed="false" customWidth="true" hidden="false" outlineLevel="0" max="10" min="7" style="0" width="16"/>
    <col collapsed="false" customWidth="true" hidden="false" outlineLevel="0" max="11" min="11" style="0" width="17"/>
    <col collapsed="false" customWidth="true" hidden="false" outlineLevel="0" max="12" min="12" style="0" width="16"/>
    <col collapsed="false" customWidth="true" hidden="false" outlineLevel="0" max="13" min="13" style="0" width="12"/>
    <col collapsed="false" customWidth="true" hidden="false" outlineLevel="0" max="14" min="14" style="0" width="20"/>
    <col collapsed="false" customWidth="true" hidden="false" outlineLevel="0" max="15" min="15" style="0" width="15"/>
    <col collapsed="false" customWidth="true" hidden="false" outlineLevel="0" max="16" min="16" style="0" width="14"/>
    <col collapsed="false" customWidth="true" hidden="false" outlineLevel="0" max="17" min="17" style="0" width="40"/>
  </cols>
  <sheetData>
    <row r="1" customFormat="false" ht="30" hidden="false" customHeight="true" outlineLevel="0" collapsed="false">
      <c r="A1" s="1" t="s">
        <v>377</v>
      </c>
      <c r="B1" s="1"/>
      <c r="C1" s="1"/>
      <c r="D1" s="1"/>
      <c r="E1" s="1"/>
      <c r="F1" s="1"/>
      <c r="G1" s="1"/>
      <c r="H1" s="1"/>
      <c r="I1" s="1"/>
      <c r="J1" s="1"/>
      <c r="K1" s="1"/>
      <c r="L1" s="1"/>
      <c r="M1" s="1"/>
      <c r="N1" s="1"/>
      <c r="O1" s="1"/>
      <c r="P1" s="1"/>
      <c r="Q1" s="1"/>
    </row>
    <row r="2" customFormat="false" ht="15.75" hidden="false" customHeight="true" outlineLevel="0" collapsed="false">
      <c r="A2" s="2" t="s">
        <v>378</v>
      </c>
      <c r="B2" s="2"/>
      <c r="C2" s="2"/>
      <c r="D2" s="2"/>
      <c r="E2" s="2"/>
      <c r="F2" s="2"/>
      <c r="G2" s="2"/>
      <c r="H2" s="2"/>
      <c r="I2" s="2"/>
      <c r="J2" s="2"/>
      <c r="K2" s="2"/>
      <c r="L2" s="2"/>
      <c r="M2" s="2"/>
      <c r="N2" s="2"/>
      <c r="O2" s="2"/>
      <c r="P2" s="2"/>
      <c r="Q2" s="2"/>
    </row>
    <row r="3" customFormat="false" ht="31.5" hidden="false" customHeight="true" outlineLevel="0" collapsed="false">
      <c r="A3" s="26" t="s">
        <v>332</v>
      </c>
      <c r="B3" s="26" t="s">
        <v>328</v>
      </c>
      <c r="C3" s="26" t="s">
        <v>32</v>
      </c>
      <c r="D3" s="26" t="s">
        <v>333</v>
      </c>
      <c r="E3" s="26" t="s">
        <v>329</v>
      </c>
      <c r="F3" s="26" t="s">
        <v>379</v>
      </c>
      <c r="G3" s="26" t="s">
        <v>335</v>
      </c>
      <c r="H3" s="26" t="s">
        <v>380</v>
      </c>
      <c r="I3" s="26" t="s">
        <v>381</v>
      </c>
      <c r="J3" s="26" t="s">
        <v>382</v>
      </c>
      <c r="K3" s="26" t="s">
        <v>383</v>
      </c>
      <c r="L3" s="26" t="s">
        <v>384</v>
      </c>
      <c r="M3" s="26" t="s">
        <v>385</v>
      </c>
      <c r="N3" s="26" t="s">
        <v>386</v>
      </c>
      <c r="O3" s="26" t="s">
        <v>387</v>
      </c>
      <c r="P3" s="26" t="s">
        <v>388</v>
      </c>
      <c r="Q3" s="26" t="s">
        <v>54</v>
      </c>
    </row>
    <row r="4" customFormat="false" ht="15.75" hidden="false" customHeight="true" outlineLevel="0" collapsed="false">
      <c r="A4" s="27" t="s">
        <v>344</v>
      </c>
      <c r="B4" s="27" t="s">
        <v>342</v>
      </c>
      <c r="C4" s="33" t="str">
        <f aca="false">IFERROR(INDEX(Customers!$C$4:$C$1003,MATCH($B4,Customers!$A$4:$A$1003,0)),"")</f>
        <v>Firdavs Rahmonov</v>
      </c>
      <c r="D4" s="29" t="n">
        <v>46039</v>
      </c>
      <c r="E4" s="31" t="str">
        <f aca="false">IFERROR(INDEX(Customers!$F$4:$F$1003,MATCH($B4,Customers!$A$4:$A$1003,0)),"")</f>
        <v>Poland</v>
      </c>
      <c r="F4" s="28" t="s">
        <v>389</v>
      </c>
      <c r="G4" s="34" t="n">
        <f aca="false">IFERROR(INDEX(Customers!$L$4:$L$1003,MATCH($B4,Customers!$A$4:$A$1003,0)),"")</f>
        <v>22000</v>
      </c>
      <c r="H4" s="34" t="n">
        <f aca="false">IF($G4="","",$G4*Settings!$B$9)</f>
        <v>6600</v>
      </c>
      <c r="I4" s="34" t="n">
        <f aca="false">IF($G4="","",$G4*Settings!$B$10)</f>
        <v>4400</v>
      </c>
      <c r="J4" s="34" t="n">
        <f aca="false">IF($G4="","",$G4*Settings!$B$11)</f>
        <v>5500</v>
      </c>
      <c r="K4" s="34" t="n">
        <f aca="false">IF($G4="","",$G4*Settings!$B$12)</f>
        <v>5500</v>
      </c>
      <c r="L4" s="34" t="n">
        <f aca="false">IF($G4="","",SUM($H4:$K4))</f>
        <v>22000</v>
      </c>
      <c r="M4" s="31" t="str">
        <f aca="false">IF($G4="","",IF(ROUND($L4,2)=ROUND($G4,2),"OK","MISMATCH"))</f>
        <v>OK</v>
      </c>
      <c r="N4" s="28" t="s">
        <v>390</v>
      </c>
      <c r="O4" s="27" t="s">
        <v>275</v>
      </c>
      <c r="P4" s="36" t="n">
        <f aca="false">IF($D4="","",EDATE($D4,12))</f>
        <v>46404</v>
      </c>
      <c r="Q4" s="32"/>
    </row>
    <row r="5" customFormat="false" ht="15.75" hidden="false" customHeight="true" outlineLevel="0" collapsed="false">
      <c r="A5" s="27" t="s">
        <v>347</v>
      </c>
      <c r="B5" s="27" t="s">
        <v>345</v>
      </c>
      <c r="C5" s="33" t="str">
        <f aca="false">IFERROR(INDEX(Customers!$C$4:$C$1003,MATCH($B5,Customers!$A$4:$A$1003,0)),"")</f>
        <v>Nilufar Sharipova</v>
      </c>
      <c r="D5" s="29" t="n">
        <v>46046</v>
      </c>
      <c r="E5" s="31" t="str">
        <f aca="false">IFERROR(INDEX(Customers!$F$4:$F$1003,MATCH($B5,Customers!$A$4:$A$1003,0)),"")</f>
        <v>Germany</v>
      </c>
      <c r="F5" s="28" t="s">
        <v>391</v>
      </c>
      <c r="G5" s="34" t="n">
        <f aca="false">IFERROR(INDEX(Customers!$L$4:$L$1003,MATCH($B5,Customers!$A$4:$A$1003,0)),"")</f>
        <v>32000</v>
      </c>
      <c r="H5" s="34" t="n">
        <f aca="false">IF($G5="","",$G5*Settings!$B$9)</f>
        <v>9600</v>
      </c>
      <c r="I5" s="34" t="n">
        <f aca="false">IF($G5="","",$G5*Settings!$B$10)</f>
        <v>6400</v>
      </c>
      <c r="J5" s="34" t="n">
        <f aca="false">IF($G5="","",$G5*Settings!$B$11)</f>
        <v>8000</v>
      </c>
      <c r="K5" s="34" t="n">
        <f aca="false">IF($G5="","",$G5*Settings!$B$12)</f>
        <v>8000</v>
      </c>
      <c r="L5" s="34" t="n">
        <f aca="false">IF($G5="","",SUM($H5:$K5))</f>
        <v>32000</v>
      </c>
      <c r="M5" s="31" t="str">
        <f aca="false">IF($G5="","",IF(ROUND($L5,2)=ROUND($G5,2),"OK","MISMATCH"))</f>
        <v>OK</v>
      </c>
      <c r="N5" s="28" t="s">
        <v>390</v>
      </c>
      <c r="O5" s="27" t="s">
        <v>275</v>
      </c>
      <c r="P5" s="36" t="n">
        <f aca="false">IF($D5="","",EDATE($D5,12))</f>
        <v>46411</v>
      </c>
      <c r="Q5" s="32"/>
    </row>
    <row r="6" customFormat="false" ht="15.75" hidden="false" customHeight="true" outlineLevel="0" collapsed="false">
      <c r="A6" s="27" t="s">
        <v>350</v>
      </c>
      <c r="B6" s="27" t="s">
        <v>348</v>
      </c>
      <c r="C6" s="33" t="str">
        <f aca="false">IFERROR(INDEX(Customers!$C$4:$C$1003,MATCH($B6,Customers!$A$4:$A$1003,0)),"")</f>
        <v>Jamshed Karimov</v>
      </c>
      <c r="D6" s="29" t="n">
        <v>46067</v>
      </c>
      <c r="E6" s="31" t="str">
        <f aca="false">IFERROR(INDEX(Customers!$F$4:$F$1003,MATCH($B6,Customers!$A$4:$A$1003,0)),"")</f>
        <v>Czech Republic</v>
      </c>
      <c r="F6" s="28" t="s">
        <v>389</v>
      </c>
      <c r="G6" s="34" t="n">
        <f aca="false">IFERROR(INDEX(Customers!$L$4:$L$1003,MATCH($B6,Customers!$A$4:$A$1003,0)),"")</f>
        <v>25000</v>
      </c>
      <c r="H6" s="34" t="n">
        <f aca="false">IF($G6="","",$G6*Settings!$B$9)</f>
        <v>7500</v>
      </c>
      <c r="I6" s="34" t="n">
        <f aca="false">IF($G6="","",$G6*Settings!$B$10)</f>
        <v>5000</v>
      </c>
      <c r="J6" s="34" t="n">
        <f aca="false">IF($G6="","",$G6*Settings!$B$11)</f>
        <v>6250</v>
      </c>
      <c r="K6" s="34" t="n">
        <f aca="false">IF($G6="","",$G6*Settings!$B$12)</f>
        <v>6250</v>
      </c>
      <c r="L6" s="34" t="n">
        <f aca="false">IF($G6="","",SUM($H6:$K6))</f>
        <v>25000</v>
      </c>
      <c r="M6" s="31" t="str">
        <f aca="false">IF($G6="","",IF(ROUND($L6,2)=ROUND($G6,2),"OK","MISMATCH"))</f>
        <v>OK</v>
      </c>
      <c r="N6" s="28" t="s">
        <v>390</v>
      </c>
      <c r="O6" s="27" t="s">
        <v>351</v>
      </c>
      <c r="P6" s="36" t="n">
        <f aca="false">IF($D6="","",EDATE($D6,12))</f>
        <v>46432</v>
      </c>
      <c r="Q6" s="32"/>
    </row>
    <row r="7" customFormat="false" ht="15.75" hidden="false" customHeight="true" outlineLevel="0" collapsed="false">
      <c r="A7" s="27" t="s">
        <v>353</v>
      </c>
      <c r="B7" s="27" t="s">
        <v>352</v>
      </c>
      <c r="C7" s="33" t="str">
        <f aca="false">IFERROR(INDEX(Customers!$C$4:$C$1003,MATCH($B7,Customers!$A$4:$A$1003,0)),"")</f>
        <v>Zarina Nazriyeva</v>
      </c>
      <c r="D7" s="29" t="n">
        <v>46074</v>
      </c>
      <c r="E7" s="31" t="str">
        <f aca="false">IFERROR(INDEX(Customers!$F$4:$F$1003,MATCH($B7,Customers!$A$4:$A$1003,0)),"")</f>
        <v>Poland</v>
      </c>
      <c r="F7" s="28" t="s">
        <v>389</v>
      </c>
      <c r="G7" s="34" t="n">
        <f aca="false">IFERROR(INDEX(Customers!$L$4:$L$1003,MATCH($B7,Customers!$A$4:$A$1003,0)),"")</f>
        <v>22000</v>
      </c>
      <c r="H7" s="34" t="n">
        <f aca="false">IF($G7="","",$G7*Settings!$B$9)</f>
        <v>6600</v>
      </c>
      <c r="I7" s="34" t="n">
        <f aca="false">IF($G7="","",$G7*Settings!$B$10)</f>
        <v>4400</v>
      </c>
      <c r="J7" s="34" t="n">
        <f aca="false">IF($G7="","",$G7*Settings!$B$11)</f>
        <v>5500</v>
      </c>
      <c r="K7" s="34" t="n">
        <f aca="false">IF($G7="","",$G7*Settings!$B$12)</f>
        <v>5500</v>
      </c>
      <c r="L7" s="34" t="n">
        <f aca="false">IF($G7="","",SUM($H7:$K7))</f>
        <v>22000</v>
      </c>
      <c r="M7" s="31" t="str">
        <f aca="false">IF($G7="","",IF(ROUND($L7,2)=ROUND($G7,2),"OK","MISMATCH"))</f>
        <v>OK</v>
      </c>
      <c r="N7" s="28" t="s">
        <v>390</v>
      </c>
      <c r="O7" s="27" t="s">
        <v>351</v>
      </c>
      <c r="P7" s="36" t="n">
        <f aca="false">IF($D7="","",EDATE($D7,12))</f>
        <v>46439</v>
      </c>
      <c r="Q7" s="32"/>
    </row>
    <row r="8" customFormat="false" ht="15.75" hidden="false" customHeight="true" outlineLevel="0" collapsed="false">
      <c r="A8" s="27" t="s">
        <v>356</v>
      </c>
      <c r="B8" s="27" t="s">
        <v>354</v>
      </c>
      <c r="C8" s="33" t="str">
        <f aca="false">IFERROR(INDEX(Customers!$C$4:$C$1003,MATCH($B8,Customers!$A$4:$A$1003,0)),"")</f>
        <v>Bakhtiyor Umarov</v>
      </c>
      <c r="D8" s="29" t="n">
        <v>46053</v>
      </c>
      <c r="E8" s="31" t="str">
        <f aca="false">IFERROR(INDEX(Customers!$F$4:$F$1003,MATCH($B8,Customers!$A$4:$A$1003,0)),"")</f>
        <v>Slovakia</v>
      </c>
      <c r="F8" s="28" t="s">
        <v>389</v>
      </c>
      <c r="G8" s="34" t="n">
        <f aca="false">IFERROR(INDEX(Customers!$L$4:$L$1003,MATCH($B8,Customers!$A$4:$A$1003,0)),"")</f>
        <v>24000</v>
      </c>
      <c r="H8" s="34" t="n">
        <f aca="false">IF($G8="","",$G8*Settings!$B$9)</f>
        <v>7200</v>
      </c>
      <c r="I8" s="34" t="n">
        <f aca="false">IF($G8="","",$G8*Settings!$B$10)</f>
        <v>4800</v>
      </c>
      <c r="J8" s="34" t="n">
        <f aca="false">IF($G8="","",$G8*Settings!$B$11)</f>
        <v>6000</v>
      </c>
      <c r="K8" s="34" t="n">
        <f aca="false">IF($G8="","",$G8*Settings!$B$12)</f>
        <v>6000</v>
      </c>
      <c r="L8" s="34" t="n">
        <f aca="false">IF($G8="","",SUM($H8:$K8))</f>
        <v>24000</v>
      </c>
      <c r="M8" s="31" t="str">
        <f aca="false">IF($G8="","",IF(ROUND($L8,2)=ROUND($G8,2),"OK","MISMATCH"))</f>
        <v>OK</v>
      </c>
      <c r="N8" s="28" t="s">
        <v>390</v>
      </c>
      <c r="O8" s="27" t="s">
        <v>351</v>
      </c>
      <c r="P8" s="36" t="n">
        <f aca="false">IF($D8="","",EDATE($D8,12))</f>
        <v>46418</v>
      </c>
      <c r="Q8" s="32"/>
    </row>
    <row r="9" customFormat="false" ht="15.75" hidden="false" customHeight="true" outlineLevel="0" collapsed="false">
      <c r="A9" s="27" t="s">
        <v>358</v>
      </c>
      <c r="B9" s="27" t="s">
        <v>357</v>
      </c>
      <c r="C9" s="33" t="str">
        <f aca="false">IFERROR(INDEX(Customers!$C$4:$C$1003,MATCH($B9,Customers!$A$4:$A$1003,0)),"")</f>
        <v>Manizha Qodirova</v>
      </c>
      <c r="D9" s="29" t="n">
        <v>46080</v>
      </c>
      <c r="E9" s="31" t="str">
        <f aca="false">IFERROR(INDEX(Customers!$F$4:$F$1003,MATCH($B9,Customers!$A$4:$A$1003,0)),"")</f>
        <v>Germany</v>
      </c>
      <c r="F9" s="28" t="s">
        <v>391</v>
      </c>
      <c r="G9" s="34" t="n">
        <f aca="false">IFERROR(INDEX(Customers!$L$4:$L$1003,MATCH($B9,Customers!$A$4:$A$1003,0)),"")</f>
        <v>32000</v>
      </c>
      <c r="H9" s="34" t="n">
        <f aca="false">IF($G9="","",$G9*Settings!$B$9)</f>
        <v>9600</v>
      </c>
      <c r="I9" s="34" t="n">
        <f aca="false">IF($G9="","",$G9*Settings!$B$10)</f>
        <v>6400</v>
      </c>
      <c r="J9" s="34" t="n">
        <f aca="false">IF($G9="","",$G9*Settings!$B$11)</f>
        <v>8000</v>
      </c>
      <c r="K9" s="34" t="n">
        <f aca="false">IF($G9="","",$G9*Settings!$B$12)</f>
        <v>8000</v>
      </c>
      <c r="L9" s="34" t="n">
        <f aca="false">IF($G9="","",SUM($H9:$K9))</f>
        <v>32000</v>
      </c>
      <c r="M9" s="31" t="str">
        <f aca="false">IF($G9="","",IF(ROUND($L9,2)=ROUND($G9,2),"OK","MISMATCH"))</f>
        <v>OK</v>
      </c>
      <c r="N9" s="28" t="s">
        <v>390</v>
      </c>
      <c r="O9" s="27" t="s">
        <v>392</v>
      </c>
      <c r="P9" s="36" t="n">
        <f aca="false">IF($D9="","",EDATE($D9,12))</f>
        <v>46445</v>
      </c>
      <c r="Q9" s="32" t="s">
        <v>393</v>
      </c>
    </row>
    <row r="10" customFormat="false" ht="15.75" hidden="false" customHeight="true" outlineLevel="0" collapsed="false">
      <c r="A10" s="27" t="s">
        <v>361</v>
      </c>
      <c r="B10" s="27" t="s">
        <v>360</v>
      </c>
      <c r="C10" s="33" t="str">
        <f aca="false">IFERROR(INDEX(Customers!$C$4:$C$1003,MATCH($B10,Customers!$A$4:$A$1003,0)),"")</f>
        <v>Rustam Sattorov</v>
      </c>
      <c r="D10" s="29" t="n">
        <v>46094</v>
      </c>
      <c r="E10" s="31" t="str">
        <f aca="false">IFERROR(INDEX(Customers!$F$4:$F$1003,MATCH($B10,Customers!$A$4:$A$1003,0)),"")</f>
        <v>Poland</v>
      </c>
      <c r="F10" s="28" t="s">
        <v>389</v>
      </c>
      <c r="G10" s="34" t="n">
        <f aca="false">IFERROR(INDEX(Customers!$L$4:$L$1003,MATCH($B10,Customers!$A$4:$A$1003,0)),"")</f>
        <v>22000</v>
      </c>
      <c r="H10" s="34" t="n">
        <f aca="false">IF($G10="","",$G10*Settings!$B$9)</f>
        <v>6600</v>
      </c>
      <c r="I10" s="34" t="n">
        <f aca="false">IF($G10="","",$G10*Settings!$B$10)</f>
        <v>4400</v>
      </c>
      <c r="J10" s="34" t="n">
        <f aca="false">IF($G10="","",$G10*Settings!$B$11)</f>
        <v>5500</v>
      </c>
      <c r="K10" s="34" t="n">
        <f aca="false">IF($G10="","",$G10*Settings!$B$12)</f>
        <v>5500</v>
      </c>
      <c r="L10" s="34" t="n">
        <f aca="false">IF($G10="","",SUM($H10:$K10))</f>
        <v>22000</v>
      </c>
      <c r="M10" s="31" t="str">
        <f aca="false">IF($G10="","",IF(ROUND($L10,2)=ROUND($G10,2),"OK","MISMATCH"))</f>
        <v>OK</v>
      </c>
      <c r="N10" s="28" t="s">
        <v>390</v>
      </c>
      <c r="O10" s="27" t="s">
        <v>351</v>
      </c>
      <c r="P10" s="36" t="n">
        <f aca="false">IF($D10="","",EDATE($D10,12))</f>
        <v>46459</v>
      </c>
      <c r="Q10" s="32"/>
    </row>
    <row r="11" customFormat="false" ht="15.75" hidden="false" customHeight="true" outlineLevel="0" collapsed="false">
      <c r="A11" s="27" t="s">
        <v>364</v>
      </c>
      <c r="B11" s="27" t="s">
        <v>362</v>
      </c>
      <c r="C11" s="33" t="str">
        <f aca="false">IFERROR(INDEX(Customers!$C$4:$C$1003,MATCH($B11,Customers!$A$4:$A$1003,0)),"")</f>
        <v>Dilnoza Aliyeva</v>
      </c>
      <c r="D11" s="29" t="n">
        <v>46101</v>
      </c>
      <c r="E11" s="31" t="str">
        <f aca="false">IFERROR(INDEX(Customers!$F$4:$F$1003,MATCH($B11,Customers!$A$4:$A$1003,0)),"")</f>
        <v>Lithuania</v>
      </c>
      <c r="F11" s="28" t="s">
        <v>389</v>
      </c>
      <c r="G11" s="34" t="n">
        <f aca="false">IFERROR(INDEX(Customers!$L$4:$L$1003,MATCH($B11,Customers!$A$4:$A$1003,0)),"")</f>
        <v>21000</v>
      </c>
      <c r="H11" s="34" t="n">
        <f aca="false">IF($G11="","",$G11*Settings!$B$9)</f>
        <v>6300</v>
      </c>
      <c r="I11" s="34" t="n">
        <f aca="false">IF($G11="","",$G11*Settings!$B$10)</f>
        <v>4200</v>
      </c>
      <c r="J11" s="34" t="n">
        <f aca="false">IF($G11="","",$G11*Settings!$B$11)</f>
        <v>5250</v>
      </c>
      <c r="K11" s="34" t="n">
        <f aca="false">IF($G11="","",$G11*Settings!$B$12)</f>
        <v>5250</v>
      </c>
      <c r="L11" s="34" t="n">
        <f aca="false">IF($G11="","",SUM($H11:$K11))</f>
        <v>21000</v>
      </c>
      <c r="M11" s="31" t="str">
        <f aca="false">IF($G11="","",IF(ROUND($L11,2)=ROUND($G11,2),"OK","MISMATCH"))</f>
        <v>OK</v>
      </c>
      <c r="N11" s="28" t="s">
        <v>390</v>
      </c>
      <c r="O11" s="27" t="s">
        <v>351</v>
      </c>
      <c r="P11" s="36" t="n">
        <f aca="false">IF($D11="","",EDATE($D11,12))</f>
        <v>46466</v>
      </c>
      <c r="Q11" s="32"/>
    </row>
    <row r="12" customFormat="false" ht="15.75" hidden="false" customHeight="true" outlineLevel="0" collapsed="false">
      <c r="A12" s="27" t="s">
        <v>366</v>
      </c>
      <c r="B12" s="27" t="s">
        <v>365</v>
      </c>
      <c r="C12" s="33" t="str">
        <f aca="false">IFERROR(INDEX(Customers!$C$4:$C$1003,MATCH($B12,Customers!$A$4:$A$1003,0)),"")</f>
        <v>Sherali Yusupov</v>
      </c>
      <c r="D12" s="29" t="n">
        <v>46108</v>
      </c>
      <c r="E12" s="31" t="str">
        <f aca="false">IFERROR(INDEX(Customers!$F$4:$F$1003,MATCH($B12,Customers!$A$4:$A$1003,0)),"")</f>
        <v>Czech Republic</v>
      </c>
      <c r="F12" s="28" t="s">
        <v>389</v>
      </c>
      <c r="G12" s="34" t="n">
        <f aca="false">IFERROR(INDEX(Customers!$L$4:$L$1003,MATCH($B12,Customers!$A$4:$A$1003,0)),"")</f>
        <v>25000</v>
      </c>
      <c r="H12" s="34" t="n">
        <f aca="false">IF($G12="","",$G12*Settings!$B$9)</f>
        <v>7500</v>
      </c>
      <c r="I12" s="34" t="n">
        <f aca="false">IF($G12="","",$G12*Settings!$B$10)</f>
        <v>5000</v>
      </c>
      <c r="J12" s="34" t="n">
        <f aca="false">IF($G12="","",$G12*Settings!$B$11)</f>
        <v>6250</v>
      </c>
      <c r="K12" s="34" t="n">
        <f aca="false">IF($G12="","",$G12*Settings!$B$12)</f>
        <v>6250</v>
      </c>
      <c r="L12" s="34" t="n">
        <f aca="false">IF($G12="","",SUM($H12:$K12))</f>
        <v>25000</v>
      </c>
      <c r="M12" s="31" t="str">
        <f aca="false">IF($G12="","",IF(ROUND($L12,2)=ROUND($G12,2),"OK","MISMATCH"))</f>
        <v>OK</v>
      </c>
      <c r="N12" s="28" t="s">
        <v>390</v>
      </c>
      <c r="O12" s="27" t="s">
        <v>351</v>
      </c>
      <c r="P12" s="36" t="n">
        <f aca="false">IF($D12="","",EDATE($D12,12))</f>
        <v>46473</v>
      </c>
      <c r="Q12" s="32"/>
    </row>
    <row r="13" customFormat="false" ht="15.75" hidden="false" customHeight="true" outlineLevel="0" collapsed="false">
      <c r="A13" s="27" t="s">
        <v>369</v>
      </c>
      <c r="B13" s="27" t="s">
        <v>368</v>
      </c>
      <c r="C13" s="33" t="str">
        <f aca="false">IFERROR(INDEX(Customers!$C$4:$C$1003,MATCH($B13,Customers!$A$4:$A$1003,0)),"")</f>
        <v>Malika Ismoilova</v>
      </c>
      <c r="D13" s="29" t="n">
        <v>46123</v>
      </c>
      <c r="E13" s="31" t="str">
        <f aca="false">IFERROR(INDEX(Customers!$F$4:$F$1003,MATCH($B13,Customers!$A$4:$A$1003,0)),"")</f>
        <v>Poland</v>
      </c>
      <c r="F13" s="28" t="s">
        <v>389</v>
      </c>
      <c r="G13" s="34" t="n">
        <f aca="false">IFERROR(INDEX(Customers!$L$4:$L$1003,MATCH($B13,Customers!$A$4:$A$1003,0)),"")</f>
        <v>22000</v>
      </c>
      <c r="H13" s="34" t="n">
        <f aca="false">IF($G13="","",$G13*Settings!$B$9)</f>
        <v>6600</v>
      </c>
      <c r="I13" s="34" t="n">
        <f aca="false">IF($G13="","",$G13*Settings!$B$10)</f>
        <v>4400</v>
      </c>
      <c r="J13" s="34" t="n">
        <f aca="false">IF($G13="","",$G13*Settings!$B$11)</f>
        <v>5500</v>
      </c>
      <c r="K13" s="34" t="n">
        <f aca="false">IF($G13="","",$G13*Settings!$B$12)</f>
        <v>5500</v>
      </c>
      <c r="L13" s="34" t="n">
        <f aca="false">IF($G13="","",SUM($H13:$K13))</f>
        <v>22000</v>
      </c>
      <c r="M13" s="31" t="str">
        <f aca="false">IF($G13="","",IF(ROUND($L13,2)=ROUND($G13,2),"OK","MISMATCH"))</f>
        <v>OK</v>
      </c>
      <c r="N13" s="28" t="s">
        <v>390</v>
      </c>
      <c r="O13" s="27" t="s">
        <v>351</v>
      </c>
      <c r="P13" s="36" t="n">
        <f aca="false">IF($D13="","",EDATE($D13,12))</f>
        <v>46488</v>
      </c>
      <c r="Q13" s="32"/>
    </row>
    <row r="14" customFormat="false" ht="15.75" hidden="false" customHeight="true" outlineLevel="0" collapsed="false">
      <c r="A14" s="27" t="s">
        <v>372</v>
      </c>
      <c r="B14" s="27" t="s">
        <v>370</v>
      </c>
      <c r="C14" s="33" t="str">
        <f aca="false">IFERROR(INDEX(Customers!$C$4:$C$1003,MATCH($B14,Customers!$A$4:$A$1003,0)),"")</f>
        <v>Farrukh Davlatov</v>
      </c>
      <c r="D14" s="29" t="n">
        <v>46115</v>
      </c>
      <c r="E14" s="31" t="str">
        <f aca="false">IFERROR(INDEX(Customers!$F$4:$F$1003,MATCH($B14,Customers!$A$4:$A$1003,0)),"")</f>
        <v>Hungary</v>
      </c>
      <c r="F14" s="28" t="s">
        <v>389</v>
      </c>
      <c r="G14" s="34" t="n">
        <f aca="false">IFERROR(INDEX(Customers!$L$4:$L$1003,MATCH($B14,Customers!$A$4:$A$1003,0)),"")</f>
        <v>23000</v>
      </c>
      <c r="H14" s="34" t="n">
        <f aca="false">IF($G14="","",$G14*Settings!$B$9)</f>
        <v>6900</v>
      </c>
      <c r="I14" s="34" t="n">
        <f aca="false">IF($G14="","",$G14*Settings!$B$10)</f>
        <v>4600</v>
      </c>
      <c r="J14" s="34" t="n">
        <f aca="false">IF($G14="","",$G14*Settings!$B$11)</f>
        <v>5750</v>
      </c>
      <c r="K14" s="34" t="n">
        <f aca="false">IF($G14="","",$G14*Settings!$B$12)</f>
        <v>5750</v>
      </c>
      <c r="L14" s="34" t="n">
        <f aca="false">IF($G14="","",SUM($H14:$K14))</f>
        <v>23000</v>
      </c>
      <c r="M14" s="31" t="str">
        <f aca="false">IF($G14="","",IF(ROUND($L14,2)=ROUND($G14,2),"OK","MISMATCH"))</f>
        <v>OK</v>
      </c>
      <c r="N14" s="28" t="s">
        <v>390</v>
      </c>
      <c r="O14" s="27" t="s">
        <v>351</v>
      </c>
      <c r="P14" s="36" t="n">
        <f aca="false">IF($D14="","",EDATE($D14,12))</f>
        <v>46480</v>
      </c>
      <c r="Q14" s="32"/>
    </row>
    <row r="15" customFormat="false" ht="15.75" hidden="false" customHeight="true" outlineLevel="0" collapsed="false">
      <c r="A15" s="27" t="s">
        <v>376</v>
      </c>
      <c r="B15" s="27" t="s">
        <v>374</v>
      </c>
      <c r="C15" s="33" t="str">
        <f aca="false">IFERROR(INDEX(Customers!$C$4:$C$1003,MATCH($B15,Customers!$A$4:$A$1003,0)),"")</f>
        <v>Gulnora Safarova</v>
      </c>
      <c r="D15" s="29" t="n">
        <v>46130</v>
      </c>
      <c r="E15" s="31" t="str">
        <f aca="false">IFERROR(INDEX(Customers!$F$4:$F$1003,MATCH($B15,Customers!$A$4:$A$1003,0)),"")</f>
        <v>Romania</v>
      </c>
      <c r="F15" s="28" t="s">
        <v>389</v>
      </c>
      <c r="G15" s="34" t="n">
        <f aca="false">IFERROR(INDEX(Customers!$L$4:$L$1003,MATCH($B15,Customers!$A$4:$A$1003,0)),"")</f>
        <v>19000</v>
      </c>
      <c r="H15" s="34" t="n">
        <f aca="false">IF($G15="","",$G15*Settings!$B$9)</f>
        <v>5700</v>
      </c>
      <c r="I15" s="34" t="n">
        <f aca="false">IF($G15="","",$G15*Settings!$B$10)</f>
        <v>3800</v>
      </c>
      <c r="J15" s="34" t="n">
        <f aca="false">IF($G15="","",$G15*Settings!$B$11)</f>
        <v>4750</v>
      </c>
      <c r="K15" s="34" t="n">
        <f aca="false">IF($G15="","",$G15*Settings!$B$12)</f>
        <v>4750</v>
      </c>
      <c r="L15" s="34" t="n">
        <f aca="false">IF($G15="","",SUM($H15:$K15))</f>
        <v>19000</v>
      </c>
      <c r="M15" s="31" t="str">
        <f aca="false">IF($G15="","",IF(ROUND($L15,2)=ROUND($G15,2),"OK","MISMATCH"))</f>
        <v>OK</v>
      </c>
      <c r="N15" s="28" t="s">
        <v>390</v>
      </c>
      <c r="O15" s="27" t="s">
        <v>351</v>
      </c>
      <c r="P15" s="36" t="n">
        <f aca="false">IF($D15="","",EDATE($D15,12))</f>
        <v>46495</v>
      </c>
      <c r="Q15" s="32"/>
    </row>
    <row r="16" customFormat="false" ht="15.75" hidden="false" customHeight="true" outlineLevel="0" collapsed="false">
      <c r="A16" s="27"/>
      <c r="B16" s="27"/>
      <c r="C16" s="33" t="str">
        <f aca="false">IFERROR(INDEX(Customers!$C$4:$C$1003,MATCH($B16,Customers!$A$4:$A$1003,0)),"")</f>
        <v/>
      </c>
      <c r="D16" s="29"/>
      <c r="E16" s="31" t="str">
        <f aca="false">IFERROR(INDEX(Customers!$F$4:$F$1003,MATCH($B16,Customers!$A$4:$A$1003,0)),"")</f>
        <v/>
      </c>
      <c r="F16" s="28"/>
      <c r="G16" s="34" t="str">
        <f aca="false">IFERROR(INDEX(Customers!$L$4:$L$1003,MATCH($B16,Customers!$A$4:$A$1003,0)),"")</f>
        <v/>
      </c>
      <c r="H16" s="34" t="str">
        <f aca="false">IF($G16="","",$G16*Settings!$B$9)</f>
        <v/>
      </c>
      <c r="I16" s="34" t="str">
        <f aca="false">IF($G16="","",$G16*Settings!$B$10)</f>
        <v/>
      </c>
      <c r="J16" s="34" t="str">
        <f aca="false">IF($G16="","",$G16*Settings!$B$11)</f>
        <v/>
      </c>
      <c r="K16" s="34" t="str">
        <f aca="false">IF($G16="","",$G16*Settings!$B$12)</f>
        <v/>
      </c>
      <c r="L16" s="34" t="str">
        <f aca="false">IF($G16="","",SUM($H16:$K16))</f>
        <v/>
      </c>
      <c r="M16" s="31" t="str">
        <f aca="false">IF($G16="","",IF(ROUND($L16,2)=ROUND($G16,2),"OK","MISMATCH"))</f>
        <v/>
      </c>
      <c r="N16" s="28"/>
      <c r="O16" s="27"/>
      <c r="P16" s="36" t="str">
        <f aca="false">IF($D16="","",EDATE($D16,12))</f>
        <v/>
      </c>
      <c r="Q16" s="32"/>
    </row>
    <row r="17" customFormat="false" ht="15.75" hidden="false" customHeight="true" outlineLevel="0" collapsed="false">
      <c r="A17" s="27"/>
      <c r="B17" s="27"/>
      <c r="C17" s="33" t="str">
        <f aca="false">IFERROR(INDEX(Customers!$C$4:$C$1003,MATCH($B17,Customers!$A$4:$A$1003,0)),"")</f>
        <v/>
      </c>
      <c r="D17" s="29"/>
      <c r="E17" s="31" t="str">
        <f aca="false">IFERROR(INDEX(Customers!$F$4:$F$1003,MATCH($B17,Customers!$A$4:$A$1003,0)),"")</f>
        <v/>
      </c>
      <c r="F17" s="28"/>
      <c r="G17" s="34" t="str">
        <f aca="false">IFERROR(INDEX(Customers!$L$4:$L$1003,MATCH($B17,Customers!$A$4:$A$1003,0)),"")</f>
        <v/>
      </c>
      <c r="H17" s="34" t="str">
        <f aca="false">IF($G17="","",$G17*Settings!$B$9)</f>
        <v/>
      </c>
      <c r="I17" s="34" t="str">
        <f aca="false">IF($G17="","",$G17*Settings!$B$10)</f>
        <v/>
      </c>
      <c r="J17" s="34" t="str">
        <f aca="false">IF($G17="","",$G17*Settings!$B$11)</f>
        <v/>
      </c>
      <c r="K17" s="34" t="str">
        <f aca="false">IF($G17="","",$G17*Settings!$B$12)</f>
        <v/>
      </c>
      <c r="L17" s="34" t="str">
        <f aca="false">IF($G17="","",SUM($H17:$K17))</f>
        <v/>
      </c>
      <c r="M17" s="31" t="str">
        <f aca="false">IF($G17="","",IF(ROUND($L17,2)=ROUND($G17,2),"OK","MISMATCH"))</f>
        <v/>
      </c>
      <c r="N17" s="28"/>
      <c r="O17" s="27"/>
      <c r="P17" s="36" t="str">
        <f aca="false">IF($D17="","",EDATE($D17,12))</f>
        <v/>
      </c>
      <c r="Q17" s="32"/>
    </row>
    <row r="18" customFormat="false" ht="15.75" hidden="false" customHeight="true" outlineLevel="0" collapsed="false">
      <c r="A18" s="27"/>
      <c r="B18" s="27"/>
      <c r="C18" s="33" t="str">
        <f aca="false">IFERROR(INDEX(Customers!$C$4:$C$1003,MATCH($B18,Customers!$A$4:$A$1003,0)),"")</f>
        <v/>
      </c>
      <c r="D18" s="29"/>
      <c r="E18" s="31" t="str">
        <f aca="false">IFERROR(INDEX(Customers!$F$4:$F$1003,MATCH($B18,Customers!$A$4:$A$1003,0)),"")</f>
        <v/>
      </c>
      <c r="F18" s="28"/>
      <c r="G18" s="34" t="str">
        <f aca="false">IFERROR(INDEX(Customers!$L$4:$L$1003,MATCH($B18,Customers!$A$4:$A$1003,0)),"")</f>
        <v/>
      </c>
      <c r="H18" s="34" t="str">
        <f aca="false">IF($G18="","",$G18*Settings!$B$9)</f>
        <v/>
      </c>
      <c r="I18" s="34" t="str">
        <f aca="false">IF($G18="","",$G18*Settings!$B$10)</f>
        <v/>
      </c>
      <c r="J18" s="34" t="str">
        <f aca="false">IF($G18="","",$G18*Settings!$B$11)</f>
        <v/>
      </c>
      <c r="K18" s="34" t="str">
        <f aca="false">IF($G18="","",$G18*Settings!$B$12)</f>
        <v/>
      </c>
      <c r="L18" s="34" t="str">
        <f aca="false">IF($G18="","",SUM($H18:$K18))</f>
        <v/>
      </c>
      <c r="M18" s="31" t="str">
        <f aca="false">IF($G18="","",IF(ROUND($L18,2)=ROUND($G18,2),"OK","MISMATCH"))</f>
        <v/>
      </c>
      <c r="N18" s="28"/>
      <c r="O18" s="27"/>
      <c r="P18" s="36" t="str">
        <f aca="false">IF($D18="","",EDATE($D18,12))</f>
        <v/>
      </c>
      <c r="Q18" s="32"/>
    </row>
    <row r="19" customFormat="false" ht="15.75" hidden="false" customHeight="true" outlineLevel="0" collapsed="false">
      <c r="A19" s="27"/>
      <c r="B19" s="27"/>
      <c r="C19" s="33" t="str">
        <f aca="false">IFERROR(INDEX(Customers!$C$4:$C$1003,MATCH($B19,Customers!$A$4:$A$1003,0)),"")</f>
        <v/>
      </c>
      <c r="D19" s="29"/>
      <c r="E19" s="31" t="str">
        <f aca="false">IFERROR(INDEX(Customers!$F$4:$F$1003,MATCH($B19,Customers!$A$4:$A$1003,0)),"")</f>
        <v/>
      </c>
      <c r="F19" s="28"/>
      <c r="G19" s="34" t="str">
        <f aca="false">IFERROR(INDEX(Customers!$L$4:$L$1003,MATCH($B19,Customers!$A$4:$A$1003,0)),"")</f>
        <v/>
      </c>
      <c r="H19" s="34" t="str">
        <f aca="false">IF($G19="","",$G19*Settings!$B$9)</f>
        <v/>
      </c>
      <c r="I19" s="34" t="str">
        <f aca="false">IF($G19="","",$G19*Settings!$B$10)</f>
        <v/>
      </c>
      <c r="J19" s="34" t="str">
        <f aca="false">IF($G19="","",$G19*Settings!$B$11)</f>
        <v/>
      </c>
      <c r="K19" s="34" t="str">
        <f aca="false">IF($G19="","",$G19*Settings!$B$12)</f>
        <v/>
      </c>
      <c r="L19" s="34" t="str">
        <f aca="false">IF($G19="","",SUM($H19:$K19))</f>
        <v/>
      </c>
      <c r="M19" s="31" t="str">
        <f aca="false">IF($G19="","",IF(ROUND($L19,2)=ROUND($G19,2),"OK","MISMATCH"))</f>
        <v/>
      </c>
      <c r="N19" s="28"/>
      <c r="O19" s="27"/>
      <c r="P19" s="36" t="str">
        <f aca="false">IF($D19="","",EDATE($D19,12))</f>
        <v/>
      </c>
      <c r="Q19" s="32"/>
    </row>
    <row r="20" customFormat="false" ht="15.75" hidden="false" customHeight="true" outlineLevel="0" collapsed="false">
      <c r="A20" s="27"/>
      <c r="B20" s="27"/>
      <c r="C20" s="33" t="str">
        <f aca="false">IFERROR(INDEX(Customers!$C$4:$C$1003,MATCH($B20,Customers!$A$4:$A$1003,0)),"")</f>
        <v/>
      </c>
      <c r="D20" s="29"/>
      <c r="E20" s="31" t="str">
        <f aca="false">IFERROR(INDEX(Customers!$F$4:$F$1003,MATCH($B20,Customers!$A$4:$A$1003,0)),"")</f>
        <v/>
      </c>
      <c r="F20" s="28"/>
      <c r="G20" s="34" t="str">
        <f aca="false">IFERROR(INDEX(Customers!$L$4:$L$1003,MATCH($B20,Customers!$A$4:$A$1003,0)),"")</f>
        <v/>
      </c>
      <c r="H20" s="34" t="str">
        <f aca="false">IF($G20="","",$G20*Settings!$B$9)</f>
        <v/>
      </c>
      <c r="I20" s="34" t="str">
        <f aca="false">IF($G20="","",$G20*Settings!$B$10)</f>
        <v/>
      </c>
      <c r="J20" s="34" t="str">
        <f aca="false">IF($G20="","",$G20*Settings!$B$11)</f>
        <v/>
      </c>
      <c r="K20" s="34" t="str">
        <f aca="false">IF($G20="","",$G20*Settings!$B$12)</f>
        <v/>
      </c>
      <c r="L20" s="34" t="str">
        <f aca="false">IF($G20="","",SUM($H20:$K20))</f>
        <v/>
      </c>
      <c r="M20" s="31" t="str">
        <f aca="false">IF($G20="","",IF(ROUND($L20,2)=ROUND($G20,2),"OK","MISMATCH"))</f>
        <v/>
      </c>
      <c r="N20" s="28"/>
      <c r="O20" s="27"/>
      <c r="P20" s="36" t="str">
        <f aca="false">IF($D20="","",EDATE($D20,12))</f>
        <v/>
      </c>
      <c r="Q20" s="32"/>
    </row>
    <row r="21" customFormat="false" ht="15.75" hidden="false" customHeight="true" outlineLevel="0" collapsed="false">
      <c r="A21" s="27"/>
      <c r="B21" s="27"/>
      <c r="C21" s="33" t="str">
        <f aca="false">IFERROR(INDEX(Customers!$C$4:$C$1003,MATCH($B21,Customers!$A$4:$A$1003,0)),"")</f>
        <v/>
      </c>
      <c r="D21" s="29"/>
      <c r="E21" s="31" t="str">
        <f aca="false">IFERROR(INDEX(Customers!$F$4:$F$1003,MATCH($B21,Customers!$A$4:$A$1003,0)),"")</f>
        <v/>
      </c>
      <c r="F21" s="28"/>
      <c r="G21" s="34" t="str">
        <f aca="false">IFERROR(INDEX(Customers!$L$4:$L$1003,MATCH($B21,Customers!$A$4:$A$1003,0)),"")</f>
        <v/>
      </c>
      <c r="H21" s="34" t="str">
        <f aca="false">IF($G21="","",$G21*Settings!$B$9)</f>
        <v/>
      </c>
      <c r="I21" s="34" t="str">
        <f aca="false">IF($G21="","",$G21*Settings!$B$10)</f>
        <v/>
      </c>
      <c r="J21" s="34" t="str">
        <f aca="false">IF($G21="","",$G21*Settings!$B$11)</f>
        <v/>
      </c>
      <c r="K21" s="34" t="str">
        <f aca="false">IF($G21="","",$G21*Settings!$B$12)</f>
        <v/>
      </c>
      <c r="L21" s="34" t="str">
        <f aca="false">IF($G21="","",SUM($H21:$K21))</f>
        <v/>
      </c>
      <c r="M21" s="31" t="str">
        <f aca="false">IF($G21="","",IF(ROUND($L21,2)=ROUND($G21,2),"OK","MISMATCH"))</f>
        <v/>
      </c>
      <c r="N21" s="28"/>
      <c r="O21" s="27"/>
      <c r="P21" s="36" t="str">
        <f aca="false">IF($D21="","",EDATE($D21,12))</f>
        <v/>
      </c>
      <c r="Q21" s="32"/>
    </row>
    <row r="22" customFormat="false" ht="15.75" hidden="false" customHeight="true" outlineLevel="0" collapsed="false">
      <c r="A22" s="27"/>
      <c r="B22" s="27"/>
      <c r="C22" s="33" t="str">
        <f aca="false">IFERROR(INDEX(Customers!$C$4:$C$1003,MATCH($B22,Customers!$A$4:$A$1003,0)),"")</f>
        <v/>
      </c>
      <c r="D22" s="29"/>
      <c r="E22" s="31" t="str">
        <f aca="false">IFERROR(INDEX(Customers!$F$4:$F$1003,MATCH($B22,Customers!$A$4:$A$1003,0)),"")</f>
        <v/>
      </c>
      <c r="F22" s="28"/>
      <c r="G22" s="34" t="str">
        <f aca="false">IFERROR(INDEX(Customers!$L$4:$L$1003,MATCH($B22,Customers!$A$4:$A$1003,0)),"")</f>
        <v/>
      </c>
      <c r="H22" s="34" t="str">
        <f aca="false">IF($G22="","",$G22*Settings!$B$9)</f>
        <v/>
      </c>
      <c r="I22" s="34" t="str">
        <f aca="false">IF($G22="","",$G22*Settings!$B$10)</f>
        <v/>
      </c>
      <c r="J22" s="34" t="str">
        <f aca="false">IF($G22="","",$G22*Settings!$B$11)</f>
        <v/>
      </c>
      <c r="K22" s="34" t="str">
        <f aca="false">IF($G22="","",$G22*Settings!$B$12)</f>
        <v/>
      </c>
      <c r="L22" s="34" t="str">
        <f aca="false">IF($G22="","",SUM($H22:$K22))</f>
        <v/>
      </c>
      <c r="M22" s="31" t="str">
        <f aca="false">IF($G22="","",IF(ROUND($L22,2)=ROUND($G22,2),"OK","MISMATCH"))</f>
        <v/>
      </c>
      <c r="N22" s="28"/>
      <c r="O22" s="27"/>
      <c r="P22" s="36" t="str">
        <f aca="false">IF($D22="","",EDATE($D22,12))</f>
        <v/>
      </c>
      <c r="Q22" s="32"/>
    </row>
    <row r="23" customFormat="false" ht="15.75" hidden="false" customHeight="true" outlineLevel="0" collapsed="false">
      <c r="A23" s="27"/>
      <c r="B23" s="27"/>
      <c r="C23" s="33" t="str">
        <f aca="false">IFERROR(INDEX(Customers!$C$4:$C$1003,MATCH($B23,Customers!$A$4:$A$1003,0)),"")</f>
        <v/>
      </c>
      <c r="D23" s="29"/>
      <c r="E23" s="31" t="str">
        <f aca="false">IFERROR(INDEX(Customers!$F$4:$F$1003,MATCH($B23,Customers!$A$4:$A$1003,0)),"")</f>
        <v/>
      </c>
      <c r="F23" s="28"/>
      <c r="G23" s="34" t="str">
        <f aca="false">IFERROR(INDEX(Customers!$L$4:$L$1003,MATCH($B23,Customers!$A$4:$A$1003,0)),"")</f>
        <v/>
      </c>
      <c r="H23" s="34" t="str">
        <f aca="false">IF($G23="","",$G23*Settings!$B$9)</f>
        <v/>
      </c>
      <c r="I23" s="34" t="str">
        <f aca="false">IF($G23="","",$G23*Settings!$B$10)</f>
        <v/>
      </c>
      <c r="J23" s="34" t="str">
        <f aca="false">IF($G23="","",$G23*Settings!$B$11)</f>
        <v/>
      </c>
      <c r="K23" s="34" t="str">
        <f aca="false">IF($G23="","",$G23*Settings!$B$12)</f>
        <v/>
      </c>
      <c r="L23" s="34" t="str">
        <f aca="false">IF($G23="","",SUM($H23:$K23))</f>
        <v/>
      </c>
      <c r="M23" s="31" t="str">
        <f aca="false">IF($G23="","",IF(ROUND($L23,2)=ROUND($G23,2),"OK","MISMATCH"))</f>
        <v/>
      </c>
      <c r="N23" s="28"/>
      <c r="O23" s="27"/>
      <c r="P23" s="36" t="str">
        <f aca="false">IF($D23="","",EDATE($D23,12))</f>
        <v/>
      </c>
      <c r="Q23" s="32"/>
    </row>
    <row r="24" customFormat="false" ht="15.75" hidden="false" customHeight="true" outlineLevel="0" collapsed="false">
      <c r="A24" s="27"/>
      <c r="B24" s="27"/>
      <c r="C24" s="33" t="str">
        <f aca="false">IFERROR(INDEX(Customers!$C$4:$C$1003,MATCH($B24,Customers!$A$4:$A$1003,0)),"")</f>
        <v/>
      </c>
      <c r="D24" s="29"/>
      <c r="E24" s="31" t="str">
        <f aca="false">IFERROR(INDEX(Customers!$F$4:$F$1003,MATCH($B24,Customers!$A$4:$A$1003,0)),"")</f>
        <v/>
      </c>
      <c r="F24" s="28"/>
      <c r="G24" s="34" t="str">
        <f aca="false">IFERROR(INDEX(Customers!$L$4:$L$1003,MATCH($B24,Customers!$A$4:$A$1003,0)),"")</f>
        <v/>
      </c>
      <c r="H24" s="34" t="str">
        <f aca="false">IF($G24="","",$G24*Settings!$B$9)</f>
        <v/>
      </c>
      <c r="I24" s="34" t="str">
        <f aca="false">IF($G24="","",$G24*Settings!$B$10)</f>
        <v/>
      </c>
      <c r="J24" s="34" t="str">
        <f aca="false">IF($G24="","",$G24*Settings!$B$11)</f>
        <v/>
      </c>
      <c r="K24" s="34" t="str">
        <f aca="false">IF($G24="","",$G24*Settings!$B$12)</f>
        <v/>
      </c>
      <c r="L24" s="34" t="str">
        <f aca="false">IF($G24="","",SUM($H24:$K24))</f>
        <v/>
      </c>
      <c r="M24" s="31" t="str">
        <f aca="false">IF($G24="","",IF(ROUND($L24,2)=ROUND($G24,2),"OK","MISMATCH"))</f>
        <v/>
      </c>
      <c r="N24" s="28"/>
      <c r="O24" s="27"/>
      <c r="P24" s="36" t="str">
        <f aca="false">IF($D24="","",EDATE($D24,12))</f>
        <v/>
      </c>
      <c r="Q24" s="32"/>
    </row>
    <row r="25" customFormat="false" ht="15.75" hidden="false" customHeight="true" outlineLevel="0" collapsed="false">
      <c r="A25" s="27"/>
      <c r="B25" s="27"/>
      <c r="C25" s="33" t="str">
        <f aca="false">IFERROR(INDEX(Customers!$C$4:$C$1003,MATCH($B25,Customers!$A$4:$A$1003,0)),"")</f>
        <v/>
      </c>
      <c r="D25" s="29"/>
      <c r="E25" s="31" t="str">
        <f aca="false">IFERROR(INDEX(Customers!$F$4:$F$1003,MATCH($B25,Customers!$A$4:$A$1003,0)),"")</f>
        <v/>
      </c>
      <c r="F25" s="28"/>
      <c r="G25" s="34" t="str">
        <f aca="false">IFERROR(INDEX(Customers!$L$4:$L$1003,MATCH($B25,Customers!$A$4:$A$1003,0)),"")</f>
        <v/>
      </c>
      <c r="H25" s="34" t="str">
        <f aca="false">IF($G25="","",$G25*Settings!$B$9)</f>
        <v/>
      </c>
      <c r="I25" s="34" t="str">
        <f aca="false">IF($G25="","",$G25*Settings!$B$10)</f>
        <v/>
      </c>
      <c r="J25" s="34" t="str">
        <f aca="false">IF($G25="","",$G25*Settings!$B$11)</f>
        <v/>
      </c>
      <c r="K25" s="34" t="str">
        <f aca="false">IF($G25="","",$G25*Settings!$B$12)</f>
        <v/>
      </c>
      <c r="L25" s="34" t="str">
        <f aca="false">IF($G25="","",SUM($H25:$K25))</f>
        <v/>
      </c>
      <c r="M25" s="31" t="str">
        <f aca="false">IF($G25="","",IF(ROUND($L25,2)=ROUND($G25,2),"OK","MISMATCH"))</f>
        <v/>
      </c>
      <c r="N25" s="28"/>
      <c r="O25" s="27"/>
      <c r="P25" s="36" t="str">
        <f aca="false">IF($D25="","",EDATE($D25,12))</f>
        <v/>
      </c>
      <c r="Q25" s="32"/>
    </row>
    <row r="26" customFormat="false" ht="15.75" hidden="false" customHeight="true" outlineLevel="0" collapsed="false">
      <c r="A26" s="27"/>
      <c r="B26" s="27"/>
      <c r="C26" s="33" t="str">
        <f aca="false">IFERROR(INDEX(Customers!$C$4:$C$1003,MATCH($B26,Customers!$A$4:$A$1003,0)),"")</f>
        <v/>
      </c>
      <c r="D26" s="29"/>
      <c r="E26" s="31" t="str">
        <f aca="false">IFERROR(INDEX(Customers!$F$4:$F$1003,MATCH($B26,Customers!$A$4:$A$1003,0)),"")</f>
        <v/>
      </c>
      <c r="F26" s="28"/>
      <c r="G26" s="34" t="str">
        <f aca="false">IFERROR(INDEX(Customers!$L$4:$L$1003,MATCH($B26,Customers!$A$4:$A$1003,0)),"")</f>
        <v/>
      </c>
      <c r="H26" s="34" t="str">
        <f aca="false">IF($G26="","",$G26*Settings!$B$9)</f>
        <v/>
      </c>
      <c r="I26" s="34" t="str">
        <f aca="false">IF($G26="","",$G26*Settings!$B$10)</f>
        <v/>
      </c>
      <c r="J26" s="34" t="str">
        <f aca="false">IF($G26="","",$G26*Settings!$B$11)</f>
        <v/>
      </c>
      <c r="K26" s="34" t="str">
        <f aca="false">IF($G26="","",$G26*Settings!$B$12)</f>
        <v/>
      </c>
      <c r="L26" s="34" t="str">
        <f aca="false">IF($G26="","",SUM($H26:$K26))</f>
        <v/>
      </c>
      <c r="M26" s="31" t="str">
        <f aca="false">IF($G26="","",IF(ROUND($L26,2)=ROUND($G26,2),"OK","MISMATCH"))</f>
        <v/>
      </c>
      <c r="N26" s="28"/>
      <c r="O26" s="27"/>
      <c r="P26" s="36" t="str">
        <f aca="false">IF($D26="","",EDATE($D26,12))</f>
        <v/>
      </c>
      <c r="Q26" s="32"/>
    </row>
    <row r="27" customFormat="false" ht="15.75" hidden="false" customHeight="true" outlineLevel="0" collapsed="false">
      <c r="A27" s="27"/>
      <c r="B27" s="27"/>
      <c r="C27" s="33" t="str">
        <f aca="false">IFERROR(INDEX(Customers!$C$4:$C$1003,MATCH($B27,Customers!$A$4:$A$1003,0)),"")</f>
        <v/>
      </c>
      <c r="D27" s="29"/>
      <c r="E27" s="31" t="str">
        <f aca="false">IFERROR(INDEX(Customers!$F$4:$F$1003,MATCH($B27,Customers!$A$4:$A$1003,0)),"")</f>
        <v/>
      </c>
      <c r="F27" s="28"/>
      <c r="G27" s="34" t="str">
        <f aca="false">IFERROR(INDEX(Customers!$L$4:$L$1003,MATCH($B27,Customers!$A$4:$A$1003,0)),"")</f>
        <v/>
      </c>
      <c r="H27" s="34" t="str">
        <f aca="false">IF($G27="","",$G27*Settings!$B$9)</f>
        <v/>
      </c>
      <c r="I27" s="34" t="str">
        <f aca="false">IF($G27="","",$G27*Settings!$B$10)</f>
        <v/>
      </c>
      <c r="J27" s="34" t="str">
        <f aca="false">IF($G27="","",$G27*Settings!$B$11)</f>
        <v/>
      </c>
      <c r="K27" s="34" t="str">
        <f aca="false">IF($G27="","",$G27*Settings!$B$12)</f>
        <v/>
      </c>
      <c r="L27" s="34" t="str">
        <f aca="false">IF($G27="","",SUM($H27:$K27))</f>
        <v/>
      </c>
      <c r="M27" s="31" t="str">
        <f aca="false">IF($G27="","",IF(ROUND($L27,2)=ROUND($G27,2),"OK","MISMATCH"))</f>
        <v/>
      </c>
      <c r="N27" s="28"/>
      <c r="O27" s="27"/>
      <c r="P27" s="36" t="str">
        <f aca="false">IF($D27="","",EDATE($D27,12))</f>
        <v/>
      </c>
      <c r="Q27" s="32"/>
    </row>
    <row r="28" customFormat="false" ht="15.75" hidden="false" customHeight="true" outlineLevel="0" collapsed="false">
      <c r="A28" s="27"/>
      <c r="B28" s="27"/>
      <c r="C28" s="33" t="str">
        <f aca="false">IFERROR(INDEX(Customers!$C$4:$C$1003,MATCH($B28,Customers!$A$4:$A$1003,0)),"")</f>
        <v/>
      </c>
      <c r="D28" s="29"/>
      <c r="E28" s="31" t="str">
        <f aca="false">IFERROR(INDEX(Customers!$F$4:$F$1003,MATCH($B28,Customers!$A$4:$A$1003,0)),"")</f>
        <v/>
      </c>
      <c r="F28" s="28"/>
      <c r="G28" s="34" t="str">
        <f aca="false">IFERROR(INDEX(Customers!$L$4:$L$1003,MATCH($B28,Customers!$A$4:$A$1003,0)),"")</f>
        <v/>
      </c>
      <c r="H28" s="34" t="str">
        <f aca="false">IF($G28="","",$G28*Settings!$B$9)</f>
        <v/>
      </c>
      <c r="I28" s="34" t="str">
        <f aca="false">IF($G28="","",$G28*Settings!$B$10)</f>
        <v/>
      </c>
      <c r="J28" s="34" t="str">
        <f aca="false">IF($G28="","",$G28*Settings!$B$11)</f>
        <v/>
      </c>
      <c r="K28" s="34" t="str">
        <f aca="false">IF($G28="","",$G28*Settings!$B$12)</f>
        <v/>
      </c>
      <c r="L28" s="34" t="str">
        <f aca="false">IF($G28="","",SUM($H28:$K28))</f>
        <v/>
      </c>
      <c r="M28" s="31" t="str">
        <f aca="false">IF($G28="","",IF(ROUND($L28,2)=ROUND($G28,2),"OK","MISMATCH"))</f>
        <v/>
      </c>
      <c r="N28" s="28"/>
      <c r="O28" s="27"/>
      <c r="P28" s="36" t="str">
        <f aca="false">IF($D28="","",EDATE($D28,12))</f>
        <v/>
      </c>
      <c r="Q28" s="32"/>
    </row>
    <row r="29" customFormat="false" ht="15.75" hidden="false" customHeight="true" outlineLevel="0" collapsed="false">
      <c r="A29" s="27"/>
      <c r="B29" s="27"/>
      <c r="C29" s="33" t="str">
        <f aca="false">IFERROR(INDEX(Customers!$C$4:$C$1003,MATCH($B29,Customers!$A$4:$A$1003,0)),"")</f>
        <v/>
      </c>
      <c r="D29" s="29"/>
      <c r="E29" s="31" t="str">
        <f aca="false">IFERROR(INDEX(Customers!$F$4:$F$1003,MATCH($B29,Customers!$A$4:$A$1003,0)),"")</f>
        <v/>
      </c>
      <c r="F29" s="28"/>
      <c r="G29" s="34" t="str">
        <f aca="false">IFERROR(INDEX(Customers!$L$4:$L$1003,MATCH($B29,Customers!$A$4:$A$1003,0)),"")</f>
        <v/>
      </c>
      <c r="H29" s="34" t="str">
        <f aca="false">IF($G29="","",$G29*Settings!$B$9)</f>
        <v/>
      </c>
      <c r="I29" s="34" t="str">
        <f aca="false">IF($G29="","",$G29*Settings!$B$10)</f>
        <v/>
      </c>
      <c r="J29" s="34" t="str">
        <f aca="false">IF($G29="","",$G29*Settings!$B$11)</f>
        <v/>
      </c>
      <c r="K29" s="34" t="str">
        <f aca="false">IF($G29="","",$G29*Settings!$B$12)</f>
        <v/>
      </c>
      <c r="L29" s="34" t="str">
        <f aca="false">IF($G29="","",SUM($H29:$K29))</f>
        <v/>
      </c>
      <c r="M29" s="31" t="str">
        <f aca="false">IF($G29="","",IF(ROUND($L29,2)=ROUND($G29,2),"OK","MISMATCH"))</f>
        <v/>
      </c>
      <c r="N29" s="28"/>
      <c r="O29" s="27"/>
      <c r="P29" s="36" t="str">
        <f aca="false">IF($D29="","",EDATE($D29,12))</f>
        <v/>
      </c>
      <c r="Q29" s="32"/>
    </row>
    <row r="30" customFormat="false" ht="15.75" hidden="false" customHeight="true" outlineLevel="0" collapsed="false">
      <c r="A30" s="27"/>
      <c r="B30" s="27"/>
      <c r="C30" s="33" t="str">
        <f aca="false">IFERROR(INDEX(Customers!$C$4:$C$1003,MATCH($B30,Customers!$A$4:$A$1003,0)),"")</f>
        <v/>
      </c>
      <c r="D30" s="29"/>
      <c r="E30" s="31" t="str">
        <f aca="false">IFERROR(INDEX(Customers!$F$4:$F$1003,MATCH($B30,Customers!$A$4:$A$1003,0)),"")</f>
        <v/>
      </c>
      <c r="F30" s="28"/>
      <c r="G30" s="34" t="str">
        <f aca="false">IFERROR(INDEX(Customers!$L$4:$L$1003,MATCH($B30,Customers!$A$4:$A$1003,0)),"")</f>
        <v/>
      </c>
      <c r="H30" s="34" t="str">
        <f aca="false">IF($G30="","",$G30*Settings!$B$9)</f>
        <v/>
      </c>
      <c r="I30" s="34" t="str">
        <f aca="false">IF($G30="","",$G30*Settings!$B$10)</f>
        <v/>
      </c>
      <c r="J30" s="34" t="str">
        <f aca="false">IF($G30="","",$G30*Settings!$B$11)</f>
        <v/>
      </c>
      <c r="K30" s="34" t="str">
        <f aca="false">IF($G30="","",$G30*Settings!$B$12)</f>
        <v/>
      </c>
      <c r="L30" s="34" t="str">
        <f aca="false">IF($G30="","",SUM($H30:$K30))</f>
        <v/>
      </c>
      <c r="M30" s="31" t="str">
        <f aca="false">IF($G30="","",IF(ROUND($L30,2)=ROUND($G30,2),"OK","MISMATCH"))</f>
        <v/>
      </c>
      <c r="N30" s="28"/>
      <c r="O30" s="27"/>
      <c r="P30" s="36" t="str">
        <f aca="false">IF($D30="","",EDATE($D30,12))</f>
        <v/>
      </c>
      <c r="Q30" s="32"/>
    </row>
    <row r="31" customFormat="false" ht="15.75" hidden="false" customHeight="true" outlineLevel="0" collapsed="false">
      <c r="A31" s="27"/>
      <c r="B31" s="27"/>
      <c r="C31" s="33" t="str">
        <f aca="false">IFERROR(INDEX(Customers!$C$4:$C$1003,MATCH($B31,Customers!$A$4:$A$1003,0)),"")</f>
        <v/>
      </c>
      <c r="D31" s="29"/>
      <c r="E31" s="31" t="str">
        <f aca="false">IFERROR(INDEX(Customers!$F$4:$F$1003,MATCH($B31,Customers!$A$4:$A$1003,0)),"")</f>
        <v/>
      </c>
      <c r="F31" s="28"/>
      <c r="G31" s="34" t="str">
        <f aca="false">IFERROR(INDEX(Customers!$L$4:$L$1003,MATCH($B31,Customers!$A$4:$A$1003,0)),"")</f>
        <v/>
      </c>
      <c r="H31" s="34" t="str">
        <f aca="false">IF($G31="","",$G31*Settings!$B$9)</f>
        <v/>
      </c>
      <c r="I31" s="34" t="str">
        <f aca="false">IF($G31="","",$G31*Settings!$B$10)</f>
        <v/>
      </c>
      <c r="J31" s="34" t="str">
        <f aca="false">IF($G31="","",$G31*Settings!$B$11)</f>
        <v/>
      </c>
      <c r="K31" s="34" t="str">
        <f aca="false">IF($G31="","",$G31*Settings!$B$12)</f>
        <v/>
      </c>
      <c r="L31" s="34" t="str">
        <f aca="false">IF($G31="","",SUM($H31:$K31))</f>
        <v/>
      </c>
      <c r="M31" s="31" t="str">
        <f aca="false">IF($G31="","",IF(ROUND($L31,2)=ROUND($G31,2),"OK","MISMATCH"))</f>
        <v/>
      </c>
      <c r="N31" s="28"/>
      <c r="O31" s="27"/>
      <c r="P31" s="36" t="str">
        <f aca="false">IF($D31="","",EDATE($D31,12))</f>
        <v/>
      </c>
      <c r="Q31" s="32"/>
    </row>
    <row r="32" customFormat="false" ht="15.75" hidden="false" customHeight="true" outlineLevel="0" collapsed="false">
      <c r="A32" s="27"/>
      <c r="B32" s="27"/>
      <c r="C32" s="33" t="str">
        <f aca="false">IFERROR(INDEX(Customers!$C$4:$C$1003,MATCH($B32,Customers!$A$4:$A$1003,0)),"")</f>
        <v/>
      </c>
      <c r="D32" s="29"/>
      <c r="E32" s="31" t="str">
        <f aca="false">IFERROR(INDEX(Customers!$F$4:$F$1003,MATCH($B32,Customers!$A$4:$A$1003,0)),"")</f>
        <v/>
      </c>
      <c r="F32" s="28"/>
      <c r="G32" s="34" t="str">
        <f aca="false">IFERROR(INDEX(Customers!$L$4:$L$1003,MATCH($B32,Customers!$A$4:$A$1003,0)),"")</f>
        <v/>
      </c>
      <c r="H32" s="34" t="str">
        <f aca="false">IF($G32="","",$G32*Settings!$B$9)</f>
        <v/>
      </c>
      <c r="I32" s="34" t="str">
        <f aca="false">IF($G32="","",$G32*Settings!$B$10)</f>
        <v/>
      </c>
      <c r="J32" s="34" t="str">
        <f aca="false">IF($G32="","",$G32*Settings!$B$11)</f>
        <v/>
      </c>
      <c r="K32" s="34" t="str">
        <f aca="false">IF($G32="","",$G32*Settings!$B$12)</f>
        <v/>
      </c>
      <c r="L32" s="34" t="str">
        <f aca="false">IF($G32="","",SUM($H32:$K32))</f>
        <v/>
      </c>
      <c r="M32" s="31" t="str">
        <f aca="false">IF($G32="","",IF(ROUND($L32,2)=ROUND($G32,2),"OK","MISMATCH"))</f>
        <v/>
      </c>
      <c r="N32" s="28"/>
      <c r="O32" s="27"/>
      <c r="P32" s="36" t="str">
        <f aca="false">IF($D32="","",EDATE($D32,12))</f>
        <v/>
      </c>
      <c r="Q32" s="32"/>
    </row>
    <row r="33" customFormat="false" ht="15.75" hidden="false" customHeight="true" outlineLevel="0" collapsed="false">
      <c r="A33" s="27"/>
      <c r="B33" s="27"/>
      <c r="C33" s="33" t="str">
        <f aca="false">IFERROR(INDEX(Customers!$C$4:$C$1003,MATCH($B33,Customers!$A$4:$A$1003,0)),"")</f>
        <v/>
      </c>
      <c r="D33" s="29"/>
      <c r="E33" s="31" t="str">
        <f aca="false">IFERROR(INDEX(Customers!$F$4:$F$1003,MATCH($B33,Customers!$A$4:$A$1003,0)),"")</f>
        <v/>
      </c>
      <c r="F33" s="28"/>
      <c r="G33" s="34" t="str">
        <f aca="false">IFERROR(INDEX(Customers!$L$4:$L$1003,MATCH($B33,Customers!$A$4:$A$1003,0)),"")</f>
        <v/>
      </c>
      <c r="H33" s="34" t="str">
        <f aca="false">IF($G33="","",$G33*Settings!$B$9)</f>
        <v/>
      </c>
      <c r="I33" s="34" t="str">
        <f aca="false">IF($G33="","",$G33*Settings!$B$10)</f>
        <v/>
      </c>
      <c r="J33" s="34" t="str">
        <f aca="false">IF($G33="","",$G33*Settings!$B$11)</f>
        <v/>
      </c>
      <c r="K33" s="34" t="str">
        <f aca="false">IF($G33="","",$G33*Settings!$B$12)</f>
        <v/>
      </c>
      <c r="L33" s="34" t="str">
        <f aca="false">IF($G33="","",SUM($H33:$K33))</f>
        <v/>
      </c>
      <c r="M33" s="31" t="str">
        <f aca="false">IF($G33="","",IF(ROUND($L33,2)=ROUND($G33,2),"OK","MISMATCH"))</f>
        <v/>
      </c>
      <c r="N33" s="28"/>
      <c r="O33" s="27"/>
      <c r="P33" s="36" t="str">
        <f aca="false">IF($D33="","",EDATE($D33,12))</f>
        <v/>
      </c>
      <c r="Q33" s="32"/>
    </row>
    <row r="34" customFormat="false" ht="15.75" hidden="false" customHeight="true" outlineLevel="0" collapsed="false">
      <c r="A34" s="27"/>
      <c r="B34" s="27"/>
      <c r="C34" s="33" t="str">
        <f aca="false">IFERROR(INDEX(Customers!$C$4:$C$1003,MATCH($B34,Customers!$A$4:$A$1003,0)),"")</f>
        <v/>
      </c>
      <c r="D34" s="29"/>
      <c r="E34" s="31" t="str">
        <f aca="false">IFERROR(INDEX(Customers!$F$4:$F$1003,MATCH($B34,Customers!$A$4:$A$1003,0)),"")</f>
        <v/>
      </c>
      <c r="F34" s="28"/>
      <c r="G34" s="34" t="str">
        <f aca="false">IFERROR(INDEX(Customers!$L$4:$L$1003,MATCH($B34,Customers!$A$4:$A$1003,0)),"")</f>
        <v/>
      </c>
      <c r="H34" s="34" t="str">
        <f aca="false">IF($G34="","",$G34*Settings!$B$9)</f>
        <v/>
      </c>
      <c r="I34" s="34" t="str">
        <f aca="false">IF($G34="","",$G34*Settings!$B$10)</f>
        <v/>
      </c>
      <c r="J34" s="34" t="str">
        <f aca="false">IF($G34="","",$G34*Settings!$B$11)</f>
        <v/>
      </c>
      <c r="K34" s="34" t="str">
        <f aca="false">IF($G34="","",$G34*Settings!$B$12)</f>
        <v/>
      </c>
      <c r="L34" s="34" t="str">
        <f aca="false">IF($G34="","",SUM($H34:$K34))</f>
        <v/>
      </c>
      <c r="M34" s="31" t="str">
        <f aca="false">IF($G34="","",IF(ROUND($L34,2)=ROUND($G34,2),"OK","MISMATCH"))</f>
        <v/>
      </c>
      <c r="N34" s="28"/>
      <c r="O34" s="27"/>
      <c r="P34" s="36" t="str">
        <f aca="false">IF($D34="","",EDATE($D34,12))</f>
        <v/>
      </c>
      <c r="Q34" s="32"/>
    </row>
    <row r="35" customFormat="false" ht="15.75" hidden="false" customHeight="true" outlineLevel="0" collapsed="false">
      <c r="A35" s="27"/>
      <c r="B35" s="27"/>
      <c r="C35" s="33" t="str">
        <f aca="false">IFERROR(INDEX(Customers!$C$4:$C$1003,MATCH($B35,Customers!$A$4:$A$1003,0)),"")</f>
        <v/>
      </c>
      <c r="D35" s="29"/>
      <c r="E35" s="31" t="str">
        <f aca="false">IFERROR(INDEX(Customers!$F$4:$F$1003,MATCH($B35,Customers!$A$4:$A$1003,0)),"")</f>
        <v/>
      </c>
      <c r="F35" s="28"/>
      <c r="G35" s="34" t="str">
        <f aca="false">IFERROR(INDEX(Customers!$L$4:$L$1003,MATCH($B35,Customers!$A$4:$A$1003,0)),"")</f>
        <v/>
      </c>
      <c r="H35" s="34" t="str">
        <f aca="false">IF($G35="","",$G35*Settings!$B$9)</f>
        <v/>
      </c>
      <c r="I35" s="34" t="str">
        <f aca="false">IF($G35="","",$G35*Settings!$B$10)</f>
        <v/>
      </c>
      <c r="J35" s="34" t="str">
        <f aca="false">IF($G35="","",$G35*Settings!$B$11)</f>
        <v/>
      </c>
      <c r="K35" s="34" t="str">
        <f aca="false">IF($G35="","",$G35*Settings!$B$12)</f>
        <v/>
      </c>
      <c r="L35" s="34" t="str">
        <f aca="false">IF($G35="","",SUM($H35:$K35))</f>
        <v/>
      </c>
      <c r="M35" s="31" t="str">
        <f aca="false">IF($G35="","",IF(ROUND($L35,2)=ROUND($G35,2),"OK","MISMATCH"))</f>
        <v/>
      </c>
      <c r="N35" s="28"/>
      <c r="O35" s="27"/>
      <c r="P35" s="36" t="str">
        <f aca="false">IF($D35="","",EDATE($D35,12))</f>
        <v/>
      </c>
      <c r="Q35" s="32"/>
    </row>
    <row r="36" customFormat="false" ht="15.75" hidden="false" customHeight="true" outlineLevel="0" collapsed="false">
      <c r="A36" s="27"/>
      <c r="B36" s="27"/>
      <c r="C36" s="33" t="str">
        <f aca="false">IFERROR(INDEX(Customers!$C$4:$C$1003,MATCH($B36,Customers!$A$4:$A$1003,0)),"")</f>
        <v/>
      </c>
      <c r="D36" s="29"/>
      <c r="E36" s="31" t="str">
        <f aca="false">IFERROR(INDEX(Customers!$F$4:$F$1003,MATCH($B36,Customers!$A$4:$A$1003,0)),"")</f>
        <v/>
      </c>
      <c r="F36" s="28"/>
      <c r="G36" s="34" t="str">
        <f aca="false">IFERROR(INDEX(Customers!$L$4:$L$1003,MATCH($B36,Customers!$A$4:$A$1003,0)),"")</f>
        <v/>
      </c>
      <c r="H36" s="34" t="str">
        <f aca="false">IF($G36="","",$G36*Settings!$B$9)</f>
        <v/>
      </c>
      <c r="I36" s="34" t="str">
        <f aca="false">IF($G36="","",$G36*Settings!$B$10)</f>
        <v/>
      </c>
      <c r="J36" s="34" t="str">
        <f aca="false">IF($G36="","",$G36*Settings!$B$11)</f>
        <v/>
      </c>
      <c r="K36" s="34" t="str">
        <f aca="false">IF($G36="","",$G36*Settings!$B$12)</f>
        <v/>
      </c>
      <c r="L36" s="34" t="str">
        <f aca="false">IF($G36="","",SUM($H36:$K36))</f>
        <v/>
      </c>
      <c r="M36" s="31" t="str">
        <f aca="false">IF($G36="","",IF(ROUND($L36,2)=ROUND($G36,2),"OK","MISMATCH"))</f>
        <v/>
      </c>
      <c r="N36" s="28"/>
      <c r="O36" s="27"/>
      <c r="P36" s="36" t="str">
        <f aca="false">IF($D36="","",EDATE($D36,12))</f>
        <v/>
      </c>
      <c r="Q36" s="32"/>
    </row>
    <row r="37" customFormat="false" ht="15.75" hidden="false" customHeight="true" outlineLevel="0" collapsed="false">
      <c r="A37" s="27"/>
      <c r="B37" s="27"/>
      <c r="C37" s="33" t="str">
        <f aca="false">IFERROR(INDEX(Customers!$C$4:$C$1003,MATCH($B37,Customers!$A$4:$A$1003,0)),"")</f>
        <v/>
      </c>
      <c r="D37" s="29"/>
      <c r="E37" s="31" t="str">
        <f aca="false">IFERROR(INDEX(Customers!$F$4:$F$1003,MATCH($B37,Customers!$A$4:$A$1003,0)),"")</f>
        <v/>
      </c>
      <c r="F37" s="28"/>
      <c r="G37" s="34" t="str">
        <f aca="false">IFERROR(INDEX(Customers!$L$4:$L$1003,MATCH($B37,Customers!$A$4:$A$1003,0)),"")</f>
        <v/>
      </c>
      <c r="H37" s="34" t="str">
        <f aca="false">IF($G37="","",$G37*Settings!$B$9)</f>
        <v/>
      </c>
      <c r="I37" s="34" t="str">
        <f aca="false">IF($G37="","",$G37*Settings!$B$10)</f>
        <v/>
      </c>
      <c r="J37" s="34" t="str">
        <f aca="false">IF($G37="","",$G37*Settings!$B$11)</f>
        <v/>
      </c>
      <c r="K37" s="34" t="str">
        <f aca="false">IF($G37="","",$G37*Settings!$B$12)</f>
        <v/>
      </c>
      <c r="L37" s="34" t="str">
        <f aca="false">IF($G37="","",SUM($H37:$K37))</f>
        <v/>
      </c>
      <c r="M37" s="31" t="str">
        <f aca="false">IF($G37="","",IF(ROUND($L37,2)=ROUND($G37,2),"OK","MISMATCH"))</f>
        <v/>
      </c>
      <c r="N37" s="28"/>
      <c r="O37" s="27"/>
      <c r="P37" s="36" t="str">
        <f aca="false">IF($D37="","",EDATE($D37,12))</f>
        <v/>
      </c>
      <c r="Q37" s="32"/>
    </row>
    <row r="38" customFormat="false" ht="15.75" hidden="false" customHeight="true" outlineLevel="0" collapsed="false">
      <c r="A38" s="27"/>
      <c r="B38" s="27"/>
      <c r="C38" s="33" t="str">
        <f aca="false">IFERROR(INDEX(Customers!$C$4:$C$1003,MATCH($B38,Customers!$A$4:$A$1003,0)),"")</f>
        <v/>
      </c>
      <c r="D38" s="29"/>
      <c r="E38" s="31" t="str">
        <f aca="false">IFERROR(INDEX(Customers!$F$4:$F$1003,MATCH($B38,Customers!$A$4:$A$1003,0)),"")</f>
        <v/>
      </c>
      <c r="F38" s="28"/>
      <c r="G38" s="34" t="str">
        <f aca="false">IFERROR(INDEX(Customers!$L$4:$L$1003,MATCH($B38,Customers!$A$4:$A$1003,0)),"")</f>
        <v/>
      </c>
      <c r="H38" s="34" t="str">
        <f aca="false">IF($G38="","",$G38*Settings!$B$9)</f>
        <v/>
      </c>
      <c r="I38" s="34" t="str">
        <f aca="false">IF($G38="","",$G38*Settings!$B$10)</f>
        <v/>
      </c>
      <c r="J38" s="34" t="str">
        <f aca="false">IF($G38="","",$G38*Settings!$B$11)</f>
        <v/>
      </c>
      <c r="K38" s="34" t="str">
        <f aca="false">IF($G38="","",$G38*Settings!$B$12)</f>
        <v/>
      </c>
      <c r="L38" s="34" t="str">
        <f aca="false">IF($G38="","",SUM($H38:$K38))</f>
        <v/>
      </c>
      <c r="M38" s="31" t="str">
        <f aca="false">IF($G38="","",IF(ROUND($L38,2)=ROUND($G38,2),"OK","MISMATCH"))</f>
        <v/>
      </c>
      <c r="N38" s="28"/>
      <c r="O38" s="27"/>
      <c r="P38" s="36" t="str">
        <f aca="false">IF($D38="","",EDATE($D38,12))</f>
        <v/>
      </c>
      <c r="Q38" s="32"/>
    </row>
    <row r="39" customFormat="false" ht="15.75" hidden="false" customHeight="true" outlineLevel="0" collapsed="false">
      <c r="A39" s="27"/>
      <c r="B39" s="27"/>
      <c r="C39" s="33" t="str">
        <f aca="false">IFERROR(INDEX(Customers!$C$4:$C$1003,MATCH($B39,Customers!$A$4:$A$1003,0)),"")</f>
        <v/>
      </c>
      <c r="D39" s="29"/>
      <c r="E39" s="31" t="str">
        <f aca="false">IFERROR(INDEX(Customers!$F$4:$F$1003,MATCH($B39,Customers!$A$4:$A$1003,0)),"")</f>
        <v/>
      </c>
      <c r="F39" s="28"/>
      <c r="G39" s="34" t="str">
        <f aca="false">IFERROR(INDEX(Customers!$L$4:$L$1003,MATCH($B39,Customers!$A$4:$A$1003,0)),"")</f>
        <v/>
      </c>
      <c r="H39" s="34" t="str">
        <f aca="false">IF($G39="","",$G39*Settings!$B$9)</f>
        <v/>
      </c>
      <c r="I39" s="34" t="str">
        <f aca="false">IF($G39="","",$G39*Settings!$B$10)</f>
        <v/>
      </c>
      <c r="J39" s="34" t="str">
        <f aca="false">IF($G39="","",$G39*Settings!$B$11)</f>
        <v/>
      </c>
      <c r="K39" s="34" t="str">
        <f aca="false">IF($G39="","",$G39*Settings!$B$12)</f>
        <v/>
      </c>
      <c r="L39" s="34" t="str">
        <f aca="false">IF($G39="","",SUM($H39:$K39))</f>
        <v/>
      </c>
      <c r="M39" s="31" t="str">
        <f aca="false">IF($G39="","",IF(ROUND($L39,2)=ROUND($G39,2),"OK","MISMATCH"))</f>
        <v/>
      </c>
      <c r="N39" s="28"/>
      <c r="O39" s="27"/>
      <c r="P39" s="36" t="str">
        <f aca="false">IF($D39="","",EDATE($D39,12))</f>
        <v/>
      </c>
      <c r="Q39" s="32"/>
    </row>
    <row r="40" customFormat="false" ht="15.75" hidden="false" customHeight="true" outlineLevel="0" collapsed="false">
      <c r="A40" s="27"/>
      <c r="B40" s="27"/>
      <c r="C40" s="33" t="str">
        <f aca="false">IFERROR(INDEX(Customers!$C$4:$C$1003,MATCH($B40,Customers!$A$4:$A$1003,0)),"")</f>
        <v/>
      </c>
      <c r="D40" s="29"/>
      <c r="E40" s="31" t="str">
        <f aca="false">IFERROR(INDEX(Customers!$F$4:$F$1003,MATCH($B40,Customers!$A$4:$A$1003,0)),"")</f>
        <v/>
      </c>
      <c r="F40" s="28"/>
      <c r="G40" s="34" t="str">
        <f aca="false">IFERROR(INDEX(Customers!$L$4:$L$1003,MATCH($B40,Customers!$A$4:$A$1003,0)),"")</f>
        <v/>
      </c>
      <c r="H40" s="34" t="str">
        <f aca="false">IF($G40="","",$G40*Settings!$B$9)</f>
        <v/>
      </c>
      <c r="I40" s="34" t="str">
        <f aca="false">IF($G40="","",$G40*Settings!$B$10)</f>
        <v/>
      </c>
      <c r="J40" s="34" t="str">
        <f aca="false">IF($G40="","",$G40*Settings!$B$11)</f>
        <v/>
      </c>
      <c r="K40" s="34" t="str">
        <f aca="false">IF($G40="","",$G40*Settings!$B$12)</f>
        <v/>
      </c>
      <c r="L40" s="34" t="str">
        <f aca="false">IF($G40="","",SUM($H40:$K40))</f>
        <v/>
      </c>
      <c r="M40" s="31" t="str">
        <f aca="false">IF($G40="","",IF(ROUND($L40,2)=ROUND($G40,2),"OK","MISMATCH"))</f>
        <v/>
      </c>
      <c r="N40" s="28"/>
      <c r="O40" s="27"/>
      <c r="P40" s="36" t="str">
        <f aca="false">IF($D40="","",EDATE($D40,12))</f>
        <v/>
      </c>
      <c r="Q40" s="32"/>
    </row>
    <row r="41" customFormat="false" ht="15.75" hidden="false" customHeight="true" outlineLevel="0" collapsed="false">
      <c r="A41" s="27"/>
      <c r="B41" s="27"/>
      <c r="C41" s="33" t="str">
        <f aca="false">IFERROR(INDEX(Customers!$C$4:$C$1003,MATCH($B41,Customers!$A$4:$A$1003,0)),"")</f>
        <v/>
      </c>
      <c r="D41" s="29"/>
      <c r="E41" s="31" t="str">
        <f aca="false">IFERROR(INDEX(Customers!$F$4:$F$1003,MATCH($B41,Customers!$A$4:$A$1003,0)),"")</f>
        <v/>
      </c>
      <c r="F41" s="28"/>
      <c r="G41" s="34" t="str">
        <f aca="false">IFERROR(INDEX(Customers!$L$4:$L$1003,MATCH($B41,Customers!$A$4:$A$1003,0)),"")</f>
        <v/>
      </c>
      <c r="H41" s="34" t="str">
        <f aca="false">IF($G41="","",$G41*Settings!$B$9)</f>
        <v/>
      </c>
      <c r="I41" s="34" t="str">
        <f aca="false">IF($G41="","",$G41*Settings!$B$10)</f>
        <v/>
      </c>
      <c r="J41" s="34" t="str">
        <f aca="false">IF($G41="","",$G41*Settings!$B$11)</f>
        <v/>
      </c>
      <c r="K41" s="34" t="str">
        <f aca="false">IF($G41="","",$G41*Settings!$B$12)</f>
        <v/>
      </c>
      <c r="L41" s="34" t="str">
        <f aca="false">IF($G41="","",SUM($H41:$K41))</f>
        <v/>
      </c>
      <c r="M41" s="31" t="str">
        <f aca="false">IF($G41="","",IF(ROUND($L41,2)=ROUND($G41,2),"OK","MISMATCH"))</f>
        <v/>
      </c>
      <c r="N41" s="28"/>
      <c r="O41" s="27"/>
      <c r="P41" s="36" t="str">
        <f aca="false">IF($D41="","",EDATE($D41,12))</f>
        <v/>
      </c>
      <c r="Q41" s="32"/>
    </row>
    <row r="42" customFormat="false" ht="15.75" hidden="false" customHeight="true" outlineLevel="0" collapsed="false">
      <c r="A42" s="27"/>
      <c r="B42" s="27"/>
      <c r="C42" s="33" t="str">
        <f aca="false">IFERROR(INDEX(Customers!$C$4:$C$1003,MATCH($B42,Customers!$A$4:$A$1003,0)),"")</f>
        <v/>
      </c>
      <c r="D42" s="29"/>
      <c r="E42" s="31" t="str">
        <f aca="false">IFERROR(INDEX(Customers!$F$4:$F$1003,MATCH($B42,Customers!$A$4:$A$1003,0)),"")</f>
        <v/>
      </c>
      <c r="F42" s="28"/>
      <c r="G42" s="34" t="str">
        <f aca="false">IFERROR(INDEX(Customers!$L$4:$L$1003,MATCH($B42,Customers!$A$4:$A$1003,0)),"")</f>
        <v/>
      </c>
      <c r="H42" s="34" t="str">
        <f aca="false">IF($G42="","",$G42*Settings!$B$9)</f>
        <v/>
      </c>
      <c r="I42" s="34" t="str">
        <f aca="false">IF($G42="","",$G42*Settings!$B$10)</f>
        <v/>
      </c>
      <c r="J42" s="34" t="str">
        <f aca="false">IF($G42="","",$G42*Settings!$B$11)</f>
        <v/>
      </c>
      <c r="K42" s="34" t="str">
        <f aca="false">IF($G42="","",$G42*Settings!$B$12)</f>
        <v/>
      </c>
      <c r="L42" s="34" t="str">
        <f aca="false">IF($G42="","",SUM($H42:$K42))</f>
        <v/>
      </c>
      <c r="M42" s="31" t="str">
        <f aca="false">IF($G42="","",IF(ROUND($L42,2)=ROUND($G42,2),"OK","MISMATCH"))</f>
        <v/>
      </c>
      <c r="N42" s="28"/>
      <c r="O42" s="27"/>
      <c r="P42" s="36" t="str">
        <f aca="false">IF($D42="","",EDATE($D42,12))</f>
        <v/>
      </c>
      <c r="Q42" s="32"/>
    </row>
    <row r="43" customFormat="false" ht="15.75" hidden="false" customHeight="true" outlineLevel="0" collapsed="false">
      <c r="A43" s="27"/>
      <c r="B43" s="27"/>
      <c r="C43" s="33" t="str">
        <f aca="false">IFERROR(INDEX(Customers!$C$4:$C$1003,MATCH($B43,Customers!$A$4:$A$1003,0)),"")</f>
        <v/>
      </c>
      <c r="D43" s="29"/>
      <c r="E43" s="31" t="str">
        <f aca="false">IFERROR(INDEX(Customers!$F$4:$F$1003,MATCH($B43,Customers!$A$4:$A$1003,0)),"")</f>
        <v/>
      </c>
      <c r="F43" s="28"/>
      <c r="G43" s="34" t="str">
        <f aca="false">IFERROR(INDEX(Customers!$L$4:$L$1003,MATCH($B43,Customers!$A$4:$A$1003,0)),"")</f>
        <v/>
      </c>
      <c r="H43" s="34" t="str">
        <f aca="false">IF($G43="","",$G43*Settings!$B$9)</f>
        <v/>
      </c>
      <c r="I43" s="34" t="str">
        <f aca="false">IF($G43="","",$G43*Settings!$B$10)</f>
        <v/>
      </c>
      <c r="J43" s="34" t="str">
        <f aca="false">IF($G43="","",$G43*Settings!$B$11)</f>
        <v/>
      </c>
      <c r="K43" s="34" t="str">
        <f aca="false">IF($G43="","",$G43*Settings!$B$12)</f>
        <v/>
      </c>
      <c r="L43" s="34" t="str">
        <f aca="false">IF($G43="","",SUM($H43:$K43))</f>
        <v/>
      </c>
      <c r="M43" s="31" t="str">
        <f aca="false">IF($G43="","",IF(ROUND($L43,2)=ROUND($G43,2),"OK","MISMATCH"))</f>
        <v/>
      </c>
      <c r="N43" s="28"/>
      <c r="O43" s="27"/>
      <c r="P43" s="36" t="str">
        <f aca="false">IF($D43="","",EDATE($D43,12))</f>
        <v/>
      </c>
      <c r="Q43" s="32"/>
    </row>
    <row r="44" customFormat="false" ht="15.75" hidden="false" customHeight="true" outlineLevel="0" collapsed="false">
      <c r="A44" s="27"/>
      <c r="B44" s="27"/>
      <c r="C44" s="33" t="str">
        <f aca="false">IFERROR(INDEX(Customers!$C$4:$C$1003,MATCH($B44,Customers!$A$4:$A$1003,0)),"")</f>
        <v/>
      </c>
      <c r="D44" s="29"/>
      <c r="E44" s="31" t="str">
        <f aca="false">IFERROR(INDEX(Customers!$F$4:$F$1003,MATCH($B44,Customers!$A$4:$A$1003,0)),"")</f>
        <v/>
      </c>
      <c r="F44" s="28"/>
      <c r="G44" s="34" t="str">
        <f aca="false">IFERROR(INDEX(Customers!$L$4:$L$1003,MATCH($B44,Customers!$A$4:$A$1003,0)),"")</f>
        <v/>
      </c>
      <c r="H44" s="34" t="str">
        <f aca="false">IF($G44="","",$G44*Settings!$B$9)</f>
        <v/>
      </c>
      <c r="I44" s="34" t="str">
        <f aca="false">IF($G44="","",$G44*Settings!$B$10)</f>
        <v/>
      </c>
      <c r="J44" s="34" t="str">
        <f aca="false">IF($G44="","",$G44*Settings!$B$11)</f>
        <v/>
      </c>
      <c r="K44" s="34" t="str">
        <f aca="false">IF($G44="","",$G44*Settings!$B$12)</f>
        <v/>
      </c>
      <c r="L44" s="34" t="str">
        <f aca="false">IF($G44="","",SUM($H44:$K44))</f>
        <v/>
      </c>
      <c r="M44" s="31" t="str">
        <f aca="false">IF($G44="","",IF(ROUND($L44,2)=ROUND($G44,2),"OK","MISMATCH"))</f>
        <v/>
      </c>
      <c r="N44" s="28"/>
      <c r="O44" s="27"/>
      <c r="P44" s="36" t="str">
        <f aca="false">IF($D44="","",EDATE($D44,12))</f>
        <v/>
      </c>
      <c r="Q44" s="32"/>
    </row>
    <row r="45" customFormat="false" ht="15.75" hidden="false" customHeight="true" outlineLevel="0" collapsed="false">
      <c r="A45" s="27"/>
      <c r="B45" s="27"/>
      <c r="C45" s="33" t="str">
        <f aca="false">IFERROR(INDEX(Customers!$C$4:$C$1003,MATCH($B45,Customers!$A$4:$A$1003,0)),"")</f>
        <v/>
      </c>
      <c r="D45" s="29"/>
      <c r="E45" s="31" t="str">
        <f aca="false">IFERROR(INDEX(Customers!$F$4:$F$1003,MATCH($B45,Customers!$A$4:$A$1003,0)),"")</f>
        <v/>
      </c>
      <c r="F45" s="28"/>
      <c r="G45" s="34" t="str">
        <f aca="false">IFERROR(INDEX(Customers!$L$4:$L$1003,MATCH($B45,Customers!$A$4:$A$1003,0)),"")</f>
        <v/>
      </c>
      <c r="H45" s="34" t="str">
        <f aca="false">IF($G45="","",$G45*Settings!$B$9)</f>
        <v/>
      </c>
      <c r="I45" s="34" t="str">
        <f aca="false">IF($G45="","",$G45*Settings!$B$10)</f>
        <v/>
      </c>
      <c r="J45" s="34" t="str">
        <f aca="false">IF($G45="","",$G45*Settings!$B$11)</f>
        <v/>
      </c>
      <c r="K45" s="34" t="str">
        <f aca="false">IF($G45="","",$G45*Settings!$B$12)</f>
        <v/>
      </c>
      <c r="L45" s="34" t="str">
        <f aca="false">IF($G45="","",SUM($H45:$K45))</f>
        <v/>
      </c>
      <c r="M45" s="31" t="str">
        <f aca="false">IF($G45="","",IF(ROUND($L45,2)=ROUND($G45,2),"OK","MISMATCH"))</f>
        <v/>
      </c>
      <c r="N45" s="28"/>
      <c r="O45" s="27"/>
      <c r="P45" s="36" t="str">
        <f aca="false">IF($D45="","",EDATE($D45,12))</f>
        <v/>
      </c>
      <c r="Q45" s="32"/>
    </row>
    <row r="46" customFormat="false" ht="15.75" hidden="false" customHeight="true" outlineLevel="0" collapsed="false">
      <c r="A46" s="27"/>
      <c r="B46" s="27"/>
      <c r="C46" s="33" t="str">
        <f aca="false">IFERROR(INDEX(Customers!$C$4:$C$1003,MATCH($B46,Customers!$A$4:$A$1003,0)),"")</f>
        <v/>
      </c>
      <c r="D46" s="29"/>
      <c r="E46" s="31" t="str">
        <f aca="false">IFERROR(INDEX(Customers!$F$4:$F$1003,MATCH($B46,Customers!$A$4:$A$1003,0)),"")</f>
        <v/>
      </c>
      <c r="F46" s="28"/>
      <c r="G46" s="34" t="str">
        <f aca="false">IFERROR(INDEX(Customers!$L$4:$L$1003,MATCH($B46,Customers!$A$4:$A$1003,0)),"")</f>
        <v/>
      </c>
      <c r="H46" s="34" t="str">
        <f aca="false">IF($G46="","",$G46*Settings!$B$9)</f>
        <v/>
      </c>
      <c r="I46" s="34" t="str">
        <f aca="false">IF($G46="","",$G46*Settings!$B$10)</f>
        <v/>
      </c>
      <c r="J46" s="34" t="str">
        <f aca="false">IF($G46="","",$G46*Settings!$B$11)</f>
        <v/>
      </c>
      <c r="K46" s="34" t="str">
        <f aca="false">IF($G46="","",$G46*Settings!$B$12)</f>
        <v/>
      </c>
      <c r="L46" s="34" t="str">
        <f aca="false">IF($G46="","",SUM($H46:$K46))</f>
        <v/>
      </c>
      <c r="M46" s="31" t="str">
        <f aca="false">IF($G46="","",IF(ROUND($L46,2)=ROUND($G46,2),"OK","MISMATCH"))</f>
        <v/>
      </c>
      <c r="N46" s="28"/>
      <c r="O46" s="27"/>
      <c r="P46" s="36" t="str">
        <f aca="false">IF($D46="","",EDATE($D46,12))</f>
        <v/>
      </c>
      <c r="Q46" s="32"/>
    </row>
    <row r="47" customFormat="false" ht="15.75" hidden="false" customHeight="true" outlineLevel="0" collapsed="false">
      <c r="A47" s="27"/>
      <c r="B47" s="27"/>
      <c r="C47" s="33" t="str">
        <f aca="false">IFERROR(INDEX(Customers!$C$4:$C$1003,MATCH($B47,Customers!$A$4:$A$1003,0)),"")</f>
        <v/>
      </c>
      <c r="D47" s="29"/>
      <c r="E47" s="31" t="str">
        <f aca="false">IFERROR(INDEX(Customers!$F$4:$F$1003,MATCH($B47,Customers!$A$4:$A$1003,0)),"")</f>
        <v/>
      </c>
      <c r="F47" s="28"/>
      <c r="G47" s="34" t="str">
        <f aca="false">IFERROR(INDEX(Customers!$L$4:$L$1003,MATCH($B47,Customers!$A$4:$A$1003,0)),"")</f>
        <v/>
      </c>
      <c r="H47" s="34" t="str">
        <f aca="false">IF($G47="","",$G47*Settings!$B$9)</f>
        <v/>
      </c>
      <c r="I47" s="34" t="str">
        <f aca="false">IF($G47="","",$G47*Settings!$B$10)</f>
        <v/>
      </c>
      <c r="J47" s="34" t="str">
        <f aca="false">IF($G47="","",$G47*Settings!$B$11)</f>
        <v/>
      </c>
      <c r="K47" s="34" t="str">
        <f aca="false">IF($G47="","",$G47*Settings!$B$12)</f>
        <v/>
      </c>
      <c r="L47" s="34" t="str">
        <f aca="false">IF($G47="","",SUM($H47:$K47))</f>
        <v/>
      </c>
      <c r="M47" s="31" t="str">
        <f aca="false">IF($G47="","",IF(ROUND($L47,2)=ROUND($G47,2),"OK","MISMATCH"))</f>
        <v/>
      </c>
      <c r="N47" s="28"/>
      <c r="O47" s="27"/>
      <c r="P47" s="36" t="str">
        <f aca="false">IF($D47="","",EDATE($D47,12))</f>
        <v/>
      </c>
      <c r="Q47" s="32"/>
    </row>
    <row r="48" customFormat="false" ht="15.75" hidden="false" customHeight="true" outlineLevel="0" collapsed="false">
      <c r="A48" s="27"/>
      <c r="B48" s="27"/>
      <c r="C48" s="33" t="str">
        <f aca="false">IFERROR(INDEX(Customers!$C$4:$C$1003,MATCH($B48,Customers!$A$4:$A$1003,0)),"")</f>
        <v/>
      </c>
      <c r="D48" s="29"/>
      <c r="E48" s="31" t="str">
        <f aca="false">IFERROR(INDEX(Customers!$F$4:$F$1003,MATCH($B48,Customers!$A$4:$A$1003,0)),"")</f>
        <v/>
      </c>
      <c r="F48" s="28"/>
      <c r="G48" s="34" t="str">
        <f aca="false">IFERROR(INDEX(Customers!$L$4:$L$1003,MATCH($B48,Customers!$A$4:$A$1003,0)),"")</f>
        <v/>
      </c>
      <c r="H48" s="34" t="str">
        <f aca="false">IF($G48="","",$G48*Settings!$B$9)</f>
        <v/>
      </c>
      <c r="I48" s="34" t="str">
        <f aca="false">IF($G48="","",$G48*Settings!$B$10)</f>
        <v/>
      </c>
      <c r="J48" s="34" t="str">
        <f aca="false">IF($G48="","",$G48*Settings!$B$11)</f>
        <v/>
      </c>
      <c r="K48" s="34" t="str">
        <f aca="false">IF($G48="","",$G48*Settings!$B$12)</f>
        <v/>
      </c>
      <c r="L48" s="34" t="str">
        <f aca="false">IF($G48="","",SUM($H48:$K48))</f>
        <v/>
      </c>
      <c r="M48" s="31" t="str">
        <f aca="false">IF($G48="","",IF(ROUND($L48,2)=ROUND($G48,2),"OK","MISMATCH"))</f>
        <v/>
      </c>
      <c r="N48" s="28"/>
      <c r="O48" s="27"/>
      <c r="P48" s="36" t="str">
        <f aca="false">IF($D48="","",EDATE($D48,12))</f>
        <v/>
      </c>
      <c r="Q48" s="32"/>
    </row>
    <row r="49" customFormat="false" ht="15.75" hidden="false" customHeight="true" outlineLevel="0" collapsed="false">
      <c r="A49" s="27"/>
      <c r="B49" s="27"/>
      <c r="C49" s="33" t="str">
        <f aca="false">IFERROR(INDEX(Customers!$C$4:$C$1003,MATCH($B49,Customers!$A$4:$A$1003,0)),"")</f>
        <v/>
      </c>
      <c r="D49" s="29"/>
      <c r="E49" s="31" t="str">
        <f aca="false">IFERROR(INDEX(Customers!$F$4:$F$1003,MATCH($B49,Customers!$A$4:$A$1003,0)),"")</f>
        <v/>
      </c>
      <c r="F49" s="28"/>
      <c r="G49" s="34" t="str">
        <f aca="false">IFERROR(INDEX(Customers!$L$4:$L$1003,MATCH($B49,Customers!$A$4:$A$1003,0)),"")</f>
        <v/>
      </c>
      <c r="H49" s="34" t="str">
        <f aca="false">IF($G49="","",$G49*Settings!$B$9)</f>
        <v/>
      </c>
      <c r="I49" s="34" t="str">
        <f aca="false">IF($G49="","",$G49*Settings!$B$10)</f>
        <v/>
      </c>
      <c r="J49" s="34" t="str">
        <f aca="false">IF($G49="","",$G49*Settings!$B$11)</f>
        <v/>
      </c>
      <c r="K49" s="34" t="str">
        <f aca="false">IF($G49="","",$G49*Settings!$B$12)</f>
        <v/>
      </c>
      <c r="L49" s="34" t="str">
        <f aca="false">IF($G49="","",SUM($H49:$K49))</f>
        <v/>
      </c>
      <c r="M49" s="31" t="str">
        <f aca="false">IF($G49="","",IF(ROUND($L49,2)=ROUND($G49,2),"OK","MISMATCH"))</f>
        <v/>
      </c>
      <c r="N49" s="28"/>
      <c r="O49" s="27"/>
      <c r="P49" s="36" t="str">
        <f aca="false">IF($D49="","",EDATE($D49,12))</f>
        <v/>
      </c>
      <c r="Q49" s="32"/>
    </row>
    <row r="50" customFormat="false" ht="15.75" hidden="false" customHeight="true" outlineLevel="0" collapsed="false">
      <c r="A50" s="27"/>
      <c r="B50" s="27"/>
      <c r="C50" s="33" t="str">
        <f aca="false">IFERROR(INDEX(Customers!$C$4:$C$1003,MATCH($B50,Customers!$A$4:$A$1003,0)),"")</f>
        <v/>
      </c>
      <c r="D50" s="29"/>
      <c r="E50" s="31" t="str">
        <f aca="false">IFERROR(INDEX(Customers!$F$4:$F$1003,MATCH($B50,Customers!$A$4:$A$1003,0)),"")</f>
        <v/>
      </c>
      <c r="F50" s="28"/>
      <c r="G50" s="34" t="str">
        <f aca="false">IFERROR(INDEX(Customers!$L$4:$L$1003,MATCH($B50,Customers!$A$4:$A$1003,0)),"")</f>
        <v/>
      </c>
      <c r="H50" s="34" t="str">
        <f aca="false">IF($G50="","",$G50*Settings!$B$9)</f>
        <v/>
      </c>
      <c r="I50" s="34" t="str">
        <f aca="false">IF($G50="","",$G50*Settings!$B$10)</f>
        <v/>
      </c>
      <c r="J50" s="34" t="str">
        <f aca="false">IF($G50="","",$G50*Settings!$B$11)</f>
        <v/>
      </c>
      <c r="K50" s="34" t="str">
        <f aca="false">IF($G50="","",$G50*Settings!$B$12)</f>
        <v/>
      </c>
      <c r="L50" s="34" t="str">
        <f aca="false">IF($G50="","",SUM($H50:$K50))</f>
        <v/>
      </c>
      <c r="M50" s="31" t="str">
        <f aca="false">IF($G50="","",IF(ROUND($L50,2)=ROUND($G50,2),"OK","MISMATCH"))</f>
        <v/>
      </c>
      <c r="N50" s="28"/>
      <c r="O50" s="27"/>
      <c r="P50" s="36" t="str">
        <f aca="false">IF($D50="","",EDATE($D50,12))</f>
        <v/>
      </c>
      <c r="Q50" s="32"/>
    </row>
    <row r="51" customFormat="false" ht="15.75" hidden="false" customHeight="true" outlineLevel="0" collapsed="false">
      <c r="A51" s="27"/>
      <c r="B51" s="27"/>
      <c r="C51" s="33" t="str">
        <f aca="false">IFERROR(INDEX(Customers!$C$4:$C$1003,MATCH($B51,Customers!$A$4:$A$1003,0)),"")</f>
        <v/>
      </c>
      <c r="D51" s="29"/>
      <c r="E51" s="31" t="str">
        <f aca="false">IFERROR(INDEX(Customers!$F$4:$F$1003,MATCH($B51,Customers!$A$4:$A$1003,0)),"")</f>
        <v/>
      </c>
      <c r="F51" s="28"/>
      <c r="G51" s="34" t="str">
        <f aca="false">IFERROR(INDEX(Customers!$L$4:$L$1003,MATCH($B51,Customers!$A$4:$A$1003,0)),"")</f>
        <v/>
      </c>
      <c r="H51" s="34" t="str">
        <f aca="false">IF($G51="","",$G51*Settings!$B$9)</f>
        <v/>
      </c>
      <c r="I51" s="34" t="str">
        <f aca="false">IF($G51="","",$G51*Settings!$B$10)</f>
        <v/>
      </c>
      <c r="J51" s="34" t="str">
        <f aca="false">IF($G51="","",$G51*Settings!$B$11)</f>
        <v/>
      </c>
      <c r="K51" s="34" t="str">
        <f aca="false">IF($G51="","",$G51*Settings!$B$12)</f>
        <v/>
      </c>
      <c r="L51" s="34" t="str">
        <f aca="false">IF($G51="","",SUM($H51:$K51))</f>
        <v/>
      </c>
      <c r="M51" s="31" t="str">
        <f aca="false">IF($G51="","",IF(ROUND($L51,2)=ROUND($G51,2),"OK","MISMATCH"))</f>
        <v/>
      </c>
      <c r="N51" s="28"/>
      <c r="O51" s="27"/>
      <c r="P51" s="36" t="str">
        <f aca="false">IF($D51="","",EDATE($D51,12))</f>
        <v/>
      </c>
      <c r="Q51" s="32"/>
    </row>
    <row r="52" customFormat="false" ht="15.75" hidden="false" customHeight="true" outlineLevel="0" collapsed="false">
      <c r="A52" s="27"/>
      <c r="B52" s="27"/>
      <c r="C52" s="33" t="str">
        <f aca="false">IFERROR(INDEX(Customers!$C$4:$C$1003,MATCH($B52,Customers!$A$4:$A$1003,0)),"")</f>
        <v/>
      </c>
      <c r="D52" s="29"/>
      <c r="E52" s="31" t="str">
        <f aca="false">IFERROR(INDEX(Customers!$F$4:$F$1003,MATCH($B52,Customers!$A$4:$A$1003,0)),"")</f>
        <v/>
      </c>
      <c r="F52" s="28"/>
      <c r="G52" s="34" t="str">
        <f aca="false">IFERROR(INDEX(Customers!$L$4:$L$1003,MATCH($B52,Customers!$A$4:$A$1003,0)),"")</f>
        <v/>
      </c>
      <c r="H52" s="34" t="str">
        <f aca="false">IF($G52="","",$G52*Settings!$B$9)</f>
        <v/>
      </c>
      <c r="I52" s="34" t="str">
        <f aca="false">IF($G52="","",$G52*Settings!$B$10)</f>
        <v/>
      </c>
      <c r="J52" s="34" t="str">
        <f aca="false">IF($G52="","",$G52*Settings!$B$11)</f>
        <v/>
      </c>
      <c r="K52" s="34" t="str">
        <f aca="false">IF($G52="","",$G52*Settings!$B$12)</f>
        <v/>
      </c>
      <c r="L52" s="34" t="str">
        <f aca="false">IF($G52="","",SUM($H52:$K52))</f>
        <v/>
      </c>
      <c r="M52" s="31" t="str">
        <f aca="false">IF($G52="","",IF(ROUND($L52,2)=ROUND($G52,2),"OK","MISMATCH"))</f>
        <v/>
      </c>
      <c r="N52" s="28"/>
      <c r="O52" s="27"/>
      <c r="P52" s="36" t="str">
        <f aca="false">IF($D52="","",EDATE($D52,12))</f>
        <v/>
      </c>
      <c r="Q52" s="32"/>
    </row>
    <row r="53" customFormat="false" ht="15.75" hidden="false" customHeight="true" outlineLevel="0" collapsed="false">
      <c r="A53" s="27"/>
      <c r="B53" s="27"/>
      <c r="C53" s="33" t="str">
        <f aca="false">IFERROR(INDEX(Customers!$C$4:$C$1003,MATCH($B53,Customers!$A$4:$A$1003,0)),"")</f>
        <v/>
      </c>
      <c r="D53" s="29"/>
      <c r="E53" s="31" t="str">
        <f aca="false">IFERROR(INDEX(Customers!$F$4:$F$1003,MATCH($B53,Customers!$A$4:$A$1003,0)),"")</f>
        <v/>
      </c>
      <c r="F53" s="28"/>
      <c r="G53" s="34" t="str">
        <f aca="false">IFERROR(INDEX(Customers!$L$4:$L$1003,MATCH($B53,Customers!$A$4:$A$1003,0)),"")</f>
        <v/>
      </c>
      <c r="H53" s="34" t="str">
        <f aca="false">IF($G53="","",$G53*Settings!$B$9)</f>
        <v/>
      </c>
      <c r="I53" s="34" t="str">
        <f aca="false">IF($G53="","",$G53*Settings!$B$10)</f>
        <v/>
      </c>
      <c r="J53" s="34" t="str">
        <f aca="false">IF($G53="","",$G53*Settings!$B$11)</f>
        <v/>
      </c>
      <c r="K53" s="34" t="str">
        <f aca="false">IF($G53="","",$G53*Settings!$B$12)</f>
        <v/>
      </c>
      <c r="L53" s="34" t="str">
        <f aca="false">IF($G53="","",SUM($H53:$K53))</f>
        <v/>
      </c>
      <c r="M53" s="31" t="str">
        <f aca="false">IF($G53="","",IF(ROUND($L53,2)=ROUND($G53,2),"OK","MISMATCH"))</f>
        <v/>
      </c>
      <c r="N53" s="28"/>
      <c r="O53" s="27"/>
      <c r="P53" s="36" t="str">
        <f aca="false">IF($D53="","",EDATE($D53,12))</f>
        <v/>
      </c>
      <c r="Q53" s="32"/>
    </row>
    <row r="54" customFormat="false" ht="15.75" hidden="false" customHeight="true" outlineLevel="0" collapsed="false">
      <c r="A54" s="27"/>
      <c r="B54" s="27"/>
      <c r="C54" s="33" t="str">
        <f aca="false">IFERROR(INDEX(Customers!$C$4:$C$1003,MATCH($B54,Customers!$A$4:$A$1003,0)),"")</f>
        <v/>
      </c>
      <c r="D54" s="29"/>
      <c r="E54" s="31" t="str">
        <f aca="false">IFERROR(INDEX(Customers!$F$4:$F$1003,MATCH($B54,Customers!$A$4:$A$1003,0)),"")</f>
        <v/>
      </c>
      <c r="F54" s="28"/>
      <c r="G54" s="34" t="str">
        <f aca="false">IFERROR(INDEX(Customers!$L$4:$L$1003,MATCH($B54,Customers!$A$4:$A$1003,0)),"")</f>
        <v/>
      </c>
      <c r="H54" s="34" t="str">
        <f aca="false">IF($G54="","",$G54*Settings!$B$9)</f>
        <v/>
      </c>
      <c r="I54" s="34" t="str">
        <f aca="false">IF($G54="","",$G54*Settings!$B$10)</f>
        <v/>
      </c>
      <c r="J54" s="34" t="str">
        <f aca="false">IF($G54="","",$G54*Settings!$B$11)</f>
        <v/>
      </c>
      <c r="K54" s="34" t="str">
        <f aca="false">IF($G54="","",$G54*Settings!$B$12)</f>
        <v/>
      </c>
      <c r="L54" s="34" t="str">
        <f aca="false">IF($G54="","",SUM($H54:$K54))</f>
        <v/>
      </c>
      <c r="M54" s="31" t="str">
        <f aca="false">IF($G54="","",IF(ROUND($L54,2)=ROUND($G54,2),"OK","MISMATCH"))</f>
        <v/>
      </c>
      <c r="N54" s="28"/>
      <c r="O54" s="27"/>
      <c r="P54" s="36" t="str">
        <f aca="false">IF($D54="","",EDATE($D54,12))</f>
        <v/>
      </c>
      <c r="Q54" s="32"/>
    </row>
    <row r="55" customFormat="false" ht="15.75" hidden="false" customHeight="true" outlineLevel="0" collapsed="false">
      <c r="A55" s="27"/>
      <c r="B55" s="27"/>
      <c r="C55" s="33" t="str">
        <f aca="false">IFERROR(INDEX(Customers!$C$4:$C$1003,MATCH($B55,Customers!$A$4:$A$1003,0)),"")</f>
        <v/>
      </c>
      <c r="D55" s="29"/>
      <c r="E55" s="31" t="str">
        <f aca="false">IFERROR(INDEX(Customers!$F$4:$F$1003,MATCH($B55,Customers!$A$4:$A$1003,0)),"")</f>
        <v/>
      </c>
      <c r="F55" s="28"/>
      <c r="G55" s="34" t="str">
        <f aca="false">IFERROR(INDEX(Customers!$L$4:$L$1003,MATCH($B55,Customers!$A$4:$A$1003,0)),"")</f>
        <v/>
      </c>
      <c r="H55" s="34" t="str">
        <f aca="false">IF($G55="","",$G55*Settings!$B$9)</f>
        <v/>
      </c>
      <c r="I55" s="34" t="str">
        <f aca="false">IF($G55="","",$G55*Settings!$B$10)</f>
        <v/>
      </c>
      <c r="J55" s="34" t="str">
        <f aca="false">IF($G55="","",$G55*Settings!$B$11)</f>
        <v/>
      </c>
      <c r="K55" s="34" t="str">
        <f aca="false">IF($G55="","",$G55*Settings!$B$12)</f>
        <v/>
      </c>
      <c r="L55" s="34" t="str">
        <f aca="false">IF($G55="","",SUM($H55:$K55))</f>
        <v/>
      </c>
      <c r="M55" s="31" t="str">
        <f aca="false">IF($G55="","",IF(ROUND($L55,2)=ROUND($G55,2),"OK","MISMATCH"))</f>
        <v/>
      </c>
      <c r="N55" s="28"/>
      <c r="O55" s="27"/>
      <c r="P55" s="36" t="str">
        <f aca="false">IF($D55="","",EDATE($D55,12))</f>
        <v/>
      </c>
      <c r="Q55" s="32"/>
    </row>
    <row r="56" customFormat="false" ht="15.75" hidden="false" customHeight="true" outlineLevel="0" collapsed="false">
      <c r="A56" s="27"/>
      <c r="B56" s="27"/>
      <c r="C56" s="33" t="str">
        <f aca="false">IFERROR(INDEX(Customers!$C$4:$C$1003,MATCH($B56,Customers!$A$4:$A$1003,0)),"")</f>
        <v/>
      </c>
      <c r="D56" s="29"/>
      <c r="E56" s="31" t="str">
        <f aca="false">IFERROR(INDEX(Customers!$F$4:$F$1003,MATCH($B56,Customers!$A$4:$A$1003,0)),"")</f>
        <v/>
      </c>
      <c r="F56" s="28"/>
      <c r="G56" s="34" t="str">
        <f aca="false">IFERROR(INDEX(Customers!$L$4:$L$1003,MATCH($B56,Customers!$A$4:$A$1003,0)),"")</f>
        <v/>
      </c>
      <c r="H56" s="34" t="str">
        <f aca="false">IF($G56="","",$G56*Settings!$B$9)</f>
        <v/>
      </c>
      <c r="I56" s="34" t="str">
        <f aca="false">IF($G56="","",$G56*Settings!$B$10)</f>
        <v/>
      </c>
      <c r="J56" s="34" t="str">
        <f aca="false">IF($G56="","",$G56*Settings!$B$11)</f>
        <v/>
      </c>
      <c r="K56" s="34" t="str">
        <f aca="false">IF($G56="","",$G56*Settings!$B$12)</f>
        <v/>
      </c>
      <c r="L56" s="34" t="str">
        <f aca="false">IF($G56="","",SUM($H56:$K56))</f>
        <v/>
      </c>
      <c r="M56" s="31" t="str">
        <f aca="false">IF($G56="","",IF(ROUND($L56,2)=ROUND($G56,2),"OK","MISMATCH"))</f>
        <v/>
      </c>
      <c r="N56" s="28"/>
      <c r="O56" s="27"/>
      <c r="P56" s="36" t="str">
        <f aca="false">IF($D56="","",EDATE($D56,12))</f>
        <v/>
      </c>
      <c r="Q56" s="32"/>
    </row>
    <row r="57" customFormat="false" ht="15.75" hidden="false" customHeight="true" outlineLevel="0" collapsed="false">
      <c r="A57" s="27"/>
      <c r="B57" s="27"/>
      <c r="C57" s="33" t="str">
        <f aca="false">IFERROR(INDEX(Customers!$C$4:$C$1003,MATCH($B57,Customers!$A$4:$A$1003,0)),"")</f>
        <v/>
      </c>
      <c r="D57" s="29"/>
      <c r="E57" s="31" t="str">
        <f aca="false">IFERROR(INDEX(Customers!$F$4:$F$1003,MATCH($B57,Customers!$A$4:$A$1003,0)),"")</f>
        <v/>
      </c>
      <c r="F57" s="28"/>
      <c r="G57" s="34" t="str">
        <f aca="false">IFERROR(INDEX(Customers!$L$4:$L$1003,MATCH($B57,Customers!$A$4:$A$1003,0)),"")</f>
        <v/>
      </c>
      <c r="H57" s="34" t="str">
        <f aca="false">IF($G57="","",$G57*Settings!$B$9)</f>
        <v/>
      </c>
      <c r="I57" s="34" t="str">
        <f aca="false">IF($G57="","",$G57*Settings!$B$10)</f>
        <v/>
      </c>
      <c r="J57" s="34" t="str">
        <f aca="false">IF($G57="","",$G57*Settings!$B$11)</f>
        <v/>
      </c>
      <c r="K57" s="34" t="str">
        <f aca="false">IF($G57="","",$G57*Settings!$B$12)</f>
        <v/>
      </c>
      <c r="L57" s="34" t="str">
        <f aca="false">IF($G57="","",SUM($H57:$K57))</f>
        <v/>
      </c>
      <c r="M57" s="31" t="str">
        <f aca="false">IF($G57="","",IF(ROUND($L57,2)=ROUND($G57,2),"OK","MISMATCH"))</f>
        <v/>
      </c>
      <c r="N57" s="28"/>
      <c r="O57" s="27"/>
      <c r="P57" s="36" t="str">
        <f aca="false">IF($D57="","",EDATE($D57,12))</f>
        <v/>
      </c>
      <c r="Q57" s="32"/>
    </row>
    <row r="58" customFormat="false" ht="15.75" hidden="false" customHeight="true" outlineLevel="0" collapsed="false">
      <c r="A58" s="27"/>
      <c r="B58" s="27"/>
      <c r="C58" s="33" t="str">
        <f aca="false">IFERROR(INDEX(Customers!$C$4:$C$1003,MATCH($B58,Customers!$A$4:$A$1003,0)),"")</f>
        <v/>
      </c>
      <c r="D58" s="29"/>
      <c r="E58" s="31" t="str">
        <f aca="false">IFERROR(INDEX(Customers!$F$4:$F$1003,MATCH($B58,Customers!$A$4:$A$1003,0)),"")</f>
        <v/>
      </c>
      <c r="F58" s="28"/>
      <c r="G58" s="34" t="str">
        <f aca="false">IFERROR(INDEX(Customers!$L$4:$L$1003,MATCH($B58,Customers!$A$4:$A$1003,0)),"")</f>
        <v/>
      </c>
      <c r="H58" s="34" t="str">
        <f aca="false">IF($G58="","",$G58*Settings!$B$9)</f>
        <v/>
      </c>
      <c r="I58" s="34" t="str">
        <f aca="false">IF($G58="","",$G58*Settings!$B$10)</f>
        <v/>
      </c>
      <c r="J58" s="34" t="str">
        <f aca="false">IF($G58="","",$G58*Settings!$B$11)</f>
        <v/>
      </c>
      <c r="K58" s="34" t="str">
        <f aca="false">IF($G58="","",$G58*Settings!$B$12)</f>
        <v/>
      </c>
      <c r="L58" s="34" t="str">
        <f aca="false">IF($G58="","",SUM($H58:$K58))</f>
        <v/>
      </c>
      <c r="M58" s="31" t="str">
        <f aca="false">IF($G58="","",IF(ROUND($L58,2)=ROUND($G58,2),"OK","MISMATCH"))</f>
        <v/>
      </c>
      <c r="N58" s="28"/>
      <c r="O58" s="27"/>
      <c r="P58" s="36" t="str">
        <f aca="false">IF($D58="","",EDATE($D58,12))</f>
        <v/>
      </c>
      <c r="Q58" s="32"/>
    </row>
    <row r="59" customFormat="false" ht="15.75" hidden="false" customHeight="true" outlineLevel="0" collapsed="false">
      <c r="A59" s="27"/>
      <c r="B59" s="27"/>
      <c r="C59" s="33" t="str">
        <f aca="false">IFERROR(INDEX(Customers!$C$4:$C$1003,MATCH($B59,Customers!$A$4:$A$1003,0)),"")</f>
        <v/>
      </c>
      <c r="D59" s="29"/>
      <c r="E59" s="31" t="str">
        <f aca="false">IFERROR(INDEX(Customers!$F$4:$F$1003,MATCH($B59,Customers!$A$4:$A$1003,0)),"")</f>
        <v/>
      </c>
      <c r="F59" s="28"/>
      <c r="G59" s="34" t="str">
        <f aca="false">IFERROR(INDEX(Customers!$L$4:$L$1003,MATCH($B59,Customers!$A$4:$A$1003,0)),"")</f>
        <v/>
      </c>
      <c r="H59" s="34" t="str">
        <f aca="false">IF($G59="","",$G59*Settings!$B$9)</f>
        <v/>
      </c>
      <c r="I59" s="34" t="str">
        <f aca="false">IF($G59="","",$G59*Settings!$B$10)</f>
        <v/>
      </c>
      <c r="J59" s="34" t="str">
        <f aca="false">IF($G59="","",$G59*Settings!$B$11)</f>
        <v/>
      </c>
      <c r="K59" s="34" t="str">
        <f aca="false">IF($G59="","",$G59*Settings!$B$12)</f>
        <v/>
      </c>
      <c r="L59" s="34" t="str">
        <f aca="false">IF($G59="","",SUM($H59:$K59))</f>
        <v/>
      </c>
      <c r="M59" s="31" t="str">
        <f aca="false">IF($G59="","",IF(ROUND($L59,2)=ROUND($G59,2),"OK","MISMATCH"))</f>
        <v/>
      </c>
      <c r="N59" s="28"/>
      <c r="O59" s="27"/>
      <c r="P59" s="36" t="str">
        <f aca="false">IF($D59="","",EDATE($D59,12))</f>
        <v/>
      </c>
      <c r="Q59" s="32"/>
    </row>
    <row r="60" customFormat="false" ht="15.75" hidden="false" customHeight="true" outlineLevel="0" collapsed="false">
      <c r="A60" s="27"/>
      <c r="B60" s="27"/>
      <c r="C60" s="33" t="str">
        <f aca="false">IFERROR(INDEX(Customers!$C$4:$C$1003,MATCH($B60,Customers!$A$4:$A$1003,0)),"")</f>
        <v/>
      </c>
      <c r="D60" s="29"/>
      <c r="E60" s="31" t="str">
        <f aca="false">IFERROR(INDEX(Customers!$F$4:$F$1003,MATCH($B60,Customers!$A$4:$A$1003,0)),"")</f>
        <v/>
      </c>
      <c r="F60" s="28"/>
      <c r="G60" s="34" t="str">
        <f aca="false">IFERROR(INDEX(Customers!$L$4:$L$1003,MATCH($B60,Customers!$A$4:$A$1003,0)),"")</f>
        <v/>
      </c>
      <c r="H60" s="34" t="str">
        <f aca="false">IF($G60="","",$G60*Settings!$B$9)</f>
        <v/>
      </c>
      <c r="I60" s="34" t="str">
        <f aca="false">IF($G60="","",$G60*Settings!$B$10)</f>
        <v/>
      </c>
      <c r="J60" s="34" t="str">
        <f aca="false">IF($G60="","",$G60*Settings!$B$11)</f>
        <v/>
      </c>
      <c r="K60" s="34" t="str">
        <f aca="false">IF($G60="","",$G60*Settings!$B$12)</f>
        <v/>
      </c>
      <c r="L60" s="34" t="str">
        <f aca="false">IF($G60="","",SUM($H60:$K60))</f>
        <v/>
      </c>
      <c r="M60" s="31" t="str">
        <f aca="false">IF($G60="","",IF(ROUND($L60,2)=ROUND($G60,2),"OK","MISMATCH"))</f>
        <v/>
      </c>
      <c r="N60" s="28"/>
      <c r="O60" s="27"/>
      <c r="P60" s="36" t="str">
        <f aca="false">IF($D60="","",EDATE($D60,12))</f>
        <v/>
      </c>
      <c r="Q60" s="32"/>
    </row>
    <row r="61" customFormat="false" ht="15.75" hidden="false" customHeight="true" outlineLevel="0" collapsed="false">
      <c r="A61" s="27"/>
      <c r="B61" s="27"/>
      <c r="C61" s="33" t="str">
        <f aca="false">IFERROR(INDEX(Customers!$C$4:$C$1003,MATCH($B61,Customers!$A$4:$A$1003,0)),"")</f>
        <v/>
      </c>
      <c r="D61" s="29"/>
      <c r="E61" s="31" t="str">
        <f aca="false">IFERROR(INDEX(Customers!$F$4:$F$1003,MATCH($B61,Customers!$A$4:$A$1003,0)),"")</f>
        <v/>
      </c>
      <c r="F61" s="28"/>
      <c r="G61" s="34" t="str">
        <f aca="false">IFERROR(INDEX(Customers!$L$4:$L$1003,MATCH($B61,Customers!$A$4:$A$1003,0)),"")</f>
        <v/>
      </c>
      <c r="H61" s="34" t="str">
        <f aca="false">IF($G61="","",$G61*Settings!$B$9)</f>
        <v/>
      </c>
      <c r="I61" s="34" t="str">
        <f aca="false">IF($G61="","",$G61*Settings!$B$10)</f>
        <v/>
      </c>
      <c r="J61" s="34" t="str">
        <f aca="false">IF($G61="","",$G61*Settings!$B$11)</f>
        <v/>
      </c>
      <c r="K61" s="34" t="str">
        <f aca="false">IF($G61="","",$G61*Settings!$B$12)</f>
        <v/>
      </c>
      <c r="L61" s="34" t="str">
        <f aca="false">IF($G61="","",SUM($H61:$K61))</f>
        <v/>
      </c>
      <c r="M61" s="31" t="str">
        <f aca="false">IF($G61="","",IF(ROUND($L61,2)=ROUND($G61,2),"OK","MISMATCH"))</f>
        <v/>
      </c>
      <c r="N61" s="28"/>
      <c r="O61" s="27"/>
      <c r="P61" s="36" t="str">
        <f aca="false">IF($D61="","",EDATE($D61,12))</f>
        <v/>
      </c>
      <c r="Q61" s="32"/>
    </row>
    <row r="62" customFormat="false" ht="15.75" hidden="false" customHeight="true" outlineLevel="0" collapsed="false">
      <c r="A62" s="27"/>
      <c r="B62" s="27"/>
      <c r="C62" s="33" t="str">
        <f aca="false">IFERROR(INDEX(Customers!$C$4:$C$1003,MATCH($B62,Customers!$A$4:$A$1003,0)),"")</f>
        <v/>
      </c>
      <c r="D62" s="29"/>
      <c r="E62" s="31" t="str">
        <f aca="false">IFERROR(INDEX(Customers!$F$4:$F$1003,MATCH($B62,Customers!$A$4:$A$1003,0)),"")</f>
        <v/>
      </c>
      <c r="F62" s="28"/>
      <c r="G62" s="34" t="str">
        <f aca="false">IFERROR(INDEX(Customers!$L$4:$L$1003,MATCH($B62,Customers!$A$4:$A$1003,0)),"")</f>
        <v/>
      </c>
      <c r="H62" s="34" t="str">
        <f aca="false">IF($G62="","",$G62*Settings!$B$9)</f>
        <v/>
      </c>
      <c r="I62" s="34" t="str">
        <f aca="false">IF($G62="","",$G62*Settings!$B$10)</f>
        <v/>
      </c>
      <c r="J62" s="34" t="str">
        <f aca="false">IF($G62="","",$G62*Settings!$B$11)</f>
        <v/>
      </c>
      <c r="K62" s="34" t="str">
        <f aca="false">IF($G62="","",$G62*Settings!$B$12)</f>
        <v/>
      </c>
      <c r="L62" s="34" t="str">
        <f aca="false">IF($G62="","",SUM($H62:$K62))</f>
        <v/>
      </c>
      <c r="M62" s="31" t="str">
        <f aca="false">IF($G62="","",IF(ROUND($L62,2)=ROUND($G62,2),"OK","MISMATCH"))</f>
        <v/>
      </c>
      <c r="N62" s="28"/>
      <c r="O62" s="27"/>
      <c r="P62" s="36" t="str">
        <f aca="false">IF($D62="","",EDATE($D62,12))</f>
        <v/>
      </c>
      <c r="Q62" s="32"/>
    </row>
    <row r="63" customFormat="false" ht="15.75" hidden="false" customHeight="true" outlineLevel="0" collapsed="false">
      <c r="A63" s="27"/>
      <c r="B63" s="27"/>
      <c r="C63" s="33" t="str">
        <f aca="false">IFERROR(INDEX(Customers!$C$4:$C$1003,MATCH($B63,Customers!$A$4:$A$1003,0)),"")</f>
        <v/>
      </c>
      <c r="D63" s="29"/>
      <c r="E63" s="31" t="str">
        <f aca="false">IFERROR(INDEX(Customers!$F$4:$F$1003,MATCH($B63,Customers!$A$4:$A$1003,0)),"")</f>
        <v/>
      </c>
      <c r="F63" s="28"/>
      <c r="G63" s="34" t="str">
        <f aca="false">IFERROR(INDEX(Customers!$L$4:$L$1003,MATCH($B63,Customers!$A$4:$A$1003,0)),"")</f>
        <v/>
      </c>
      <c r="H63" s="34" t="str">
        <f aca="false">IF($G63="","",$G63*Settings!$B$9)</f>
        <v/>
      </c>
      <c r="I63" s="34" t="str">
        <f aca="false">IF($G63="","",$G63*Settings!$B$10)</f>
        <v/>
      </c>
      <c r="J63" s="34" t="str">
        <f aca="false">IF($G63="","",$G63*Settings!$B$11)</f>
        <v/>
      </c>
      <c r="K63" s="34" t="str">
        <f aca="false">IF($G63="","",$G63*Settings!$B$12)</f>
        <v/>
      </c>
      <c r="L63" s="34" t="str">
        <f aca="false">IF($G63="","",SUM($H63:$K63))</f>
        <v/>
      </c>
      <c r="M63" s="31" t="str">
        <f aca="false">IF($G63="","",IF(ROUND($L63,2)=ROUND($G63,2),"OK","MISMATCH"))</f>
        <v/>
      </c>
      <c r="N63" s="28"/>
      <c r="O63" s="27"/>
      <c r="P63" s="36" t="str">
        <f aca="false">IF($D63="","",EDATE($D63,12))</f>
        <v/>
      </c>
      <c r="Q63" s="32"/>
    </row>
    <row r="64" customFormat="false" ht="15.75" hidden="false" customHeight="true" outlineLevel="0" collapsed="false">
      <c r="A64" s="27"/>
      <c r="B64" s="27"/>
      <c r="C64" s="33" t="str">
        <f aca="false">IFERROR(INDEX(Customers!$C$4:$C$1003,MATCH($B64,Customers!$A$4:$A$1003,0)),"")</f>
        <v/>
      </c>
      <c r="D64" s="29"/>
      <c r="E64" s="31" t="str">
        <f aca="false">IFERROR(INDEX(Customers!$F$4:$F$1003,MATCH($B64,Customers!$A$4:$A$1003,0)),"")</f>
        <v/>
      </c>
      <c r="F64" s="28"/>
      <c r="G64" s="34" t="str">
        <f aca="false">IFERROR(INDEX(Customers!$L$4:$L$1003,MATCH($B64,Customers!$A$4:$A$1003,0)),"")</f>
        <v/>
      </c>
      <c r="H64" s="34" t="str">
        <f aca="false">IF($G64="","",$G64*Settings!$B$9)</f>
        <v/>
      </c>
      <c r="I64" s="34" t="str">
        <f aca="false">IF($G64="","",$G64*Settings!$B$10)</f>
        <v/>
      </c>
      <c r="J64" s="34" t="str">
        <f aca="false">IF($G64="","",$G64*Settings!$B$11)</f>
        <v/>
      </c>
      <c r="K64" s="34" t="str">
        <f aca="false">IF($G64="","",$G64*Settings!$B$12)</f>
        <v/>
      </c>
      <c r="L64" s="34" t="str">
        <f aca="false">IF($G64="","",SUM($H64:$K64))</f>
        <v/>
      </c>
      <c r="M64" s="31" t="str">
        <f aca="false">IF($G64="","",IF(ROUND($L64,2)=ROUND($G64,2),"OK","MISMATCH"))</f>
        <v/>
      </c>
      <c r="N64" s="28"/>
      <c r="O64" s="27"/>
      <c r="P64" s="36" t="str">
        <f aca="false">IF($D64="","",EDATE($D64,12))</f>
        <v/>
      </c>
      <c r="Q64" s="32"/>
    </row>
    <row r="65" customFormat="false" ht="15.75" hidden="false" customHeight="true" outlineLevel="0" collapsed="false">
      <c r="A65" s="27"/>
      <c r="B65" s="27"/>
      <c r="C65" s="33" t="str">
        <f aca="false">IFERROR(INDEX(Customers!$C$4:$C$1003,MATCH($B65,Customers!$A$4:$A$1003,0)),"")</f>
        <v/>
      </c>
      <c r="D65" s="29"/>
      <c r="E65" s="31" t="str">
        <f aca="false">IFERROR(INDEX(Customers!$F$4:$F$1003,MATCH($B65,Customers!$A$4:$A$1003,0)),"")</f>
        <v/>
      </c>
      <c r="F65" s="28"/>
      <c r="G65" s="34" t="str">
        <f aca="false">IFERROR(INDEX(Customers!$L$4:$L$1003,MATCH($B65,Customers!$A$4:$A$1003,0)),"")</f>
        <v/>
      </c>
      <c r="H65" s="34" t="str">
        <f aca="false">IF($G65="","",$G65*Settings!$B$9)</f>
        <v/>
      </c>
      <c r="I65" s="34" t="str">
        <f aca="false">IF($G65="","",$G65*Settings!$B$10)</f>
        <v/>
      </c>
      <c r="J65" s="34" t="str">
        <f aca="false">IF($G65="","",$G65*Settings!$B$11)</f>
        <v/>
      </c>
      <c r="K65" s="34" t="str">
        <f aca="false">IF($G65="","",$G65*Settings!$B$12)</f>
        <v/>
      </c>
      <c r="L65" s="34" t="str">
        <f aca="false">IF($G65="","",SUM($H65:$K65))</f>
        <v/>
      </c>
      <c r="M65" s="31" t="str">
        <f aca="false">IF($G65="","",IF(ROUND($L65,2)=ROUND($G65,2),"OK","MISMATCH"))</f>
        <v/>
      </c>
      <c r="N65" s="28"/>
      <c r="O65" s="27"/>
      <c r="P65" s="36" t="str">
        <f aca="false">IF($D65="","",EDATE($D65,12))</f>
        <v/>
      </c>
      <c r="Q65" s="32"/>
    </row>
    <row r="66" customFormat="false" ht="15.75" hidden="false" customHeight="true" outlineLevel="0" collapsed="false">
      <c r="A66" s="27"/>
      <c r="B66" s="27"/>
      <c r="C66" s="33" t="str">
        <f aca="false">IFERROR(INDEX(Customers!$C$4:$C$1003,MATCH($B66,Customers!$A$4:$A$1003,0)),"")</f>
        <v/>
      </c>
      <c r="D66" s="29"/>
      <c r="E66" s="31" t="str">
        <f aca="false">IFERROR(INDEX(Customers!$F$4:$F$1003,MATCH($B66,Customers!$A$4:$A$1003,0)),"")</f>
        <v/>
      </c>
      <c r="F66" s="28"/>
      <c r="G66" s="34" t="str">
        <f aca="false">IFERROR(INDEX(Customers!$L$4:$L$1003,MATCH($B66,Customers!$A$4:$A$1003,0)),"")</f>
        <v/>
      </c>
      <c r="H66" s="34" t="str">
        <f aca="false">IF($G66="","",$G66*Settings!$B$9)</f>
        <v/>
      </c>
      <c r="I66" s="34" t="str">
        <f aca="false">IF($G66="","",$G66*Settings!$B$10)</f>
        <v/>
      </c>
      <c r="J66" s="34" t="str">
        <f aca="false">IF($G66="","",$G66*Settings!$B$11)</f>
        <v/>
      </c>
      <c r="K66" s="34" t="str">
        <f aca="false">IF($G66="","",$G66*Settings!$B$12)</f>
        <v/>
      </c>
      <c r="L66" s="34" t="str">
        <f aca="false">IF($G66="","",SUM($H66:$K66))</f>
        <v/>
      </c>
      <c r="M66" s="31" t="str">
        <f aca="false">IF($G66="","",IF(ROUND($L66,2)=ROUND($G66,2),"OK","MISMATCH"))</f>
        <v/>
      </c>
      <c r="N66" s="28"/>
      <c r="O66" s="27"/>
      <c r="P66" s="36" t="str">
        <f aca="false">IF($D66="","",EDATE($D66,12))</f>
        <v/>
      </c>
      <c r="Q66" s="32"/>
    </row>
    <row r="67" customFormat="false" ht="15.75" hidden="false" customHeight="true" outlineLevel="0" collapsed="false">
      <c r="A67" s="27"/>
      <c r="B67" s="27"/>
      <c r="C67" s="33" t="str">
        <f aca="false">IFERROR(INDEX(Customers!$C$4:$C$1003,MATCH($B67,Customers!$A$4:$A$1003,0)),"")</f>
        <v/>
      </c>
      <c r="D67" s="29"/>
      <c r="E67" s="31" t="str">
        <f aca="false">IFERROR(INDEX(Customers!$F$4:$F$1003,MATCH($B67,Customers!$A$4:$A$1003,0)),"")</f>
        <v/>
      </c>
      <c r="F67" s="28"/>
      <c r="G67" s="34" t="str">
        <f aca="false">IFERROR(INDEX(Customers!$L$4:$L$1003,MATCH($B67,Customers!$A$4:$A$1003,0)),"")</f>
        <v/>
      </c>
      <c r="H67" s="34" t="str">
        <f aca="false">IF($G67="","",$G67*Settings!$B$9)</f>
        <v/>
      </c>
      <c r="I67" s="34" t="str">
        <f aca="false">IF($G67="","",$G67*Settings!$B$10)</f>
        <v/>
      </c>
      <c r="J67" s="34" t="str">
        <f aca="false">IF($G67="","",$G67*Settings!$B$11)</f>
        <v/>
      </c>
      <c r="K67" s="34" t="str">
        <f aca="false">IF($G67="","",$G67*Settings!$B$12)</f>
        <v/>
      </c>
      <c r="L67" s="34" t="str">
        <f aca="false">IF($G67="","",SUM($H67:$K67))</f>
        <v/>
      </c>
      <c r="M67" s="31" t="str">
        <f aca="false">IF($G67="","",IF(ROUND($L67,2)=ROUND($G67,2),"OK","MISMATCH"))</f>
        <v/>
      </c>
      <c r="N67" s="28"/>
      <c r="O67" s="27"/>
      <c r="P67" s="36" t="str">
        <f aca="false">IF($D67="","",EDATE($D67,12))</f>
        <v/>
      </c>
      <c r="Q67" s="32"/>
    </row>
    <row r="68" customFormat="false" ht="15.75" hidden="false" customHeight="true" outlineLevel="0" collapsed="false">
      <c r="A68" s="27"/>
      <c r="B68" s="27"/>
      <c r="C68" s="33" t="str">
        <f aca="false">IFERROR(INDEX(Customers!$C$4:$C$1003,MATCH($B68,Customers!$A$4:$A$1003,0)),"")</f>
        <v/>
      </c>
      <c r="D68" s="29"/>
      <c r="E68" s="31" t="str">
        <f aca="false">IFERROR(INDEX(Customers!$F$4:$F$1003,MATCH($B68,Customers!$A$4:$A$1003,0)),"")</f>
        <v/>
      </c>
      <c r="F68" s="28"/>
      <c r="G68" s="34" t="str">
        <f aca="false">IFERROR(INDEX(Customers!$L$4:$L$1003,MATCH($B68,Customers!$A$4:$A$1003,0)),"")</f>
        <v/>
      </c>
      <c r="H68" s="34" t="str">
        <f aca="false">IF($G68="","",$G68*Settings!$B$9)</f>
        <v/>
      </c>
      <c r="I68" s="34" t="str">
        <f aca="false">IF($G68="","",$G68*Settings!$B$10)</f>
        <v/>
      </c>
      <c r="J68" s="34" t="str">
        <f aca="false">IF($G68="","",$G68*Settings!$B$11)</f>
        <v/>
      </c>
      <c r="K68" s="34" t="str">
        <f aca="false">IF($G68="","",$G68*Settings!$B$12)</f>
        <v/>
      </c>
      <c r="L68" s="34" t="str">
        <f aca="false">IF($G68="","",SUM($H68:$K68))</f>
        <v/>
      </c>
      <c r="M68" s="31" t="str">
        <f aca="false">IF($G68="","",IF(ROUND($L68,2)=ROUND($G68,2),"OK","MISMATCH"))</f>
        <v/>
      </c>
      <c r="N68" s="28"/>
      <c r="O68" s="27"/>
      <c r="P68" s="36" t="str">
        <f aca="false">IF($D68="","",EDATE($D68,12))</f>
        <v/>
      </c>
      <c r="Q68" s="32"/>
    </row>
    <row r="69" customFormat="false" ht="15.75" hidden="false" customHeight="true" outlineLevel="0" collapsed="false">
      <c r="A69" s="27"/>
      <c r="B69" s="27"/>
      <c r="C69" s="33" t="str">
        <f aca="false">IFERROR(INDEX(Customers!$C$4:$C$1003,MATCH($B69,Customers!$A$4:$A$1003,0)),"")</f>
        <v/>
      </c>
      <c r="D69" s="29"/>
      <c r="E69" s="31" t="str">
        <f aca="false">IFERROR(INDEX(Customers!$F$4:$F$1003,MATCH($B69,Customers!$A$4:$A$1003,0)),"")</f>
        <v/>
      </c>
      <c r="F69" s="28"/>
      <c r="G69" s="34" t="str">
        <f aca="false">IFERROR(INDEX(Customers!$L$4:$L$1003,MATCH($B69,Customers!$A$4:$A$1003,0)),"")</f>
        <v/>
      </c>
      <c r="H69" s="34" t="str">
        <f aca="false">IF($G69="","",$G69*Settings!$B$9)</f>
        <v/>
      </c>
      <c r="I69" s="34" t="str">
        <f aca="false">IF($G69="","",$G69*Settings!$B$10)</f>
        <v/>
      </c>
      <c r="J69" s="34" t="str">
        <f aca="false">IF($G69="","",$G69*Settings!$B$11)</f>
        <v/>
      </c>
      <c r="K69" s="34" t="str">
        <f aca="false">IF($G69="","",$G69*Settings!$B$12)</f>
        <v/>
      </c>
      <c r="L69" s="34" t="str">
        <f aca="false">IF($G69="","",SUM($H69:$K69))</f>
        <v/>
      </c>
      <c r="M69" s="31" t="str">
        <f aca="false">IF($G69="","",IF(ROUND($L69,2)=ROUND($G69,2),"OK","MISMATCH"))</f>
        <v/>
      </c>
      <c r="N69" s="28"/>
      <c r="O69" s="27"/>
      <c r="P69" s="36" t="str">
        <f aca="false">IF($D69="","",EDATE($D69,12))</f>
        <v/>
      </c>
      <c r="Q69" s="32"/>
    </row>
    <row r="70" customFormat="false" ht="15.75" hidden="false" customHeight="true" outlineLevel="0" collapsed="false">
      <c r="A70" s="27"/>
      <c r="B70" s="27"/>
      <c r="C70" s="33" t="str">
        <f aca="false">IFERROR(INDEX(Customers!$C$4:$C$1003,MATCH($B70,Customers!$A$4:$A$1003,0)),"")</f>
        <v/>
      </c>
      <c r="D70" s="29"/>
      <c r="E70" s="31" t="str">
        <f aca="false">IFERROR(INDEX(Customers!$F$4:$F$1003,MATCH($B70,Customers!$A$4:$A$1003,0)),"")</f>
        <v/>
      </c>
      <c r="F70" s="28"/>
      <c r="G70" s="34" t="str">
        <f aca="false">IFERROR(INDEX(Customers!$L$4:$L$1003,MATCH($B70,Customers!$A$4:$A$1003,0)),"")</f>
        <v/>
      </c>
      <c r="H70" s="34" t="str">
        <f aca="false">IF($G70="","",$G70*Settings!$B$9)</f>
        <v/>
      </c>
      <c r="I70" s="34" t="str">
        <f aca="false">IF($G70="","",$G70*Settings!$B$10)</f>
        <v/>
      </c>
      <c r="J70" s="34" t="str">
        <f aca="false">IF($G70="","",$G70*Settings!$B$11)</f>
        <v/>
      </c>
      <c r="K70" s="34" t="str">
        <f aca="false">IF($G70="","",$G70*Settings!$B$12)</f>
        <v/>
      </c>
      <c r="L70" s="34" t="str">
        <f aca="false">IF($G70="","",SUM($H70:$K70))</f>
        <v/>
      </c>
      <c r="M70" s="31" t="str">
        <f aca="false">IF($G70="","",IF(ROUND($L70,2)=ROUND($G70,2),"OK","MISMATCH"))</f>
        <v/>
      </c>
      <c r="N70" s="28"/>
      <c r="O70" s="27"/>
      <c r="P70" s="36" t="str">
        <f aca="false">IF($D70="","",EDATE($D70,12))</f>
        <v/>
      </c>
      <c r="Q70" s="32"/>
    </row>
    <row r="71" customFormat="false" ht="15.75" hidden="false" customHeight="true" outlineLevel="0" collapsed="false">
      <c r="A71" s="27"/>
      <c r="B71" s="27"/>
      <c r="C71" s="33" t="str">
        <f aca="false">IFERROR(INDEX(Customers!$C$4:$C$1003,MATCH($B71,Customers!$A$4:$A$1003,0)),"")</f>
        <v/>
      </c>
      <c r="D71" s="29"/>
      <c r="E71" s="31" t="str">
        <f aca="false">IFERROR(INDEX(Customers!$F$4:$F$1003,MATCH($B71,Customers!$A$4:$A$1003,0)),"")</f>
        <v/>
      </c>
      <c r="F71" s="28"/>
      <c r="G71" s="34" t="str">
        <f aca="false">IFERROR(INDEX(Customers!$L$4:$L$1003,MATCH($B71,Customers!$A$4:$A$1003,0)),"")</f>
        <v/>
      </c>
      <c r="H71" s="34" t="str">
        <f aca="false">IF($G71="","",$G71*Settings!$B$9)</f>
        <v/>
      </c>
      <c r="I71" s="34" t="str">
        <f aca="false">IF($G71="","",$G71*Settings!$B$10)</f>
        <v/>
      </c>
      <c r="J71" s="34" t="str">
        <f aca="false">IF($G71="","",$G71*Settings!$B$11)</f>
        <v/>
      </c>
      <c r="K71" s="34" t="str">
        <f aca="false">IF($G71="","",$G71*Settings!$B$12)</f>
        <v/>
      </c>
      <c r="L71" s="34" t="str">
        <f aca="false">IF($G71="","",SUM($H71:$K71))</f>
        <v/>
      </c>
      <c r="M71" s="31" t="str">
        <f aca="false">IF($G71="","",IF(ROUND($L71,2)=ROUND($G71,2),"OK","MISMATCH"))</f>
        <v/>
      </c>
      <c r="N71" s="28"/>
      <c r="O71" s="27"/>
      <c r="P71" s="36" t="str">
        <f aca="false">IF($D71="","",EDATE($D71,12))</f>
        <v/>
      </c>
      <c r="Q71" s="32"/>
    </row>
    <row r="72" customFormat="false" ht="15.75" hidden="false" customHeight="true" outlineLevel="0" collapsed="false">
      <c r="A72" s="27"/>
      <c r="B72" s="27"/>
      <c r="C72" s="33" t="str">
        <f aca="false">IFERROR(INDEX(Customers!$C$4:$C$1003,MATCH($B72,Customers!$A$4:$A$1003,0)),"")</f>
        <v/>
      </c>
      <c r="D72" s="29"/>
      <c r="E72" s="31" t="str">
        <f aca="false">IFERROR(INDEX(Customers!$F$4:$F$1003,MATCH($B72,Customers!$A$4:$A$1003,0)),"")</f>
        <v/>
      </c>
      <c r="F72" s="28"/>
      <c r="G72" s="34" t="str">
        <f aca="false">IFERROR(INDEX(Customers!$L$4:$L$1003,MATCH($B72,Customers!$A$4:$A$1003,0)),"")</f>
        <v/>
      </c>
      <c r="H72" s="34" t="str">
        <f aca="false">IF($G72="","",$G72*Settings!$B$9)</f>
        <v/>
      </c>
      <c r="I72" s="34" t="str">
        <f aca="false">IF($G72="","",$G72*Settings!$B$10)</f>
        <v/>
      </c>
      <c r="J72" s="34" t="str">
        <f aca="false">IF($G72="","",$G72*Settings!$B$11)</f>
        <v/>
      </c>
      <c r="K72" s="34" t="str">
        <f aca="false">IF($G72="","",$G72*Settings!$B$12)</f>
        <v/>
      </c>
      <c r="L72" s="34" t="str">
        <f aca="false">IF($G72="","",SUM($H72:$K72))</f>
        <v/>
      </c>
      <c r="M72" s="31" t="str">
        <f aca="false">IF($G72="","",IF(ROUND($L72,2)=ROUND($G72,2),"OK","MISMATCH"))</f>
        <v/>
      </c>
      <c r="N72" s="28"/>
      <c r="O72" s="27"/>
      <c r="P72" s="36" t="str">
        <f aca="false">IF($D72="","",EDATE($D72,12))</f>
        <v/>
      </c>
      <c r="Q72" s="32"/>
    </row>
    <row r="73" customFormat="false" ht="15.75" hidden="false" customHeight="true" outlineLevel="0" collapsed="false">
      <c r="A73" s="27"/>
      <c r="B73" s="27"/>
      <c r="C73" s="33" t="str">
        <f aca="false">IFERROR(INDEX(Customers!$C$4:$C$1003,MATCH($B73,Customers!$A$4:$A$1003,0)),"")</f>
        <v/>
      </c>
      <c r="D73" s="29"/>
      <c r="E73" s="31" t="str">
        <f aca="false">IFERROR(INDEX(Customers!$F$4:$F$1003,MATCH($B73,Customers!$A$4:$A$1003,0)),"")</f>
        <v/>
      </c>
      <c r="F73" s="28"/>
      <c r="G73" s="34" t="str">
        <f aca="false">IFERROR(INDEX(Customers!$L$4:$L$1003,MATCH($B73,Customers!$A$4:$A$1003,0)),"")</f>
        <v/>
      </c>
      <c r="H73" s="34" t="str">
        <f aca="false">IF($G73="","",$G73*Settings!$B$9)</f>
        <v/>
      </c>
      <c r="I73" s="34" t="str">
        <f aca="false">IF($G73="","",$G73*Settings!$B$10)</f>
        <v/>
      </c>
      <c r="J73" s="34" t="str">
        <f aca="false">IF($G73="","",$G73*Settings!$B$11)</f>
        <v/>
      </c>
      <c r="K73" s="34" t="str">
        <f aca="false">IF($G73="","",$G73*Settings!$B$12)</f>
        <v/>
      </c>
      <c r="L73" s="34" t="str">
        <f aca="false">IF($G73="","",SUM($H73:$K73))</f>
        <v/>
      </c>
      <c r="M73" s="31" t="str">
        <f aca="false">IF($G73="","",IF(ROUND($L73,2)=ROUND($G73,2),"OK","MISMATCH"))</f>
        <v/>
      </c>
      <c r="N73" s="28"/>
      <c r="O73" s="27"/>
      <c r="P73" s="36" t="str">
        <f aca="false">IF($D73="","",EDATE($D73,12))</f>
        <v/>
      </c>
      <c r="Q73" s="32"/>
    </row>
    <row r="74" customFormat="false" ht="15.75" hidden="false" customHeight="true" outlineLevel="0" collapsed="false">
      <c r="A74" s="27"/>
      <c r="B74" s="27"/>
      <c r="C74" s="33" t="str">
        <f aca="false">IFERROR(INDEX(Customers!$C$4:$C$1003,MATCH($B74,Customers!$A$4:$A$1003,0)),"")</f>
        <v/>
      </c>
      <c r="D74" s="29"/>
      <c r="E74" s="31" t="str">
        <f aca="false">IFERROR(INDEX(Customers!$F$4:$F$1003,MATCH($B74,Customers!$A$4:$A$1003,0)),"")</f>
        <v/>
      </c>
      <c r="F74" s="28"/>
      <c r="G74" s="34" t="str">
        <f aca="false">IFERROR(INDEX(Customers!$L$4:$L$1003,MATCH($B74,Customers!$A$4:$A$1003,0)),"")</f>
        <v/>
      </c>
      <c r="H74" s="34" t="str">
        <f aca="false">IF($G74="","",$G74*Settings!$B$9)</f>
        <v/>
      </c>
      <c r="I74" s="34" t="str">
        <f aca="false">IF($G74="","",$G74*Settings!$B$10)</f>
        <v/>
      </c>
      <c r="J74" s="34" t="str">
        <f aca="false">IF($G74="","",$G74*Settings!$B$11)</f>
        <v/>
      </c>
      <c r="K74" s="34" t="str">
        <f aca="false">IF($G74="","",$G74*Settings!$B$12)</f>
        <v/>
      </c>
      <c r="L74" s="34" t="str">
        <f aca="false">IF($G74="","",SUM($H74:$K74))</f>
        <v/>
      </c>
      <c r="M74" s="31" t="str">
        <f aca="false">IF($G74="","",IF(ROUND($L74,2)=ROUND($G74,2),"OK","MISMATCH"))</f>
        <v/>
      </c>
      <c r="N74" s="28"/>
      <c r="O74" s="27"/>
      <c r="P74" s="36" t="str">
        <f aca="false">IF($D74="","",EDATE($D74,12))</f>
        <v/>
      </c>
      <c r="Q74" s="32"/>
    </row>
    <row r="75" customFormat="false" ht="15.75" hidden="false" customHeight="true" outlineLevel="0" collapsed="false">
      <c r="A75" s="27"/>
      <c r="B75" s="27"/>
      <c r="C75" s="33" t="str">
        <f aca="false">IFERROR(INDEX(Customers!$C$4:$C$1003,MATCH($B75,Customers!$A$4:$A$1003,0)),"")</f>
        <v/>
      </c>
      <c r="D75" s="29"/>
      <c r="E75" s="31" t="str">
        <f aca="false">IFERROR(INDEX(Customers!$F$4:$F$1003,MATCH($B75,Customers!$A$4:$A$1003,0)),"")</f>
        <v/>
      </c>
      <c r="F75" s="28"/>
      <c r="G75" s="34" t="str">
        <f aca="false">IFERROR(INDEX(Customers!$L$4:$L$1003,MATCH($B75,Customers!$A$4:$A$1003,0)),"")</f>
        <v/>
      </c>
      <c r="H75" s="34" t="str">
        <f aca="false">IF($G75="","",$G75*Settings!$B$9)</f>
        <v/>
      </c>
      <c r="I75" s="34" t="str">
        <f aca="false">IF($G75="","",$G75*Settings!$B$10)</f>
        <v/>
      </c>
      <c r="J75" s="34" t="str">
        <f aca="false">IF($G75="","",$G75*Settings!$B$11)</f>
        <v/>
      </c>
      <c r="K75" s="34" t="str">
        <f aca="false">IF($G75="","",$G75*Settings!$B$12)</f>
        <v/>
      </c>
      <c r="L75" s="34" t="str">
        <f aca="false">IF($G75="","",SUM($H75:$K75))</f>
        <v/>
      </c>
      <c r="M75" s="31" t="str">
        <f aca="false">IF($G75="","",IF(ROUND($L75,2)=ROUND($G75,2),"OK","MISMATCH"))</f>
        <v/>
      </c>
      <c r="N75" s="28"/>
      <c r="O75" s="27"/>
      <c r="P75" s="36" t="str">
        <f aca="false">IF($D75="","",EDATE($D75,12))</f>
        <v/>
      </c>
      <c r="Q75" s="32"/>
    </row>
    <row r="76" customFormat="false" ht="15.75" hidden="false" customHeight="true" outlineLevel="0" collapsed="false">
      <c r="A76" s="27"/>
      <c r="B76" s="27"/>
      <c r="C76" s="33" t="str">
        <f aca="false">IFERROR(INDEX(Customers!$C$4:$C$1003,MATCH($B76,Customers!$A$4:$A$1003,0)),"")</f>
        <v/>
      </c>
      <c r="D76" s="29"/>
      <c r="E76" s="31" t="str">
        <f aca="false">IFERROR(INDEX(Customers!$F$4:$F$1003,MATCH($B76,Customers!$A$4:$A$1003,0)),"")</f>
        <v/>
      </c>
      <c r="F76" s="28"/>
      <c r="G76" s="34" t="str">
        <f aca="false">IFERROR(INDEX(Customers!$L$4:$L$1003,MATCH($B76,Customers!$A$4:$A$1003,0)),"")</f>
        <v/>
      </c>
      <c r="H76" s="34" t="str">
        <f aca="false">IF($G76="","",$G76*Settings!$B$9)</f>
        <v/>
      </c>
      <c r="I76" s="34" t="str">
        <f aca="false">IF($G76="","",$G76*Settings!$B$10)</f>
        <v/>
      </c>
      <c r="J76" s="34" t="str">
        <f aca="false">IF($G76="","",$G76*Settings!$B$11)</f>
        <v/>
      </c>
      <c r="K76" s="34" t="str">
        <f aca="false">IF($G76="","",$G76*Settings!$B$12)</f>
        <v/>
      </c>
      <c r="L76" s="34" t="str">
        <f aca="false">IF($G76="","",SUM($H76:$K76))</f>
        <v/>
      </c>
      <c r="M76" s="31" t="str">
        <f aca="false">IF($G76="","",IF(ROUND($L76,2)=ROUND($G76,2),"OK","MISMATCH"))</f>
        <v/>
      </c>
      <c r="N76" s="28"/>
      <c r="O76" s="27"/>
      <c r="P76" s="36" t="str">
        <f aca="false">IF($D76="","",EDATE($D76,12))</f>
        <v/>
      </c>
      <c r="Q76" s="32"/>
    </row>
    <row r="77" customFormat="false" ht="15.75" hidden="false" customHeight="true" outlineLevel="0" collapsed="false">
      <c r="A77" s="27"/>
      <c r="B77" s="27"/>
      <c r="C77" s="33" t="str">
        <f aca="false">IFERROR(INDEX(Customers!$C$4:$C$1003,MATCH($B77,Customers!$A$4:$A$1003,0)),"")</f>
        <v/>
      </c>
      <c r="D77" s="29"/>
      <c r="E77" s="31" t="str">
        <f aca="false">IFERROR(INDEX(Customers!$F$4:$F$1003,MATCH($B77,Customers!$A$4:$A$1003,0)),"")</f>
        <v/>
      </c>
      <c r="F77" s="28"/>
      <c r="G77" s="34" t="str">
        <f aca="false">IFERROR(INDEX(Customers!$L$4:$L$1003,MATCH($B77,Customers!$A$4:$A$1003,0)),"")</f>
        <v/>
      </c>
      <c r="H77" s="34" t="str">
        <f aca="false">IF($G77="","",$G77*Settings!$B$9)</f>
        <v/>
      </c>
      <c r="I77" s="34" t="str">
        <f aca="false">IF($G77="","",$G77*Settings!$B$10)</f>
        <v/>
      </c>
      <c r="J77" s="34" t="str">
        <f aca="false">IF($G77="","",$G77*Settings!$B$11)</f>
        <v/>
      </c>
      <c r="K77" s="34" t="str">
        <f aca="false">IF($G77="","",$G77*Settings!$B$12)</f>
        <v/>
      </c>
      <c r="L77" s="34" t="str">
        <f aca="false">IF($G77="","",SUM($H77:$K77))</f>
        <v/>
      </c>
      <c r="M77" s="31" t="str">
        <f aca="false">IF($G77="","",IF(ROUND($L77,2)=ROUND($G77,2),"OK","MISMATCH"))</f>
        <v/>
      </c>
      <c r="N77" s="28"/>
      <c r="O77" s="27"/>
      <c r="P77" s="36" t="str">
        <f aca="false">IF($D77="","",EDATE($D77,12))</f>
        <v/>
      </c>
      <c r="Q77" s="32"/>
    </row>
    <row r="78" customFormat="false" ht="15.75" hidden="false" customHeight="true" outlineLevel="0" collapsed="false">
      <c r="A78" s="27"/>
      <c r="B78" s="27"/>
      <c r="C78" s="33" t="str">
        <f aca="false">IFERROR(INDEX(Customers!$C$4:$C$1003,MATCH($B78,Customers!$A$4:$A$1003,0)),"")</f>
        <v/>
      </c>
      <c r="D78" s="29"/>
      <c r="E78" s="31" t="str">
        <f aca="false">IFERROR(INDEX(Customers!$F$4:$F$1003,MATCH($B78,Customers!$A$4:$A$1003,0)),"")</f>
        <v/>
      </c>
      <c r="F78" s="28"/>
      <c r="G78" s="34" t="str">
        <f aca="false">IFERROR(INDEX(Customers!$L$4:$L$1003,MATCH($B78,Customers!$A$4:$A$1003,0)),"")</f>
        <v/>
      </c>
      <c r="H78" s="34" t="str">
        <f aca="false">IF($G78="","",$G78*Settings!$B$9)</f>
        <v/>
      </c>
      <c r="I78" s="34" t="str">
        <f aca="false">IF($G78="","",$G78*Settings!$B$10)</f>
        <v/>
      </c>
      <c r="J78" s="34" t="str">
        <f aca="false">IF($G78="","",$G78*Settings!$B$11)</f>
        <v/>
      </c>
      <c r="K78" s="34" t="str">
        <f aca="false">IF($G78="","",$G78*Settings!$B$12)</f>
        <v/>
      </c>
      <c r="L78" s="34" t="str">
        <f aca="false">IF($G78="","",SUM($H78:$K78))</f>
        <v/>
      </c>
      <c r="M78" s="31" t="str">
        <f aca="false">IF($G78="","",IF(ROUND($L78,2)=ROUND($G78,2),"OK","MISMATCH"))</f>
        <v/>
      </c>
      <c r="N78" s="28"/>
      <c r="O78" s="27"/>
      <c r="P78" s="36" t="str">
        <f aca="false">IF($D78="","",EDATE($D78,12))</f>
        <v/>
      </c>
      <c r="Q78" s="32"/>
    </row>
    <row r="79" customFormat="false" ht="15.75" hidden="false" customHeight="true" outlineLevel="0" collapsed="false">
      <c r="A79" s="27"/>
      <c r="B79" s="27"/>
      <c r="C79" s="33" t="str">
        <f aca="false">IFERROR(INDEX(Customers!$C$4:$C$1003,MATCH($B79,Customers!$A$4:$A$1003,0)),"")</f>
        <v/>
      </c>
      <c r="D79" s="29"/>
      <c r="E79" s="31" t="str">
        <f aca="false">IFERROR(INDEX(Customers!$F$4:$F$1003,MATCH($B79,Customers!$A$4:$A$1003,0)),"")</f>
        <v/>
      </c>
      <c r="F79" s="28"/>
      <c r="G79" s="34" t="str">
        <f aca="false">IFERROR(INDEX(Customers!$L$4:$L$1003,MATCH($B79,Customers!$A$4:$A$1003,0)),"")</f>
        <v/>
      </c>
      <c r="H79" s="34" t="str">
        <f aca="false">IF($G79="","",$G79*Settings!$B$9)</f>
        <v/>
      </c>
      <c r="I79" s="34" t="str">
        <f aca="false">IF($G79="","",$G79*Settings!$B$10)</f>
        <v/>
      </c>
      <c r="J79" s="34" t="str">
        <f aca="false">IF($G79="","",$G79*Settings!$B$11)</f>
        <v/>
      </c>
      <c r="K79" s="34" t="str">
        <f aca="false">IF($G79="","",$G79*Settings!$B$12)</f>
        <v/>
      </c>
      <c r="L79" s="34" t="str">
        <f aca="false">IF($G79="","",SUM($H79:$K79))</f>
        <v/>
      </c>
      <c r="M79" s="31" t="str">
        <f aca="false">IF($G79="","",IF(ROUND($L79,2)=ROUND($G79,2),"OK","MISMATCH"))</f>
        <v/>
      </c>
      <c r="N79" s="28"/>
      <c r="O79" s="27"/>
      <c r="P79" s="36" t="str">
        <f aca="false">IF($D79="","",EDATE($D79,12))</f>
        <v/>
      </c>
      <c r="Q79" s="32"/>
    </row>
    <row r="80" customFormat="false" ht="15.75" hidden="false" customHeight="true" outlineLevel="0" collapsed="false">
      <c r="A80" s="27"/>
      <c r="B80" s="27"/>
      <c r="C80" s="33" t="str">
        <f aca="false">IFERROR(INDEX(Customers!$C$4:$C$1003,MATCH($B80,Customers!$A$4:$A$1003,0)),"")</f>
        <v/>
      </c>
      <c r="D80" s="29"/>
      <c r="E80" s="31" t="str">
        <f aca="false">IFERROR(INDEX(Customers!$F$4:$F$1003,MATCH($B80,Customers!$A$4:$A$1003,0)),"")</f>
        <v/>
      </c>
      <c r="F80" s="28"/>
      <c r="G80" s="34" t="str">
        <f aca="false">IFERROR(INDEX(Customers!$L$4:$L$1003,MATCH($B80,Customers!$A$4:$A$1003,0)),"")</f>
        <v/>
      </c>
      <c r="H80" s="34" t="str">
        <f aca="false">IF($G80="","",$G80*Settings!$B$9)</f>
        <v/>
      </c>
      <c r="I80" s="34" t="str">
        <f aca="false">IF($G80="","",$G80*Settings!$B$10)</f>
        <v/>
      </c>
      <c r="J80" s="34" t="str">
        <f aca="false">IF($G80="","",$G80*Settings!$B$11)</f>
        <v/>
      </c>
      <c r="K80" s="34" t="str">
        <f aca="false">IF($G80="","",$G80*Settings!$B$12)</f>
        <v/>
      </c>
      <c r="L80" s="34" t="str">
        <f aca="false">IF($G80="","",SUM($H80:$K80))</f>
        <v/>
      </c>
      <c r="M80" s="31" t="str">
        <f aca="false">IF($G80="","",IF(ROUND($L80,2)=ROUND($G80,2),"OK","MISMATCH"))</f>
        <v/>
      </c>
      <c r="N80" s="28"/>
      <c r="O80" s="27"/>
      <c r="P80" s="36" t="str">
        <f aca="false">IF($D80="","",EDATE($D80,12))</f>
        <v/>
      </c>
      <c r="Q80" s="32"/>
    </row>
    <row r="81" customFormat="false" ht="15.75" hidden="false" customHeight="true" outlineLevel="0" collapsed="false">
      <c r="A81" s="27"/>
      <c r="B81" s="27"/>
      <c r="C81" s="33" t="str">
        <f aca="false">IFERROR(INDEX(Customers!$C$4:$C$1003,MATCH($B81,Customers!$A$4:$A$1003,0)),"")</f>
        <v/>
      </c>
      <c r="D81" s="29"/>
      <c r="E81" s="31" t="str">
        <f aca="false">IFERROR(INDEX(Customers!$F$4:$F$1003,MATCH($B81,Customers!$A$4:$A$1003,0)),"")</f>
        <v/>
      </c>
      <c r="F81" s="28"/>
      <c r="G81" s="34" t="str">
        <f aca="false">IFERROR(INDEX(Customers!$L$4:$L$1003,MATCH($B81,Customers!$A$4:$A$1003,0)),"")</f>
        <v/>
      </c>
      <c r="H81" s="34" t="str">
        <f aca="false">IF($G81="","",$G81*Settings!$B$9)</f>
        <v/>
      </c>
      <c r="I81" s="34" t="str">
        <f aca="false">IF($G81="","",$G81*Settings!$B$10)</f>
        <v/>
      </c>
      <c r="J81" s="34" t="str">
        <f aca="false">IF($G81="","",$G81*Settings!$B$11)</f>
        <v/>
      </c>
      <c r="K81" s="34" t="str">
        <f aca="false">IF($G81="","",$G81*Settings!$B$12)</f>
        <v/>
      </c>
      <c r="L81" s="34" t="str">
        <f aca="false">IF($G81="","",SUM($H81:$K81))</f>
        <v/>
      </c>
      <c r="M81" s="31" t="str">
        <f aca="false">IF($G81="","",IF(ROUND($L81,2)=ROUND($G81,2),"OK","MISMATCH"))</f>
        <v/>
      </c>
      <c r="N81" s="28"/>
      <c r="O81" s="27"/>
      <c r="P81" s="36" t="str">
        <f aca="false">IF($D81="","",EDATE($D81,12))</f>
        <v/>
      </c>
      <c r="Q81" s="32"/>
    </row>
    <row r="82" customFormat="false" ht="15.75" hidden="false" customHeight="true" outlineLevel="0" collapsed="false">
      <c r="A82" s="27"/>
      <c r="B82" s="27"/>
      <c r="C82" s="33" t="str">
        <f aca="false">IFERROR(INDEX(Customers!$C$4:$C$1003,MATCH($B82,Customers!$A$4:$A$1003,0)),"")</f>
        <v/>
      </c>
      <c r="D82" s="29"/>
      <c r="E82" s="31" t="str">
        <f aca="false">IFERROR(INDEX(Customers!$F$4:$F$1003,MATCH($B82,Customers!$A$4:$A$1003,0)),"")</f>
        <v/>
      </c>
      <c r="F82" s="28"/>
      <c r="G82" s="34" t="str">
        <f aca="false">IFERROR(INDEX(Customers!$L$4:$L$1003,MATCH($B82,Customers!$A$4:$A$1003,0)),"")</f>
        <v/>
      </c>
      <c r="H82" s="34" t="str">
        <f aca="false">IF($G82="","",$G82*Settings!$B$9)</f>
        <v/>
      </c>
      <c r="I82" s="34" t="str">
        <f aca="false">IF($G82="","",$G82*Settings!$B$10)</f>
        <v/>
      </c>
      <c r="J82" s="34" t="str">
        <f aca="false">IF($G82="","",$G82*Settings!$B$11)</f>
        <v/>
      </c>
      <c r="K82" s="34" t="str">
        <f aca="false">IF($G82="","",$G82*Settings!$B$12)</f>
        <v/>
      </c>
      <c r="L82" s="34" t="str">
        <f aca="false">IF($G82="","",SUM($H82:$K82))</f>
        <v/>
      </c>
      <c r="M82" s="31" t="str">
        <f aca="false">IF($G82="","",IF(ROUND($L82,2)=ROUND($G82,2),"OK","MISMATCH"))</f>
        <v/>
      </c>
      <c r="N82" s="28"/>
      <c r="O82" s="27"/>
      <c r="P82" s="36" t="str">
        <f aca="false">IF($D82="","",EDATE($D82,12))</f>
        <v/>
      </c>
      <c r="Q82" s="32"/>
    </row>
    <row r="83" customFormat="false" ht="15.75" hidden="false" customHeight="true" outlineLevel="0" collapsed="false">
      <c r="A83" s="27"/>
      <c r="B83" s="27"/>
      <c r="C83" s="33" t="str">
        <f aca="false">IFERROR(INDEX(Customers!$C$4:$C$1003,MATCH($B83,Customers!$A$4:$A$1003,0)),"")</f>
        <v/>
      </c>
      <c r="D83" s="29"/>
      <c r="E83" s="31" t="str">
        <f aca="false">IFERROR(INDEX(Customers!$F$4:$F$1003,MATCH($B83,Customers!$A$4:$A$1003,0)),"")</f>
        <v/>
      </c>
      <c r="F83" s="28"/>
      <c r="G83" s="34" t="str">
        <f aca="false">IFERROR(INDEX(Customers!$L$4:$L$1003,MATCH($B83,Customers!$A$4:$A$1003,0)),"")</f>
        <v/>
      </c>
      <c r="H83" s="34" t="str">
        <f aca="false">IF($G83="","",$G83*Settings!$B$9)</f>
        <v/>
      </c>
      <c r="I83" s="34" t="str">
        <f aca="false">IF($G83="","",$G83*Settings!$B$10)</f>
        <v/>
      </c>
      <c r="J83" s="34" t="str">
        <f aca="false">IF($G83="","",$G83*Settings!$B$11)</f>
        <v/>
      </c>
      <c r="K83" s="34" t="str">
        <f aca="false">IF($G83="","",$G83*Settings!$B$12)</f>
        <v/>
      </c>
      <c r="L83" s="34" t="str">
        <f aca="false">IF($G83="","",SUM($H83:$K83))</f>
        <v/>
      </c>
      <c r="M83" s="31" t="str">
        <f aca="false">IF($G83="","",IF(ROUND($L83,2)=ROUND($G83,2),"OK","MISMATCH"))</f>
        <v/>
      </c>
      <c r="N83" s="28"/>
      <c r="O83" s="27"/>
      <c r="P83" s="36" t="str">
        <f aca="false">IF($D83="","",EDATE($D83,12))</f>
        <v/>
      </c>
      <c r="Q83" s="32"/>
    </row>
    <row r="84" customFormat="false" ht="15.75" hidden="false" customHeight="true" outlineLevel="0" collapsed="false">
      <c r="A84" s="27"/>
      <c r="B84" s="27"/>
      <c r="C84" s="33" t="str">
        <f aca="false">IFERROR(INDEX(Customers!$C$4:$C$1003,MATCH($B84,Customers!$A$4:$A$1003,0)),"")</f>
        <v/>
      </c>
      <c r="D84" s="29"/>
      <c r="E84" s="31" t="str">
        <f aca="false">IFERROR(INDEX(Customers!$F$4:$F$1003,MATCH($B84,Customers!$A$4:$A$1003,0)),"")</f>
        <v/>
      </c>
      <c r="F84" s="28"/>
      <c r="G84" s="34" t="str">
        <f aca="false">IFERROR(INDEX(Customers!$L$4:$L$1003,MATCH($B84,Customers!$A$4:$A$1003,0)),"")</f>
        <v/>
      </c>
      <c r="H84" s="34" t="str">
        <f aca="false">IF($G84="","",$G84*Settings!$B$9)</f>
        <v/>
      </c>
      <c r="I84" s="34" t="str">
        <f aca="false">IF($G84="","",$G84*Settings!$B$10)</f>
        <v/>
      </c>
      <c r="J84" s="34" t="str">
        <f aca="false">IF($G84="","",$G84*Settings!$B$11)</f>
        <v/>
      </c>
      <c r="K84" s="34" t="str">
        <f aca="false">IF($G84="","",$G84*Settings!$B$12)</f>
        <v/>
      </c>
      <c r="L84" s="34" t="str">
        <f aca="false">IF($G84="","",SUM($H84:$K84))</f>
        <v/>
      </c>
      <c r="M84" s="31" t="str">
        <f aca="false">IF($G84="","",IF(ROUND($L84,2)=ROUND($G84,2),"OK","MISMATCH"))</f>
        <v/>
      </c>
      <c r="N84" s="28"/>
      <c r="O84" s="27"/>
      <c r="P84" s="36" t="str">
        <f aca="false">IF($D84="","",EDATE($D84,12))</f>
        <v/>
      </c>
      <c r="Q84" s="32"/>
    </row>
    <row r="85" customFormat="false" ht="15.75" hidden="false" customHeight="true" outlineLevel="0" collapsed="false">
      <c r="A85" s="27"/>
      <c r="B85" s="27"/>
      <c r="C85" s="33" t="str">
        <f aca="false">IFERROR(INDEX(Customers!$C$4:$C$1003,MATCH($B85,Customers!$A$4:$A$1003,0)),"")</f>
        <v/>
      </c>
      <c r="D85" s="29"/>
      <c r="E85" s="31" t="str">
        <f aca="false">IFERROR(INDEX(Customers!$F$4:$F$1003,MATCH($B85,Customers!$A$4:$A$1003,0)),"")</f>
        <v/>
      </c>
      <c r="F85" s="28"/>
      <c r="G85" s="34" t="str">
        <f aca="false">IFERROR(INDEX(Customers!$L$4:$L$1003,MATCH($B85,Customers!$A$4:$A$1003,0)),"")</f>
        <v/>
      </c>
      <c r="H85" s="34" t="str">
        <f aca="false">IF($G85="","",$G85*Settings!$B$9)</f>
        <v/>
      </c>
      <c r="I85" s="34" t="str">
        <f aca="false">IF($G85="","",$G85*Settings!$B$10)</f>
        <v/>
      </c>
      <c r="J85" s="34" t="str">
        <f aca="false">IF($G85="","",$G85*Settings!$B$11)</f>
        <v/>
      </c>
      <c r="K85" s="34" t="str">
        <f aca="false">IF($G85="","",$G85*Settings!$B$12)</f>
        <v/>
      </c>
      <c r="L85" s="34" t="str">
        <f aca="false">IF($G85="","",SUM($H85:$K85))</f>
        <v/>
      </c>
      <c r="M85" s="31" t="str">
        <f aca="false">IF($G85="","",IF(ROUND($L85,2)=ROUND($G85,2),"OK","MISMATCH"))</f>
        <v/>
      </c>
      <c r="N85" s="28"/>
      <c r="O85" s="27"/>
      <c r="P85" s="36" t="str">
        <f aca="false">IF($D85="","",EDATE($D85,12))</f>
        <v/>
      </c>
      <c r="Q85" s="32"/>
    </row>
    <row r="86" customFormat="false" ht="15.75" hidden="false" customHeight="true" outlineLevel="0" collapsed="false">
      <c r="A86" s="27"/>
      <c r="B86" s="27"/>
      <c r="C86" s="33" t="str">
        <f aca="false">IFERROR(INDEX(Customers!$C$4:$C$1003,MATCH($B86,Customers!$A$4:$A$1003,0)),"")</f>
        <v/>
      </c>
      <c r="D86" s="29"/>
      <c r="E86" s="31" t="str">
        <f aca="false">IFERROR(INDEX(Customers!$F$4:$F$1003,MATCH($B86,Customers!$A$4:$A$1003,0)),"")</f>
        <v/>
      </c>
      <c r="F86" s="28"/>
      <c r="G86" s="34" t="str">
        <f aca="false">IFERROR(INDEX(Customers!$L$4:$L$1003,MATCH($B86,Customers!$A$4:$A$1003,0)),"")</f>
        <v/>
      </c>
      <c r="H86" s="34" t="str">
        <f aca="false">IF($G86="","",$G86*Settings!$B$9)</f>
        <v/>
      </c>
      <c r="I86" s="34" t="str">
        <f aca="false">IF($G86="","",$G86*Settings!$B$10)</f>
        <v/>
      </c>
      <c r="J86" s="34" t="str">
        <f aca="false">IF($G86="","",$G86*Settings!$B$11)</f>
        <v/>
      </c>
      <c r="K86" s="34" t="str">
        <f aca="false">IF($G86="","",$G86*Settings!$B$12)</f>
        <v/>
      </c>
      <c r="L86" s="34" t="str">
        <f aca="false">IF($G86="","",SUM($H86:$K86))</f>
        <v/>
      </c>
      <c r="M86" s="31" t="str">
        <f aca="false">IF($G86="","",IF(ROUND($L86,2)=ROUND($G86,2),"OK","MISMATCH"))</f>
        <v/>
      </c>
      <c r="N86" s="28"/>
      <c r="O86" s="27"/>
      <c r="P86" s="36" t="str">
        <f aca="false">IF($D86="","",EDATE($D86,12))</f>
        <v/>
      </c>
      <c r="Q86" s="32"/>
    </row>
    <row r="87" customFormat="false" ht="15.75" hidden="false" customHeight="true" outlineLevel="0" collapsed="false">
      <c r="A87" s="27"/>
      <c r="B87" s="27"/>
      <c r="C87" s="33" t="str">
        <f aca="false">IFERROR(INDEX(Customers!$C$4:$C$1003,MATCH($B87,Customers!$A$4:$A$1003,0)),"")</f>
        <v/>
      </c>
      <c r="D87" s="29"/>
      <c r="E87" s="31" t="str">
        <f aca="false">IFERROR(INDEX(Customers!$F$4:$F$1003,MATCH($B87,Customers!$A$4:$A$1003,0)),"")</f>
        <v/>
      </c>
      <c r="F87" s="28"/>
      <c r="G87" s="34" t="str">
        <f aca="false">IFERROR(INDEX(Customers!$L$4:$L$1003,MATCH($B87,Customers!$A$4:$A$1003,0)),"")</f>
        <v/>
      </c>
      <c r="H87" s="34" t="str">
        <f aca="false">IF($G87="","",$G87*Settings!$B$9)</f>
        <v/>
      </c>
      <c r="I87" s="34" t="str">
        <f aca="false">IF($G87="","",$G87*Settings!$B$10)</f>
        <v/>
      </c>
      <c r="J87" s="34" t="str">
        <f aca="false">IF($G87="","",$G87*Settings!$B$11)</f>
        <v/>
      </c>
      <c r="K87" s="34" t="str">
        <f aca="false">IF($G87="","",$G87*Settings!$B$12)</f>
        <v/>
      </c>
      <c r="L87" s="34" t="str">
        <f aca="false">IF($G87="","",SUM($H87:$K87))</f>
        <v/>
      </c>
      <c r="M87" s="31" t="str">
        <f aca="false">IF($G87="","",IF(ROUND($L87,2)=ROUND($G87,2),"OK","MISMATCH"))</f>
        <v/>
      </c>
      <c r="N87" s="28"/>
      <c r="O87" s="27"/>
      <c r="P87" s="36" t="str">
        <f aca="false">IF($D87="","",EDATE($D87,12))</f>
        <v/>
      </c>
      <c r="Q87" s="32"/>
    </row>
    <row r="88" customFormat="false" ht="15.75" hidden="false" customHeight="true" outlineLevel="0" collapsed="false">
      <c r="A88" s="27"/>
      <c r="B88" s="27"/>
      <c r="C88" s="33" t="str">
        <f aca="false">IFERROR(INDEX(Customers!$C$4:$C$1003,MATCH($B88,Customers!$A$4:$A$1003,0)),"")</f>
        <v/>
      </c>
      <c r="D88" s="29"/>
      <c r="E88" s="31" t="str">
        <f aca="false">IFERROR(INDEX(Customers!$F$4:$F$1003,MATCH($B88,Customers!$A$4:$A$1003,0)),"")</f>
        <v/>
      </c>
      <c r="F88" s="28"/>
      <c r="G88" s="34" t="str">
        <f aca="false">IFERROR(INDEX(Customers!$L$4:$L$1003,MATCH($B88,Customers!$A$4:$A$1003,0)),"")</f>
        <v/>
      </c>
      <c r="H88" s="34" t="str">
        <f aca="false">IF($G88="","",$G88*Settings!$B$9)</f>
        <v/>
      </c>
      <c r="I88" s="34" t="str">
        <f aca="false">IF($G88="","",$G88*Settings!$B$10)</f>
        <v/>
      </c>
      <c r="J88" s="34" t="str">
        <f aca="false">IF($G88="","",$G88*Settings!$B$11)</f>
        <v/>
      </c>
      <c r="K88" s="34" t="str">
        <f aca="false">IF($G88="","",$G88*Settings!$B$12)</f>
        <v/>
      </c>
      <c r="L88" s="34" t="str">
        <f aca="false">IF($G88="","",SUM($H88:$K88))</f>
        <v/>
      </c>
      <c r="M88" s="31" t="str">
        <f aca="false">IF($G88="","",IF(ROUND($L88,2)=ROUND($G88,2),"OK","MISMATCH"))</f>
        <v/>
      </c>
      <c r="N88" s="28"/>
      <c r="O88" s="27"/>
      <c r="P88" s="36" t="str">
        <f aca="false">IF($D88="","",EDATE($D88,12))</f>
        <v/>
      </c>
      <c r="Q88" s="32"/>
    </row>
    <row r="89" customFormat="false" ht="15.75" hidden="false" customHeight="true" outlineLevel="0" collapsed="false">
      <c r="A89" s="27"/>
      <c r="B89" s="27"/>
      <c r="C89" s="33" t="str">
        <f aca="false">IFERROR(INDEX(Customers!$C$4:$C$1003,MATCH($B89,Customers!$A$4:$A$1003,0)),"")</f>
        <v/>
      </c>
      <c r="D89" s="29"/>
      <c r="E89" s="31" t="str">
        <f aca="false">IFERROR(INDEX(Customers!$F$4:$F$1003,MATCH($B89,Customers!$A$4:$A$1003,0)),"")</f>
        <v/>
      </c>
      <c r="F89" s="28"/>
      <c r="G89" s="34" t="str">
        <f aca="false">IFERROR(INDEX(Customers!$L$4:$L$1003,MATCH($B89,Customers!$A$4:$A$1003,0)),"")</f>
        <v/>
      </c>
      <c r="H89" s="34" t="str">
        <f aca="false">IF($G89="","",$G89*Settings!$B$9)</f>
        <v/>
      </c>
      <c r="I89" s="34" t="str">
        <f aca="false">IF($G89="","",$G89*Settings!$B$10)</f>
        <v/>
      </c>
      <c r="J89" s="34" t="str">
        <f aca="false">IF($G89="","",$G89*Settings!$B$11)</f>
        <v/>
      </c>
      <c r="K89" s="34" t="str">
        <f aca="false">IF($G89="","",$G89*Settings!$B$12)</f>
        <v/>
      </c>
      <c r="L89" s="34" t="str">
        <f aca="false">IF($G89="","",SUM($H89:$K89))</f>
        <v/>
      </c>
      <c r="M89" s="31" t="str">
        <f aca="false">IF($G89="","",IF(ROUND($L89,2)=ROUND($G89,2),"OK","MISMATCH"))</f>
        <v/>
      </c>
      <c r="N89" s="28"/>
      <c r="O89" s="27"/>
      <c r="P89" s="36" t="str">
        <f aca="false">IF($D89="","",EDATE($D89,12))</f>
        <v/>
      </c>
      <c r="Q89" s="32"/>
    </row>
    <row r="90" customFormat="false" ht="15.75" hidden="false" customHeight="true" outlineLevel="0" collapsed="false">
      <c r="A90" s="27"/>
      <c r="B90" s="27"/>
      <c r="C90" s="33" t="str">
        <f aca="false">IFERROR(INDEX(Customers!$C$4:$C$1003,MATCH($B90,Customers!$A$4:$A$1003,0)),"")</f>
        <v/>
      </c>
      <c r="D90" s="29"/>
      <c r="E90" s="31" t="str">
        <f aca="false">IFERROR(INDEX(Customers!$F$4:$F$1003,MATCH($B90,Customers!$A$4:$A$1003,0)),"")</f>
        <v/>
      </c>
      <c r="F90" s="28"/>
      <c r="G90" s="34" t="str">
        <f aca="false">IFERROR(INDEX(Customers!$L$4:$L$1003,MATCH($B90,Customers!$A$4:$A$1003,0)),"")</f>
        <v/>
      </c>
      <c r="H90" s="34" t="str">
        <f aca="false">IF($G90="","",$G90*Settings!$B$9)</f>
        <v/>
      </c>
      <c r="I90" s="34" t="str">
        <f aca="false">IF($G90="","",$G90*Settings!$B$10)</f>
        <v/>
      </c>
      <c r="J90" s="34" t="str">
        <f aca="false">IF($G90="","",$G90*Settings!$B$11)</f>
        <v/>
      </c>
      <c r="K90" s="34" t="str">
        <f aca="false">IF($G90="","",$G90*Settings!$B$12)</f>
        <v/>
      </c>
      <c r="L90" s="34" t="str">
        <f aca="false">IF($G90="","",SUM($H90:$K90))</f>
        <v/>
      </c>
      <c r="M90" s="31" t="str">
        <f aca="false">IF($G90="","",IF(ROUND($L90,2)=ROUND($G90,2),"OK","MISMATCH"))</f>
        <v/>
      </c>
      <c r="N90" s="28"/>
      <c r="O90" s="27"/>
      <c r="P90" s="36" t="str">
        <f aca="false">IF($D90="","",EDATE($D90,12))</f>
        <v/>
      </c>
      <c r="Q90" s="32"/>
    </row>
    <row r="91" customFormat="false" ht="15.75" hidden="false" customHeight="true" outlineLevel="0" collapsed="false">
      <c r="A91" s="27"/>
      <c r="B91" s="27"/>
      <c r="C91" s="33" t="str">
        <f aca="false">IFERROR(INDEX(Customers!$C$4:$C$1003,MATCH($B91,Customers!$A$4:$A$1003,0)),"")</f>
        <v/>
      </c>
      <c r="D91" s="29"/>
      <c r="E91" s="31" t="str">
        <f aca="false">IFERROR(INDEX(Customers!$F$4:$F$1003,MATCH($B91,Customers!$A$4:$A$1003,0)),"")</f>
        <v/>
      </c>
      <c r="F91" s="28"/>
      <c r="G91" s="34" t="str">
        <f aca="false">IFERROR(INDEX(Customers!$L$4:$L$1003,MATCH($B91,Customers!$A$4:$A$1003,0)),"")</f>
        <v/>
      </c>
      <c r="H91" s="34" t="str">
        <f aca="false">IF($G91="","",$G91*Settings!$B$9)</f>
        <v/>
      </c>
      <c r="I91" s="34" t="str">
        <f aca="false">IF($G91="","",$G91*Settings!$B$10)</f>
        <v/>
      </c>
      <c r="J91" s="34" t="str">
        <f aca="false">IF($G91="","",$G91*Settings!$B$11)</f>
        <v/>
      </c>
      <c r="K91" s="34" t="str">
        <f aca="false">IF($G91="","",$G91*Settings!$B$12)</f>
        <v/>
      </c>
      <c r="L91" s="34" t="str">
        <f aca="false">IF($G91="","",SUM($H91:$K91))</f>
        <v/>
      </c>
      <c r="M91" s="31" t="str">
        <f aca="false">IF($G91="","",IF(ROUND($L91,2)=ROUND($G91,2),"OK","MISMATCH"))</f>
        <v/>
      </c>
      <c r="N91" s="28"/>
      <c r="O91" s="27"/>
      <c r="P91" s="36" t="str">
        <f aca="false">IF($D91="","",EDATE($D91,12))</f>
        <v/>
      </c>
      <c r="Q91" s="32"/>
    </row>
    <row r="92" customFormat="false" ht="15.75" hidden="false" customHeight="true" outlineLevel="0" collapsed="false">
      <c r="A92" s="27"/>
      <c r="B92" s="27"/>
      <c r="C92" s="33" t="str">
        <f aca="false">IFERROR(INDEX(Customers!$C$4:$C$1003,MATCH($B92,Customers!$A$4:$A$1003,0)),"")</f>
        <v/>
      </c>
      <c r="D92" s="29"/>
      <c r="E92" s="31" t="str">
        <f aca="false">IFERROR(INDEX(Customers!$F$4:$F$1003,MATCH($B92,Customers!$A$4:$A$1003,0)),"")</f>
        <v/>
      </c>
      <c r="F92" s="28"/>
      <c r="G92" s="34" t="str">
        <f aca="false">IFERROR(INDEX(Customers!$L$4:$L$1003,MATCH($B92,Customers!$A$4:$A$1003,0)),"")</f>
        <v/>
      </c>
      <c r="H92" s="34" t="str">
        <f aca="false">IF($G92="","",$G92*Settings!$B$9)</f>
        <v/>
      </c>
      <c r="I92" s="34" t="str">
        <f aca="false">IF($G92="","",$G92*Settings!$B$10)</f>
        <v/>
      </c>
      <c r="J92" s="34" t="str">
        <f aca="false">IF($G92="","",$G92*Settings!$B$11)</f>
        <v/>
      </c>
      <c r="K92" s="34" t="str">
        <f aca="false">IF($G92="","",$G92*Settings!$B$12)</f>
        <v/>
      </c>
      <c r="L92" s="34" t="str">
        <f aca="false">IF($G92="","",SUM($H92:$K92))</f>
        <v/>
      </c>
      <c r="M92" s="31" t="str">
        <f aca="false">IF($G92="","",IF(ROUND($L92,2)=ROUND($G92,2),"OK","MISMATCH"))</f>
        <v/>
      </c>
      <c r="N92" s="28"/>
      <c r="O92" s="27"/>
      <c r="P92" s="36" t="str">
        <f aca="false">IF($D92="","",EDATE($D92,12))</f>
        <v/>
      </c>
      <c r="Q92" s="32"/>
    </row>
    <row r="93" customFormat="false" ht="15.75" hidden="false" customHeight="true" outlineLevel="0" collapsed="false">
      <c r="A93" s="27"/>
      <c r="B93" s="27"/>
      <c r="C93" s="33" t="str">
        <f aca="false">IFERROR(INDEX(Customers!$C$4:$C$1003,MATCH($B93,Customers!$A$4:$A$1003,0)),"")</f>
        <v/>
      </c>
      <c r="D93" s="29"/>
      <c r="E93" s="31" t="str">
        <f aca="false">IFERROR(INDEX(Customers!$F$4:$F$1003,MATCH($B93,Customers!$A$4:$A$1003,0)),"")</f>
        <v/>
      </c>
      <c r="F93" s="28"/>
      <c r="G93" s="34" t="str">
        <f aca="false">IFERROR(INDEX(Customers!$L$4:$L$1003,MATCH($B93,Customers!$A$4:$A$1003,0)),"")</f>
        <v/>
      </c>
      <c r="H93" s="34" t="str">
        <f aca="false">IF($G93="","",$G93*Settings!$B$9)</f>
        <v/>
      </c>
      <c r="I93" s="34" t="str">
        <f aca="false">IF($G93="","",$G93*Settings!$B$10)</f>
        <v/>
      </c>
      <c r="J93" s="34" t="str">
        <f aca="false">IF($G93="","",$G93*Settings!$B$11)</f>
        <v/>
      </c>
      <c r="K93" s="34" t="str">
        <f aca="false">IF($G93="","",$G93*Settings!$B$12)</f>
        <v/>
      </c>
      <c r="L93" s="34" t="str">
        <f aca="false">IF($G93="","",SUM($H93:$K93))</f>
        <v/>
      </c>
      <c r="M93" s="31" t="str">
        <f aca="false">IF($G93="","",IF(ROUND($L93,2)=ROUND($G93,2),"OK","MISMATCH"))</f>
        <v/>
      </c>
      <c r="N93" s="28"/>
      <c r="O93" s="27"/>
      <c r="P93" s="36" t="str">
        <f aca="false">IF($D93="","",EDATE($D93,12))</f>
        <v/>
      </c>
      <c r="Q93" s="32"/>
    </row>
    <row r="94" customFormat="false" ht="15.75" hidden="false" customHeight="true" outlineLevel="0" collapsed="false">
      <c r="A94" s="27"/>
      <c r="B94" s="27"/>
      <c r="C94" s="33" t="str">
        <f aca="false">IFERROR(INDEX(Customers!$C$4:$C$1003,MATCH($B94,Customers!$A$4:$A$1003,0)),"")</f>
        <v/>
      </c>
      <c r="D94" s="29"/>
      <c r="E94" s="31" t="str">
        <f aca="false">IFERROR(INDEX(Customers!$F$4:$F$1003,MATCH($B94,Customers!$A$4:$A$1003,0)),"")</f>
        <v/>
      </c>
      <c r="F94" s="28"/>
      <c r="G94" s="34" t="str">
        <f aca="false">IFERROR(INDEX(Customers!$L$4:$L$1003,MATCH($B94,Customers!$A$4:$A$1003,0)),"")</f>
        <v/>
      </c>
      <c r="H94" s="34" t="str">
        <f aca="false">IF($G94="","",$G94*Settings!$B$9)</f>
        <v/>
      </c>
      <c r="I94" s="34" t="str">
        <f aca="false">IF($G94="","",$G94*Settings!$B$10)</f>
        <v/>
      </c>
      <c r="J94" s="34" t="str">
        <f aca="false">IF($G94="","",$G94*Settings!$B$11)</f>
        <v/>
      </c>
      <c r="K94" s="34" t="str">
        <f aca="false">IF($G94="","",$G94*Settings!$B$12)</f>
        <v/>
      </c>
      <c r="L94" s="34" t="str">
        <f aca="false">IF($G94="","",SUM($H94:$K94))</f>
        <v/>
      </c>
      <c r="M94" s="31" t="str">
        <f aca="false">IF($G94="","",IF(ROUND($L94,2)=ROUND($G94,2),"OK","MISMATCH"))</f>
        <v/>
      </c>
      <c r="N94" s="28"/>
      <c r="O94" s="27"/>
      <c r="P94" s="36" t="str">
        <f aca="false">IF($D94="","",EDATE($D94,12))</f>
        <v/>
      </c>
      <c r="Q94" s="32"/>
    </row>
    <row r="95" customFormat="false" ht="15.75" hidden="false" customHeight="true" outlineLevel="0" collapsed="false">
      <c r="A95" s="27"/>
      <c r="B95" s="27"/>
      <c r="C95" s="33" t="str">
        <f aca="false">IFERROR(INDEX(Customers!$C$4:$C$1003,MATCH($B95,Customers!$A$4:$A$1003,0)),"")</f>
        <v/>
      </c>
      <c r="D95" s="29"/>
      <c r="E95" s="31" t="str">
        <f aca="false">IFERROR(INDEX(Customers!$F$4:$F$1003,MATCH($B95,Customers!$A$4:$A$1003,0)),"")</f>
        <v/>
      </c>
      <c r="F95" s="28"/>
      <c r="G95" s="34" t="str">
        <f aca="false">IFERROR(INDEX(Customers!$L$4:$L$1003,MATCH($B95,Customers!$A$4:$A$1003,0)),"")</f>
        <v/>
      </c>
      <c r="H95" s="34" t="str">
        <f aca="false">IF($G95="","",$G95*Settings!$B$9)</f>
        <v/>
      </c>
      <c r="I95" s="34" t="str">
        <f aca="false">IF($G95="","",$G95*Settings!$B$10)</f>
        <v/>
      </c>
      <c r="J95" s="34" t="str">
        <f aca="false">IF($G95="","",$G95*Settings!$B$11)</f>
        <v/>
      </c>
      <c r="K95" s="34" t="str">
        <f aca="false">IF($G95="","",$G95*Settings!$B$12)</f>
        <v/>
      </c>
      <c r="L95" s="34" t="str">
        <f aca="false">IF($G95="","",SUM($H95:$K95))</f>
        <v/>
      </c>
      <c r="M95" s="31" t="str">
        <f aca="false">IF($G95="","",IF(ROUND($L95,2)=ROUND($G95,2),"OK","MISMATCH"))</f>
        <v/>
      </c>
      <c r="N95" s="28"/>
      <c r="O95" s="27"/>
      <c r="P95" s="36" t="str">
        <f aca="false">IF($D95="","",EDATE($D95,12))</f>
        <v/>
      </c>
      <c r="Q95" s="32"/>
    </row>
    <row r="96" customFormat="false" ht="15.75" hidden="false" customHeight="true" outlineLevel="0" collapsed="false">
      <c r="A96" s="27"/>
      <c r="B96" s="27"/>
      <c r="C96" s="33" t="str">
        <f aca="false">IFERROR(INDEX(Customers!$C$4:$C$1003,MATCH($B96,Customers!$A$4:$A$1003,0)),"")</f>
        <v/>
      </c>
      <c r="D96" s="29"/>
      <c r="E96" s="31" t="str">
        <f aca="false">IFERROR(INDEX(Customers!$F$4:$F$1003,MATCH($B96,Customers!$A$4:$A$1003,0)),"")</f>
        <v/>
      </c>
      <c r="F96" s="28"/>
      <c r="G96" s="34" t="str">
        <f aca="false">IFERROR(INDEX(Customers!$L$4:$L$1003,MATCH($B96,Customers!$A$4:$A$1003,0)),"")</f>
        <v/>
      </c>
      <c r="H96" s="34" t="str">
        <f aca="false">IF($G96="","",$G96*Settings!$B$9)</f>
        <v/>
      </c>
      <c r="I96" s="34" t="str">
        <f aca="false">IF($G96="","",$G96*Settings!$B$10)</f>
        <v/>
      </c>
      <c r="J96" s="34" t="str">
        <f aca="false">IF($G96="","",$G96*Settings!$B$11)</f>
        <v/>
      </c>
      <c r="K96" s="34" t="str">
        <f aca="false">IF($G96="","",$G96*Settings!$B$12)</f>
        <v/>
      </c>
      <c r="L96" s="34" t="str">
        <f aca="false">IF($G96="","",SUM($H96:$K96))</f>
        <v/>
      </c>
      <c r="M96" s="31" t="str">
        <f aca="false">IF($G96="","",IF(ROUND($L96,2)=ROUND($G96,2),"OK","MISMATCH"))</f>
        <v/>
      </c>
      <c r="N96" s="28"/>
      <c r="O96" s="27"/>
      <c r="P96" s="36" t="str">
        <f aca="false">IF($D96="","",EDATE($D96,12))</f>
        <v/>
      </c>
      <c r="Q96" s="32"/>
    </row>
    <row r="97" customFormat="false" ht="15.75" hidden="false" customHeight="true" outlineLevel="0" collapsed="false">
      <c r="A97" s="27"/>
      <c r="B97" s="27"/>
      <c r="C97" s="33" t="str">
        <f aca="false">IFERROR(INDEX(Customers!$C$4:$C$1003,MATCH($B97,Customers!$A$4:$A$1003,0)),"")</f>
        <v/>
      </c>
      <c r="D97" s="29"/>
      <c r="E97" s="31" t="str">
        <f aca="false">IFERROR(INDEX(Customers!$F$4:$F$1003,MATCH($B97,Customers!$A$4:$A$1003,0)),"")</f>
        <v/>
      </c>
      <c r="F97" s="28"/>
      <c r="G97" s="34" t="str">
        <f aca="false">IFERROR(INDEX(Customers!$L$4:$L$1003,MATCH($B97,Customers!$A$4:$A$1003,0)),"")</f>
        <v/>
      </c>
      <c r="H97" s="34" t="str">
        <f aca="false">IF($G97="","",$G97*Settings!$B$9)</f>
        <v/>
      </c>
      <c r="I97" s="34" t="str">
        <f aca="false">IF($G97="","",$G97*Settings!$B$10)</f>
        <v/>
      </c>
      <c r="J97" s="34" t="str">
        <f aca="false">IF($G97="","",$G97*Settings!$B$11)</f>
        <v/>
      </c>
      <c r="K97" s="34" t="str">
        <f aca="false">IF($G97="","",$G97*Settings!$B$12)</f>
        <v/>
      </c>
      <c r="L97" s="34" t="str">
        <f aca="false">IF($G97="","",SUM($H97:$K97))</f>
        <v/>
      </c>
      <c r="M97" s="31" t="str">
        <f aca="false">IF($G97="","",IF(ROUND($L97,2)=ROUND($G97,2),"OK","MISMATCH"))</f>
        <v/>
      </c>
      <c r="N97" s="28"/>
      <c r="O97" s="27"/>
      <c r="P97" s="36" t="str">
        <f aca="false">IF($D97="","",EDATE($D97,12))</f>
        <v/>
      </c>
      <c r="Q97" s="32"/>
    </row>
    <row r="98" customFormat="false" ht="15.75" hidden="false" customHeight="true" outlineLevel="0" collapsed="false">
      <c r="A98" s="27"/>
      <c r="B98" s="27"/>
      <c r="C98" s="33" t="str">
        <f aca="false">IFERROR(INDEX(Customers!$C$4:$C$1003,MATCH($B98,Customers!$A$4:$A$1003,0)),"")</f>
        <v/>
      </c>
      <c r="D98" s="29"/>
      <c r="E98" s="31" t="str">
        <f aca="false">IFERROR(INDEX(Customers!$F$4:$F$1003,MATCH($B98,Customers!$A$4:$A$1003,0)),"")</f>
        <v/>
      </c>
      <c r="F98" s="28"/>
      <c r="G98" s="34" t="str">
        <f aca="false">IFERROR(INDEX(Customers!$L$4:$L$1003,MATCH($B98,Customers!$A$4:$A$1003,0)),"")</f>
        <v/>
      </c>
      <c r="H98" s="34" t="str">
        <f aca="false">IF($G98="","",$G98*Settings!$B$9)</f>
        <v/>
      </c>
      <c r="I98" s="34" t="str">
        <f aca="false">IF($G98="","",$G98*Settings!$B$10)</f>
        <v/>
      </c>
      <c r="J98" s="34" t="str">
        <f aca="false">IF($G98="","",$G98*Settings!$B$11)</f>
        <v/>
      </c>
      <c r="K98" s="34" t="str">
        <f aca="false">IF($G98="","",$G98*Settings!$B$12)</f>
        <v/>
      </c>
      <c r="L98" s="34" t="str">
        <f aca="false">IF($G98="","",SUM($H98:$K98))</f>
        <v/>
      </c>
      <c r="M98" s="31" t="str">
        <f aca="false">IF($G98="","",IF(ROUND($L98,2)=ROUND($G98,2),"OK","MISMATCH"))</f>
        <v/>
      </c>
      <c r="N98" s="28"/>
      <c r="O98" s="27"/>
      <c r="P98" s="36" t="str">
        <f aca="false">IF($D98="","",EDATE($D98,12))</f>
        <v/>
      </c>
      <c r="Q98" s="32"/>
    </row>
    <row r="99" customFormat="false" ht="15.75" hidden="false" customHeight="true" outlineLevel="0" collapsed="false">
      <c r="A99" s="27"/>
      <c r="B99" s="27"/>
      <c r="C99" s="33" t="str">
        <f aca="false">IFERROR(INDEX(Customers!$C$4:$C$1003,MATCH($B99,Customers!$A$4:$A$1003,0)),"")</f>
        <v/>
      </c>
      <c r="D99" s="29"/>
      <c r="E99" s="31" t="str">
        <f aca="false">IFERROR(INDEX(Customers!$F$4:$F$1003,MATCH($B99,Customers!$A$4:$A$1003,0)),"")</f>
        <v/>
      </c>
      <c r="F99" s="28"/>
      <c r="G99" s="34" t="str">
        <f aca="false">IFERROR(INDEX(Customers!$L$4:$L$1003,MATCH($B99,Customers!$A$4:$A$1003,0)),"")</f>
        <v/>
      </c>
      <c r="H99" s="34" t="str">
        <f aca="false">IF($G99="","",$G99*Settings!$B$9)</f>
        <v/>
      </c>
      <c r="I99" s="34" t="str">
        <f aca="false">IF($G99="","",$G99*Settings!$B$10)</f>
        <v/>
      </c>
      <c r="J99" s="34" t="str">
        <f aca="false">IF($G99="","",$G99*Settings!$B$11)</f>
        <v/>
      </c>
      <c r="K99" s="34" t="str">
        <f aca="false">IF($G99="","",$G99*Settings!$B$12)</f>
        <v/>
      </c>
      <c r="L99" s="34" t="str">
        <f aca="false">IF($G99="","",SUM($H99:$K99))</f>
        <v/>
      </c>
      <c r="M99" s="31" t="str">
        <f aca="false">IF($G99="","",IF(ROUND($L99,2)=ROUND($G99,2),"OK","MISMATCH"))</f>
        <v/>
      </c>
      <c r="N99" s="28"/>
      <c r="O99" s="27"/>
      <c r="P99" s="36" t="str">
        <f aca="false">IF($D99="","",EDATE($D99,12))</f>
        <v/>
      </c>
      <c r="Q99" s="32"/>
    </row>
    <row r="100" customFormat="false" ht="15.75" hidden="false" customHeight="true" outlineLevel="0" collapsed="false">
      <c r="A100" s="27"/>
      <c r="B100" s="27"/>
      <c r="C100" s="33" t="str">
        <f aca="false">IFERROR(INDEX(Customers!$C$4:$C$1003,MATCH($B100,Customers!$A$4:$A$1003,0)),"")</f>
        <v/>
      </c>
      <c r="D100" s="29"/>
      <c r="E100" s="31" t="str">
        <f aca="false">IFERROR(INDEX(Customers!$F$4:$F$1003,MATCH($B100,Customers!$A$4:$A$1003,0)),"")</f>
        <v/>
      </c>
      <c r="F100" s="28"/>
      <c r="G100" s="34" t="str">
        <f aca="false">IFERROR(INDEX(Customers!$L$4:$L$1003,MATCH($B100,Customers!$A$4:$A$1003,0)),"")</f>
        <v/>
      </c>
      <c r="H100" s="34" t="str">
        <f aca="false">IF($G100="","",$G100*Settings!$B$9)</f>
        <v/>
      </c>
      <c r="I100" s="34" t="str">
        <f aca="false">IF($G100="","",$G100*Settings!$B$10)</f>
        <v/>
      </c>
      <c r="J100" s="34" t="str">
        <f aca="false">IF($G100="","",$G100*Settings!$B$11)</f>
        <v/>
      </c>
      <c r="K100" s="34" t="str">
        <f aca="false">IF($G100="","",$G100*Settings!$B$12)</f>
        <v/>
      </c>
      <c r="L100" s="34" t="str">
        <f aca="false">IF($G100="","",SUM($H100:$K100))</f>
        <v/>
      </c>
      <c r="M100" s="31" t="str">
        <f aca="false">IF($G100="","",IF(ROUND($L100,2)=ROUND($G100,2),"OK","MISMATCH"))</f>
        <v/>
      </c>
      <c r="N100" s="28"/>
      <c r="O100" s="27"/>
      <c r="P100" s="36" t="str">
        <f aca="false">IF($D100="","",EDATE($D100,12))</f>
        <v/>
      </c>
      <c r="Q100" s="32"/>
    </row>
    <row r="101" customFormat="false" ht="15.75" hidden="false" customHeight="true" outlineLevel="0" collapsed="false">
      <c r="A101" s="27"/>
      <c r="B101" s="27"/>
      <c r="C101" s="33" t="str">
        <f aca="false">IFERROR(INDEX(Customers!$C$4:$C$1003,MATCH($B101,Customers!$A$4:$A$1003,0)),"")</f>
        <v/>
      </c>
      <c r="D101" s="29"/>
      <c r="E101" s="31" t="str">
        <f aca="false">IFERROR(INDEX(Customers!$F$4:$F$1003,MATCH($B101,Customers!$A$4:$A$1003,0)),"")</f>
        <v/>
      </c>
      <c r="F101" s="28"/>
      <c r="G101" s="34" t="str">
        <f aca="false">IFERROR(INDEX(Customers!$L$4:$L$1003,MATCH($B101,Customers!$A$4:$A$1003,0)),"")</f>
        <v/>
      </c>
      <c r="H101" s="34" t="str">
        <f aca="false">IF($G101="","",$G101*Settings!$B$9)</f>
        <v/>
      </c>
      <c r="I101" s="34" t="str">
        <f aca="false">IF($G101="","",$G101*Settings!$B$10)</f>
        <v/>
      </c>
      <c r="J101" s="34" t="str">
        <f aca="false">IF($G101="","",$G101*Settings!$B$11)</f>
        <v/>
      </c>
      <c r="K101" s="34" t="str">
        <f aca="false">IF($G101="","",$G101*Settings!$B$12)</f>
        <v/>
      </c>
      <c r="L101" s="34" t="str">
        <f aca="false">IF($G101="","",SUM($H101:$K101))</f>
        <v/>
      </c>
      <c r="M101" s="31" t="str">
        <f aca="false">IF($G101="","",IF(ROUND($L101,2)=ROUND($G101,2),"OK","MISMATCH"))</f>
        <v/>
      </c>
      <c r="N101" s="28"/>
      <c r="O101" s="27"/>
      <c r="P101" s="36" t="str">
        <f aca="false">IF($D101="","",EDATE($D101,12))</f>
        <v/>
      </c>
      <c r="Q101" s="32"/>
    </row>
    <row r="102" customFormat="false" ht="15.75" hidden="false" customHeight="true" outlineLevel="0" collapsed="false">
      <c r="A102" s="27"/>
      <c r="B102" s="27"/>
      <c r="C102" s="33" t="str">
        <f aca="false">IFERROR(INDEX(Customers!$C$4:$C$1003,MATCH($B102,Customers!$A$4:$A$1003,0)),"")</f>
        <v/>
      </c>
      <c r="D102" s="29"/>
      <c r="E102" s="31" t="str">
        <f aca="false">IFERROR(INDEX(Customers!$F$4:$F$1003,MATCH($B102,Customers!$A$4:$A$1003,0)),"")</f>
        <v/>
      </c>
      <c r="F102" s="28"/>
      <c r="G102" s="34" t="str">
        <f aca="false">IFERROR(INDEX(Customers!$L$4:$L$1003,MATCH($B102,Customers!$A$4:$A$1003,0)),"")</f>
        <v/>
      </c>
      <c r="H102" s="34" t="str">
        <f aca="false">IF($G102="","",$G102*Settings!$B$9)</f>
        <v/>
      </c>
      <c r="I102" s="34" t="str">
        <f aca="false">IF($G102="","",$G102*Settings!$B$10)</f>
        <v/>
      </c>
      <c r="J102" s="34" t="str">
        <f aca="false">IF($G102="","",$G102*Settings!$B$11)</f>
        <v/>
      </c>
      <c r="K102" s="34" t="str">
        <f aca="false">IF($G102="","",$G102*Settings!$B$12)</f>
        <v/>
      </c>
      <c r="L102" s="34" t="str">
        <f aca="false">IF($G102="","",SUM($H102:$K102))</f>
        <v/>
      </c>
      <c r="M102" s="31" t="str">
        <f aca="false">IF($G102="","",IF(ROUND($L102,2)=ROUND($G102,2),"OK","MISMATCH"))</f>
        <v/>
      </c>
      <c r="N102" s="28"/>
      <c r="O102" s="27"/>
      <c r="P102" s="36" t="str">
        <f aca="false">IF($D102="","",EDATE($D102,12))</f>
        <v/>
      </c>
      <c r="Q102" s="32"/>
    </row>
    <row r="103" customFormat="false" ht="15.75" hidden="false" customHeight="true" outlineLevel="0" collapsed="false">
      <c r="A103" s="27"/>
      <c r="B103" s="27"/>
      <c r="C103" s="33" t="str">
        <f aca="false">IFERROR(INDEX(Customers!$C$4:$C$1003,MATCH($B103,Customers!$A$4:$A$1003,0)),"")</f>
        <v/>
      </c>
      <c r="D103" s="29"/>
      <c r="E103" s="31" t="str">
        <f aca="false">IFERROR(INDEX(Customers!$F$4:$F$1003,MATCH($B103,Customers!$A$4:$A$1003,0)),"")</f>
        <v/>
      </c>
      <c r="F103" s="28"/>
      <c r="G103" s="34" t="str">
        <f aca="false">IFERROR(INDEX(Customers!$L$4:$L$1003,MATCH($B103,Customers!$A$4:$A$1003,0)),"")</f>
        <v/>
      </c>
      <c r="H103" s="34" t="str">
        <f aca="false">IF($G103="","",$G103*Settings!$B$9)</f>
        <v/>
      </c>
      <c r="I103" s="34" t="str">
        <f aca="false">IF($G103="","",$G103*Settings!$B$10)</f>
        <v/>
      </c>
      <c r="J103" s="34" t="str">
        <f aca="false">IF($G103="","",$G103*Settings!$B$11)</f>
        <v/>
      </c>
      <c r="K103" s="34" t="str">
        <f aca="false">IF($G103="","",$G103*Settings!$B$12)</f>
        <v/>
      </c>
      <c r="L103" s="34" t="str">
        <f aca="false">IF($G103="","",SUM($H103:$K103))</f>
        <v/>
      </c>
      <c r="M103" s="31" t="str">
        <f aca="false">IF($G103="","",IF(ROUND($L103,2)=ROUND($G103,2),"OK","MISMATCH"))</f>
        <v/>
      </c>
      <c r="N103" s="28"/>
      <c r="O103" s="27"/>
      <c r="P103" s="36" t="str">
        <f aca="false">IF($D103="","",EDATE($D103,12))</f>
        <v/>
      </c>
      <c r="Q103" s="32"/>
    </row>
    <row r="104" customFormat="false" ht="15.75" hidden="false" customHeight="true" outlineLevel="0" collapsed="false">
      <c r="A104" s="27"/>
      <c r="B104" s="27"/>
      <c r="C104" s="33" t="str">
        <f aca="false">IFERROR(INDEX(Customers!$C$4:$C$1003,MATCH($B104,Customers!$A$4:$A$1003,0)),"")</f>
        <v/>
      </c>
      <c r="D104" s="29"/>
      <c r="E104" s="31" t="str">
        <f aca="false">IFERROR(INDEX(Customers!$F$4:$F$1003,MATCH($B104,Customers!$A$4:$A$1003,0)),"")</f>
        <v/>
      </c>
      <c r="F104" s="28"/>
      <c r="G104" s="34" t="str">
        <f aca="false">IFERROR(INDEX(Customers!$L$4:$L$1003,MATCH($B104,Customers!$A$4:$A$1003,0)),"")</f>
        <v/>
      </c>
      <c r="H104" s="34" t="str">
        <f aca="false">IF($G104="","",$G104*Settings!$B$9)</f>
        <v/>
      </c>
      <c r="I104" s="34" t="str">
        <f aca="false">IF($G104="","",$G104*Settings!$B$10)</f>
        <v/>
      </c>
      <c r="J104" s="34" t="str">
        <f aca="false">IF($G104="","",$G104*Settings!$B$11)</f>
        <v/>
      </c>
      <c r="K104" s="34" t="str">
        <f aca="false">IF($G104="","",$G104*Settings!$B$12)</f>
        <v/>
      </c>
      <c r="L104" s="34" t="str">
        <f aca="false">IF($G104="","",SUM($H104:$K104))</f>
        <v/>
      </c>
      <c r="M104" s="31" t="str">
        <f aca="false">IF($G104="","",IF(ROUND($L104,2)=ROUND($G104,2),"OK","MISMATCH"))</f>
        <v/>
      </c>
      <c r="N104" s="28"/>
      <c r="O104" s="27"/>
      <c r="P104" s="36" t="str">
        <f aca="false">IF($D104="","",EDATE($D104,12))</f>
        <v/>
      </c>
      <c r="Q104" s="32"/>
    </row>
    <row r="105" customFormat="false" ht="15.75" hidden="false" customHeight="true" outlineLevel="0" collapsed="false">
      <c r="A105" s="27"/>
      <c r="B105" s="27"/>
      <c r="C105" s="33" t="str">
        <f aca="false">IFERROR(INDEX(Customers!$C$4:$C$1003,MATCH($B105,Customers!$A$4:$A$1003,0)),"")</f>
        <v/>
      </c>
      <c r="D105" s="29"/>
      <c r="E105" s="31" t="str">
        <f aca="false">IFERROR(INDEX(Customers!$F$4:$F$1003,MATCH($B105,Customers!$A$4:$A$1003,0)),"")</f>
        <v/>
      </c>
      <c r="F105" s="28"/>
      <c r="G105" s="34" t="str">
        <f aca="false">IFERROR(INDEX(Customers!$L$4:$L$1003,MATCH($B105,Customers!$A$4:$A$1003,0)),"")</f>
        <v/>
      </c>
      <c r="H105" s="34" t="str">
        <f aca="false">IF($G105="","",$G105*Settings!$B$9)</f>
        <v/>
      </c>
      <c r="I105" s="34" t="str">
        <f aca="false">IF($G105="","",$G105*Settings!$B$10)</f>
        <v/>
      </c>
      <c r="J105" s="34" t="str">
        <f aca="false">IF($G105="","",$G105*Settings!$B$11)</f>
        <v/>
      </c>
      <c r="K105" s="34" t="str">
        <f aca="false">IF($G105="","",$G105*Settings!$B$12)</f>
        <v/>
      </c>
      <c r="L105" s="34" t="str">
        <f aca="false">IF($G105="","",SUM($H105:$K105))</f>
        <v/>
      </c>
      <c r="M105" s="31" t="str">
        <f aca="false">IF($G105="","",IF(ROUND($L105,2)=ROUND($G105,2),"OK","MISMATCH"))</f>
        <v/>
      </c>
      <c r="N105" s="28"/>
      <c r="O105" s="27"/>
      <c r="P105" s="36" t="str">
        <f aca="false">IF($D105="","",EDATE($D105,12))</f>
        <v/>
      </c>
      <c r="Q105" s="32"/>
    </row>
    <row r="106" customFormat="false" ht="15.75" hidden="false" customHeight="true" outlineLevel="0" collapsed="false">
      <c r="A106" s="27"/>
      <c r="B106" s="27"/>
      <c r="C106" s="33" t="str">
        <f aca="false">IFERROR(INDEX(Customers!$C$4:$C$1003,MATCH($B106,Customers!$A$4:$A$1003,0)),"")</f>
        <v/>
      </c>
      <c r="D106" s="29"/>
      <c r="E106" s="31" t="str">
        <f aca="false">IFERROR(INDEX(Customers!$F$4:$F$1003,MATCH($B106,Customers!$A$4:$A$1003,0)),"")</f>
        <v/>
      </c>
      <c r="F106" s="28"/>
      <c r="G106" s="34" t="str">
        <f aca="false">IFERROR(INDEX(Customers!$L$4:$L$1003,MATCH($B106,Customers!$A$4:$A$1003,0)),"")</f>
        <v/>
      </c>
      <c r="H106" s="34" t="str">
        <f aca="false">IF($G106="","",$G106*Settings!$B$9)</f>
        <v/>
      </c>
      <c r="I106" s="34" t="str">
        <f aca="false">IF($G106="","",$G106*Settings!$B$10)</f>
        <v/>
      </c>
      <c r="J106" s="34" t="str">
        <f aca="false">IF($G106="","",$G106*Settings!$B$11)</f>
        <v/>
      </c>
      <c r="K106" s="34" t="str">
        <f aca="false">IF($G106="","",$G106*Settings!$B$12)</f>
        <v/>
      </c>
      <c r="L106" s="34" t="str">
        <f aca="false">IF($G106="","",SUM($H106:$K106))</f>
        <v/>
      </c>
      <c r="M106" s="31" t="str">
        <f aca="false">IF($G106="","",IF(ROUND($L106,2)=ROUND($G106,2),"OK","MISMATCH"))</f>
        <v/>
      </c>
      <c r="N106" s="28"/>
      <c r="O106" s="27"/>
      <c r="P106" s="36" t="str">
        <f aca="false">IF($D106="","",EDATE($D106,12))</f>
        <v/>
      </c>
      <c r="Q106" s="32"/>
    </row>
    <row r="107" customFormat="false" ht="15.75" hidden="false" customHeight="true" outlineLevel="0" collapsed="false">
      <c r="A107" s="27"/>
      <c r="B107" s="27"/>
      <c r="C107" s="33" t="str">
        <f aca="false">IFERROR(INDEX(Customers!$C$4:$C$1003,MATCH($B107,Customers!$A$4:$A$1003,0)),"")</f>
        <v/>
      </c>
      <c r="D107" s="29"/>
      <c r="E107" s="31" t="str">
        <f aca="false">IFERROR(INDEX(Customers!$F$4:$F$1003,MATCH($B107,Customers!$A$4:$A$1003,0)),"")</f>
        <v/>
      </c>
      <c r="F107" s="28"/>
      <c r="G107" s="34" t="str">
        <f aca="false">IFERROR(INDEX(Customers!$L$4:$L$1003,MATCH($B107,Customers!$A$4:$A$1003,0)),"")</f>
        <v/>
      </c>
      <c r="H107" s="34" t="str">
        <f aca="false">IF($G107="","",$G107*Settings!$B$9)</f>
        <v/>
      </c>
      <c r="I107" s="34" t="str">
        <f aca="false">IF($G107="","",$G107*Settings!$B$10)</f>
        <v/>
      </c>
      <c r="J107" s="34" t="str">
        <f aca="false">IF($G107="","",$G107*Settings!$B$11)</f>
        <v/>
      </c>
      <c r="K107" s="34" t="str">
        <f aca="false">IF($G107="","",$G107*Settings!$B$12)</f>
        <v/>
      </c>
      <c r="L107" s="34" t="str">
        <f aca="false">IF($G107="","",SUM($H107:$K107))</f>
        <v/>
      </c>
      <c r="M107" s="31" t="str">
        <f aca="false">IF($G107="","",IF(ROUND($L107,2)=ROUND($G107,2),"OK","MISMATCH"))</f>
        <v/>
      </c>
      <c r="N107" s="28"/>
      <c r="O107" s="27"/>
      <c r="P107" s="36" t="str">
        <f aca="false">IF($D107="","",EDATE($D107,12))</f>
        <v/>
      </c>
      <c r="Q107" s="32"/>
    </row>
    <row r="108" customFormat="false" ht="15.75" hidden="false" customHeight="true" outlineLevel="0" collapsed="false">
      <c r="A108" s="27"/>
      <c r="B108" s="27"/>
      <c r="C108" s="33" t="str">
        <f aca="false">IFERROR(INDEX(Customers!$C$4:$C$1003,MATCH($B108,Customers!$A$4:$A$1003,0)),"")</f>
        <v/>
      </c>
      <c r="D108" s="29"/>
      <c r="E108" s="31" t="str">
        <f aca="false">IFERROR(INDEX(Customers!$F$4:$F$1003,MATCH($B108,Customers!$A$4:$A$1003,0)),"")</f>
        <v/>
      </c>
      <c r="F108" s="28"/>
      <c r="G108" s="34" t="str">
        <f aca="false">IFERROR(INDEX(Customers!$L$4:$L$1003,MATCH($B108,Customers!$A$4:$A$1003,0)),"")</f>
        <v/>
      </c>
      <c r="H108" s="34" t="str">
        <f aca="false">IF($G108="","",$G108*Settings!$B$9)</f>
        <v/>
      </c>
      <c r="I108" s="34" t="str">
        <f aca="false">IF($G108="","",$G108*Settings!$B$10)</f>
        <v/>
      </c>
      <c r="J108" s="34" t="str">
        <f aca="false">IF($G108="","",$G108*Settings!$B$11)</f>
        <v/>
      </c>
      <c r="K108" s="34" t="str">
        <f aca="false">IF($G108="","",$G108*Settings!$B$12)</f>
        <v/>
      </c>
      <c r="L108" s="34" t="str">
        <f aca="false">IF($G108="","",SUM($H108:$K108))</f>
        <v/>
      </c>
      <c r="M108" s="31" t="str">
        <f aca="false">IF($G108="","",IF(ROUND($L108,2)=ROUND($G108,2),"OK","MISMATCH"))</f>
        <v/>
      </c>
      <c r="N108" s="28"/>
      <c r="O108" s="27"/>
      <c r="P108" s="36" t="str">
        <f aca="false">IF($D108="","",EDATE($D108,12))</f>
        <v/>
      </c>
      <c r="Q108" s="32"/>
    </row>
    <row r="109" customFormat="false" ht="15.75" hidden="false" customHeight="true" outlineLevel="0" collapsed="false">
      <c r="A109" s="27"/>
      <c r="B109" s="27"/>
      <c r="C109" s="33" t="str">
        <f aca="false">IFERROR(INDEX(Customers!$C$4:$C$1003,MATCH($B109,Customers!$A$4:$A$1003,0)),"")</f>
        <v/>
      </c>
      <c r="D109" s="29"/>
      <c r="E109" s="31" t="str">
        <f aca="false">IFERROR(INDEX(Customers!$F$4:$F$1003,MATCH($B109,Customers!$A$4:$A$1003,0)),"")</f>
        <v/>
      </c>
      <c r="F109" s="28"/>
      <c r="G109" s="34" t="str">
        <f aca="false">IFERROR(INDEX(Customers!$L$4:$L$1003,MATCH($B109,Customers!$A$4:$A$1003,0)),"")</f>
        <v/>
      </c>
      <c r="H109" s="34" t="str">
        <f aca="false">IF($G109="","",$G109*Settings!$B$9)</f>
        <v/>
      </c>
      <c r="I109" s="34" t="str">
        <f aca="false">IF($G109="","",$G109*Settings!$B$10)</f>
        <v/>
      </c>
      <c r="J109" s="34" t="str">
        <f aca="false">IF($G109="","",$G109*Settings!$B$11)</f>
        <v/>
      </c>
      <c r="K109" s="34" t="str">
        <f aca="false">IF($G109="","",$G109*Settings!$B$12)</f>
        <v/>
      </c>
      <c r="L109" s="34" t="str">
        <f aca="false">IF($G109="","",SUM($H109:$K109))</f>
        <v/>
      </c>
      <c r="M109" s="31" t="str">
        <f aca="false">IF($G109="","",IF(ROUND($L109,2)=ROUND($G109,2),"OK","MISMATCH"))</f>
        <v/>
      </c>
      <c r="N109" s="28"/>
      <c r="O109" s="27"/>
      <c r="P109" s="36" t="str">
        <f aca="false">IF($D109="","",EDATE($D109,12))</f>
        <v/>
      </c>
      <c r="Q109" s="32"/>
    </row>
    <row r="110" customFormat="false" ht="15.75" hidden="false" customHeight="true" outlineLevel="0" collapsed="false">
      <c r="A110" s="27"/>
      <c r="B110" s="27"/>
      <c r="C110" s="33" t="str">
        <f aca="false">IFERROR(INDEX(Customers!$C$4:$C$1003,MATCH($B110,Customers!$A$4:$A$1003,0)),"")</f>
        <v/>
      </c>
      <c r="D110" s="29"/>
      <c r="E110" s="31" t="str">
        <f aca="false">IFERROR(INDEX(Customers!$F$4:$F$1003,MATCH($B110,Customers!$A$4:$A$1003,0)),"")</f>
        <v/>
      </c>
      <c r="F110" s="28"/>
      <c r="G110" s="34" t="str">
        <f aca="false">IFERROR(INDEX(Customers!$L$4:$L$1003,MATCH($B110,Customers!$A$4:$A$1003,0)),"")</f>
        <v/>
      </c>
      <c r="H110" s="34" t="str">
        <f aca="false">IF($G110="","",$G110*Settings!$B$9)</f>
        <v/>
      </c>
      <c r="I110" s="34" t="str">
        <f aca="false">IF($G110="","",$G110*Settings!$B$10)</f>
        <v/>
      </c>
      <c r="J110" s="34" t="str">
        <f aca="false">IF($G110="","",$G110*Settings!$B$11)</f>
        <v/>
      </c>
      <c r="K110" s="34" t="str">
        <f aca="false">IF($G110="","",$G110*Settings!$B$12)</f>
        <v/>
      </c>
      <c r="L110" s="34" t="str">
        <f aca="false">IF($G110="","",SUM($H110:$K110))</f>
        <v/>
      </c>
      <c r="M110" s="31" t="str">
        <f aca="false">IF($G110="","",IF(ROUND($L110,2)=ROUND($G110,2),"OK","MISMATCH"))</f>
        <v/>
      </c>
      <c r="N110" s="28"/>
      <c r="O110" s="27"/>
      <c r="P110" s="36" t="str">
        <f aca="false">IF($D110="","",EDATE($D110,12))</f>
        <v/>
      </c>
      <c r="Q110" s="32"/>
    </row>
    <row r="111" customFormat="false" ht="15.75" hidden="false" customHeight="true" outlineLevel="0" collapsed="false">
      <c r="A111" s="27"/>
      <c r="B111" s="27"/>
      <c r="C111" s="33" t="str">
        <f aca="false">IFERROR(INDEX(Customers!$C$4:$C$1003,MATCH($B111,Customers!$A$4:$A$1003,0)),"")</f>
        <v/>
      </c>
      <c r="D111" s="29"/>
      <c r="E111" s="31" t="str">
        <f aca="false">IFERROR(INDEX(Customers!$F$4:$F$1003,MATCH($B111,Customers!$A$4:$A$1003,0)),"")</f>
        <v/>
      </c>
      <c r="F111" s="28"/>
      <c r="G111" s="34" t="str">
        <f aca="false">IFERROR(INDEX(Customers!$L$4:$L$1003,MATCH($B111,Customers!$A$4:$A$1003,0)),"")</f>
        <v/>
      </c>
      <c r="H111" s="34" t="str">
        <f aca="false">IF($G111="","",$G111*Settings!$B$9)</f>
        <v/>
      </c>
      <c r="I111" s="34" t="str">
        <f aca="false">IF($G111="","",$G111*Settings!$B$10)</f>
        <v/>
      </c>
      <c r="J111" s="34" t="str">
        <f aca="false">IF($G111="","",$G111*Settings!$B$11)</f>
        <v/>
      </c>
      <c r="K111" s="34" t="str">
        <f aca="false">IF($G111="","",$G111*Settings!$B$12)</f>
        <v/>
      </c>
      <c r="L111" s="34" t="str">
        <f aca="false">IF($G111="","",SUM($H111:$K111))</f>
        <v/>
      </c>
      <c r="M111" s="31" t="str">
        <f aca="false">IF($G111="","",IF(ROUND($L111,2)=ROUND($G111,2),"OK","MISMATCH"))</f>
        <v/>
      </c>
      <c r="N111" s="28"/>
      <c r="O111" s="27"/>
      <c r="P111" s="36" t="str">
        <f aca="false">IF($D111="","",EDATE($D111,12))</f>
        <v/>
      </c>
      <c r="Q111" s="32"/>
    </row>
    <row r="112" customFormat="false" ht="15.75" hidden="false" customHeight="true" outlineLevel="0" collapsed="false">
      <c r="A112" s="27"/>
      <c r="B112" s="27"/>
      <c r="C112" s="33" t="str">
        <f aca="false">IFERROR(INDEX(Customers!$C$4:$C$1003,MATCH($B112,Customers!$A$4:$A$1003,0)),"")</f>
        <v/>
      </c>
      <c r="D112" s="29"/>
      <c r="E112" s="31" t="str">
        <f aca="false">IFERROR(INDEX(Customers!$F$4:$F$1003,MATCH($B112,Customers!$A$4:$A$1003,0)),"")</f>
        <v/>
      </c>
      <c r="F112" s="28"/>
      <c r="G112" s="34" t="str">
        <f aca="false">IFERROR(INDEX(Customers!$L$4:$L$1003,MATCH($B112,Customers!$A$4:$A$1003,0)),"")</f>
        <v/>
      </c>
      <c r="H112" s="34" t="str">
        <f aca="false">IF($G112="","",$G112*Settings!$B$9)</f>
        <v/>
      </c>
      <c r="I112" s="34" t="str">
        <f aca="false">IF($G112="","",$G112*Settings!$B$10)</f>
        <v/>
      </c>
      <c r="J112" s="34" t="str">
        <f aca="false">IF($G112="","",$G112*Settings!$B$11)</f>
        <v/>
      </c>
      <c r="K112" s="34" t="str">
        <f aca="false">IF($G112="","",$G112*Settings!$B$12)</f>
        <v/>
      </c>
      <c r="L112" s="34" t="str">
        <f aca="false">IF($G112="","",SUM($H112:$K112))</f>
        <v/>
      </c>
      <c r="M112" s="31" t="str">
        <f aca="false">IF($G112="","",IF(ROUND($L112,2)=ROUND($G112,2),"OK","MISMATCH"))</f>
        <v/>
      </c>
      <c r="N112" s="28"/>
      <c r="O112" s="27"/>
      <c r="P112" s="36" t="str">
        <f aca="false">IF($D112="","",EDATE($D112,12))</f>
        <v/>
      </c>
      <c r="Q112" s="32"/>
    </row>
    <row r="113" customFormat="false" ht="15.75" hidden="false" customHeight="true" outlineLevel="0" collapsed="false">
      <c r="A113" s="27"/>
      <c r="B113" s="27"/>
      <c r="C113" s="33" t="str">
        <f aca="false">IFERROR(INDEX(Customers!$C$4:$C$1003,MATCH($B113,Customers!$A$4:$A$1003,0)),"")</f>
        <v/>
      </c>
      <c r="D113" s="29"/>
      <c r="E113" s="31" t="str">
        <f aca="false">IFERROR(INDEX(Customers!$F$4:$F$1003,MATCH($B113,Customers!$A$4:$A$1003,0)),"")</f>
        <v/>
      </c>
      <c r="F113" s="28"/>
      <c r="G113" s="34" t="str">
        <f aca="false">IFERROR(INDEX(Customers!$L$4:$L$1003,MATCH($B113,Customers!$A$4:$A$1003,0)),"")</f>
        <v/>
      </c>
      <c r="H113" s="34" t="str">
        <f aca="false">IF($G113="","",$G113*Settings!$B$9)</f>
        <v/>
      </c>
      <c r="I113" s="34" t="str">
        <f aca="false">IF($G113="","",$G113*Settings!$B$10)</f>
        <v/>
      </c>
      <c r="J113" s="34" t="str">
        <f aca="false">IF($G113="","",$G113*Settings!$B$11)</f>
        <v/>
      </c>
      <c r="K113" s="34" t="str">
        <f aca="false">IF($G113="","",$G113*Settings!$B$12)</f>
        <v/>
      </c>
      <c r="L113" s="34" t="str">
        <f aca="false">IF($G113="","",SUM($H113:$K113))</f>
        <v/>
      </c>
      <c r="M113" s="31" t="str">
        <f aca="false">IF($G113="","",IF(ROUND($L113,2)=ROUND($G113,2),"OK","MISMATCH"))</f>
        <v/>
      </c>
      <c r="N113" s="28"/>
      <c r="O113" s="27"/>
      <c r="P113" s="36" t="str">
        <f aca="false">IF($D113="","",EDATE($D113,12))</f>
        <v/>
      </c>
      <c r="Q113" s="32"/>
    </row>
    <row r="114" customFormat="false" ht="15.75" hidden="false" customHeight="true" outlineLevel="0" collapsed="false">
      <c r="A114" s="27"/>
      <c r="B114" s="27"/>
      <c r="C114" s="33" t="str">
        <f aca="false">IFERROR(INDEX(Customers!$C$4:$C$1003,MATCH($B114,Customers!$A$4:$A$1003,0)),"")</f>
        <v/>
      </c>
      <c r="D114" s="29"/>
      <c r="E114" s="31" t="str">
        <f aca="false">IFERROR(INDEX(Customers!$F$4:$F$1003,MATCH($B114,Customers!$A$4:$A$1003,0)),"")</f>
        <v/>
      </c>
      <c r="F114" s="28"/>
      <c r="G114" s="34" t="str">
        <f aca="false">IFERROR(INDEX(Customers!$L$4:$L$1003,MATCH($B114,Customers!$A$4:$A$1003,0)),"")</f>
        <v/>
      </c>
      <c r="H114" s="34" t="str">
        <f aca="false">IF($G114="","",$G114*Settings!$B$9)</f>
        <v/>
      </c>
      <c r="I114" s="34" t="str">
        <f aca="false">IF($G114="","",$G114*Settings!$B$10)</f>
        <v/>
      </c>
      <c r="J114" s="34" t="str">
        <f aca="false">IF($G114="","",$G114*Settings!$B$11)</f>
        <v/>
      </c>
      <c r="K114" s="34" t="str">
        <f aca="false">IF($G114="","",$G114*Settings!$B$12)</f>
        <v/>
      </c>
      <c r="L114" s="34" t="str">
        <f aca="false">IF($G114="","",SUM($H114:$K114))</f>
        <v/>
      </c>
      <c r="M114" s="31" t="str">
        <f aca="false">IF($G114="","",IF(ROUND($L114,2)=ROUND($G114,2),"OK","MISMATCH"))</f>
        <v/>
      </c>
      <c r="N114" s="28"/>
      <c r="O114" s="27"/>
      <c r="P114" s="36" t="str">
        <f aca="false">IF($D114="","",EDATE($D114,12))</f>
        <v/>
      </c>
      <c r="Q114" s="32"/>
    </row>
    <row r="115" customFormat="false" ht="15.75" hidden="false" customHeight="true" outlineLevel="0" collapsed="false">
      <c r="A115" s="27"/>
      <c r="B115" s="27"/>
      <c r="C115" s="33" t="str">
        <f aca="false">IFERROR(INDEX(Customers!$C$4:$C$1003,MATCH($B115,Customers!$A$4:$A$1003,0)),"")</f>
        <v/>
      </c>
      <c r="D115" s="29"/>
      <c r="E115" s="31" t="str">
        <f aca="false">IFERROR(INDEX(Customers!$F$4:$F$1003,MATCH($B115,Customers!$A$4:$A$1003,0)),"")</f>
        <v/>
      </c>
      <c r="F115" s="28"/>
      <c r="G115" s="34" t="str">
        <f aca="false">IFERROR(INDEX(Customers!$L$4:$L$1003,MATCH($B115,Customers!$A$4:$A$1003,0)),"")</f>
        <v/>
      </c>
      <c r="H115" s="34" t="str">
        <f aca="false">IF($G115="","",$G115*Settings!$B$9)</f>
        <v/>
      </c>
      <c r="I115" s="34" t="str">
        <f aca="false">IF($G115="","",$G115*Settings!$B$10)</f>
        <v/>
      </c>
      <c r="J115" s="34" t="str">
        <f aca="false">IF($G115="","",$G115*Settings!$B$11)</f>
        <v/>
      </c>
      <c r="K115" s="34" t="str">
        <f aca="false">IF($G115="","",$G115*Settings!$B$12)</f>
        <v/>
      </c>
      <c r="L115" s="34" t="str">
        <f aca="false">IF($G115="","",SUM($H115:$K115))</f>
        <v/>
      </c>
      <c r="M115" s="31" t="str">
        <f aca="false">IF($G115="","",IF(ROUND($L115,2)=ROUND($G115,2),"OK","MISMATCH"))</f>
        <v/>
      </c>
      <c r="N115" s="28"/>
      <c r="O115" s="27"/>
      <c r="P115" s="36" t="str">
        <f aca="false">IF($D115="","",EDATE($D115,12))</f>
        <v/>
      </c>
      <c r="Q115" s="32"/>
    </row>
    <row r="116" customFormat="false" ht="15.75" hidden="false" customHeight="true" outlineLevel="0" collapsed="false">
      <c r="A116" s="27"/>
      <c r="B116" s="27"/>
      <c r="C116" s="33" t="str">
        <f aca="false">IFERROR(INDEX(Customers!$C$4:$C$1003,MATCH($B116,Customers!$A$4:$A$1003,0)),"")</f>
        <v/>
      </c>
      <c r="D116" s="29"/>
      <c r="E116" s="31" t="str">
        <f aca="false">IFERROR(INDEX(Customers!$F$4:$F$1003,MATCH($B116,Customers!$A$4:$A$1003,0)),"")</f>
        <v/>
      </c>
      <c r="F116" s="28"/>
      <c r="G116" s="34" t="str">
        <f aca="false">IFERROR(INDEX(Customers!$L$4:$L$1003,MATCH($B116,Customers!$A$4:$A$1003,0)),"")</f>
        <v/>
      </c>
      <c r="H116" s="34" t="str">
        <f aca="false">IF($G116="","",$G116*Settings!$B$9)</f>
        <v/>
      </c>
      <c r="I116" s="34" t="str">
        <f aca="false">IF($G116="","",$G116*Settings!$B$10)</f>
        <v/>
      </c>
      <c r="J116" s="34" t="str">
        <f aca="false">IF($G116="","",$G116*Settings!$B$11)</f>
        <v/>
      </c>
      <c r="K116" s="34" t="str">
        <f aca="false">IF($G116="","",$G116*Settings!$B$12)</f>
        <v/>
      </c>
      <c r="L116" s="34" t="str">
        <f aca="false">IF($G116="","",SUM($H116:$K116))</f>
        <v/>
      </c>
      <c r="M116" s="31" t="str">
        <f aca="false">IF($G116="","",IF(ROUND($L116,2)=ROUND($G116,2),"OK","MISMATCH"))</f>
        <v/>
      </c>
      <c r="N116" s="28"/>
      <c r="O116" s="27"/>
      <c r="P116" s="36" t="str">
        <f aca="false">IF($D116="","",EDATE($D116,12))</f>
        <v/>
      </c>
      <c r="Q116" s="32"/>
    </row>
    <row r="117" customFormat="false" ht="15.75" hidden="false" customHeight="true" outlineLevel="0" collapsed="false">
      <c r="A117" s="27"/>
      <c r="B117" s="27"/>
      <c r="C117" s="33" t="str">
        <f aca="false">IFERROR(INDEX(Customers!$C$4:$C$1003,MATCH($B117,Customers!$A$4:$A$1003,0)),"")</f>
        <v/>
      </c>
      <c r="D117" s="29"/>
      <c r="E117" s="31" t="str">
        <f aca="false">IFERROR(INDEX(Customers!$F$4:$F$1003,MATCH($B117,Customers!$A$4:$A$1003,0)),"")</f>
        <v/>
      </c>
      <c r="F117" s="28"/>
      <c r="G117" s="34" t="str">
        <f aca="false">IFERROR(INDEX(Customers!$L$4:$L$1003,MATCH($B117,Customers!$A$4:$A$1003,0)),"")</f>
        <v/>
      </c>
      <c r="H117" s="34" t="str">
        <f aca="false">IF($G117="","",$G117*Settings!$B$9)</f>
        <v/>
      </c>
      <c r="I117" s="34" t="str">
        <f aca="false">IF($G117="","",$G117*Settings!$B$10)</f>
        <v/>
      </c>
      <c r="J117" s="34" t="str">
        <f aca="false">IF($G117="","",$G117*Settings!$B$11)</f>
        <v/>
      </c>
      <c r="K117" s="34" t="str">
        <f aca="false">IF($G117="","",$G117*Settings!$B$12)</f>
        <v/>
      </c>
      <c r="L117" s="34" t="str">
        <f aca="false">IF($G117="","",SUM($H117:$K117))</f>
        <v/>
      </c>
      <c r="M117" s="31" t="str">
        <f aca="false">IF($G117="","",IF(ROUND($L117,2)=ROUND($G117,2),"OK","MISMATCH"))</f>
        <v/>
      </c>
      <c r="N117" s="28"/>
      <c r="O117" s="27"/>
      <c r="P117" s="36" t="str">
        <f aca="false">IF($D117="","",EDATE($D117,12))</f>
        <v/>
      </c>
      <c r="Q117" s="32"/>
    </row>
    <row r="118" customFormat="false" ht="15.75" hidden="false" customHeight="true" outlineLevel="0" collapsed="false">
      <c r="A118" s="27"/>
      <c r="B118" s="27"/>
      <c r="C118" s="33" t="str">
        <f aca="false">IFERROR(INDEX(Customers!$C$4:$C$1003,MATCH($B118,Customers!$A$4:$A$1003,0)),"")</f>
        <v/>
      </c>
      <c r="D118" s="29"/>
      <c r="E118" s="31" t="str">
        <f aca="false">IFERROR(INDEX(Customers!$F$4:$F$1003,MATCH($B118,Customers!$A$4:$A$1003,0)),"")</f>
        <v/>
      </c>
      <c r="F118" s="28"/>
      <c r="G118" s="34" t="str">
        <f aca="false">IFERROR(INDEX(Customers!$L$4:$L$1003,MATCH($B118,Customers!$A$4:$A$1003,0)),"")</f>
        <v/>
      </c>
      <c r="H118" s="34" t="str">
        <f aca="false">IF($G118="","",$G118*Settings!$B$9)</f>
        <v/>
      </c>
      <c r="I118" s="34" t="str">
        <f aca="false">IF($G118="","",$G118*Settings!$B$10)</f>
        <v/>
      </c>
      <c r="J118" s="34" t="str">
        <f aca="false">IF($G118="","",$G118*Settings!$B$11)</f>
        <v/>
      </c>
      <c r="K118" s="34" t="str">
        <f aca="false">IF($G118="","",$G118*Settings!$B$12)</f>
        <v/>
      </c>
      <c r="L118" s="34" t="str">
        <f aca="false">IF($G118="","",SUM($H118:$K118))</f>
        <v/>
      </c>
      <c r="M118" s="31" t="str">
        <f aca="false">IF($G118="","",IF(ROUND($L118,2)=ROUND($G118,2),"OK","MISMATCH"))</f>
        <v/>
      </c>
      <c r="N118" s="28"/>
      <c r="O118" s="27"/>
      <c r="P118" s="36" t="str">
        <f aca="false">IF($D118="","",EDATE($D118,12))</f>
        <v/>
      </c>
      <c r="Q118" s="32"/>
    </row>
    <row r="119" customFormat="false" ht="15.75" hidden="false" customHeight="true" outlineLevel="0" collapsed="false">
      <c r="A119" s="27"/>
      <c r="B119" s="27"/>
      <c r="C119" s="33" t="str">
        <f aca="false">IFERROR(INDEX(Customers!$C$4:$C$1003,MATCH($B119,Customers!$A$4:$A$1003,0)),"")</f>
        <v/>
      </c>
      <c r="D119" s="29"/>
      <c r="E119" s="31" t="str">
        <f aca="false">IFERROR(INDEX(Customers!$F$4:$F$1003,MATCH($B119,Customers!$A$4:$A$1003,0)),"")</f>
        <v/>
      </c>
      <c r="F119" s="28"/>
      <c r="G119" s="34" t="str">
        <f aca="false">IFERROR(INDEX(Customers!$L$4:$L$1003,MATCH($B119,Customers!$A$4:$A$1003,0)),"")</f>
        <v/>
      </c>
      <c r="H119" s="34" t="str">
        <f aca="false">IF($G119="","",$G119*Settings!$B$9)</f>
        <v/>
      </c>
      <c r="I119" s="34" t="str">
        <f aca="false">IF($G119="","",$G119*Settings!$B$10)</f>
        <v/>
      </c>
      <c r="J119" s="34" t="str">
        <f aca="false">IF($G119="","",$G119*Settings!$B$11)</f>
        <v/>
      </c>
      <c r="K119" s="34" t="str">
        <f aca="false">IF($G119="","",$G119*Settings!$B$12)</f>
        <v/>
      </c>
      <c r="L119" s="34" t="str">
        <f aca="false">IF($G119="","",SUM($H119:$K119))</f>
        <v/>
      </c>
      <c r="M119" s="31" t="str">
        <f aca="false">IF($G119="","",IF(ROUND($L119,2)=ROUND($G119,2),"OK","MISMATCH"))</f>
        <v/>
      </c>
      <c r="N119" s="28"/>
      <c r="O119" s="27"/>
      <c r="P119" s="36" t="str">
        <f aca="false">IF($D119="","",EDATE($D119,12))</f>
        <v/>
      </c>
      <c r="Q119" s="32"/>
    </row>
    <row r="120" customFormat="false" ht="15.75" hidden="false" customHeight="true" outlineLevel="0" collapsed="false">
      <c r="A120" s="27"/>
      <c r="B120" s="27"/>
      <c r="C120" s="33" t="str">
        <f aca="false">IFERROR(INDEX(Customers!$C$4:$C$1003,MATCH($B120,Customers!$A$4:$A$1003,0)),"")</f>
        <v/>
      </c>
      <c r="D120" s="29"/>
      <c r="E120" s="31" t="str">
        <f aca="false">IFERROR(INDEX(Customers!$F$4:$F$1003,MATCH($B120,Customers!$A$4:$A$1003,0)),"")</f>
        <v/>
      </c>
      <c r="F120" s="28"/>
      <c r="G120" s="34" t="str">
        <f aca="false">IFERROR(INDEX(Customers!$L$4:$L$1003,MATCH($B120,Customers!$A$4:$A$1003,0)),"")</f>
        <v/>
      </c>
      <c r="H120" s="34" t="str">
        <f aca="false">IF($G120="","",$G120*Settings!$B$9)</f>
        <v/>
      </c>
      <c r="I120" s="34" t="str">
        <f aca="false">IF($G120="","",$G120*Settings!$B$10)</f>
        <v/>
      </c>
      <c r="J120" s="34" t="str">
        <f aca="false">IF($G120="","",$G120*Settings!$B$11)</f>
        <v/>
      </c>
      <c r="K120" s="34" t="str">
        <f aca="false">IF($G120="","",$G120*Settings!$B$12)</f>
        <v/>
      </c>
      <c r="L120" s="34" t="str">
        <f aca="false">IF($G120="","",SUM($H120:$K120))</f>
        <v/>
      </c>
      <c r="M120" s="31" t="str">
        <f aca="false">IF($G120="","",IF(ROUND($L120,2)=ROUND($G120,2),"OK","MISMATCH"))</f>
        <v/>
      </c>
      <c r="N120" s="28"/>
      <c r="O120" s="27"/>
      <c r="P120" s="36" t="str">
        <f aca="false">IF($D120="","",EDATE($D120,12))</f>
        <v/>
      </c>
      <c r="Q120" s="32"/>
    </row>
    <row r="121" customFormat="false" ht="15.75" hidden="false" customHeight="true" outlineLevel="0" collapsed="false">
      <c r="A121" s="27"/>
      <c r="B121" s="27"/>
      <c r="C121" s="33" t="str">
        <f aca="false">IFERROR(INDEX(Customers!$C$4:$C$1003,MATCH($B121,Customers!$A$4:$A$1003,0)),"")</f>
        <v/>
      </c>
      <c r="D121" s="29"/>
      <c r="E121" s="31" t="str">
        <f aca="false">IFERROR(INDEX(Customers!$F$4:$F$1003,MATCH($B121,Customers!$A$4:$A$1003,0)),"")</f>
        <v/>
      </c>
      <c r="F121" s="28"/>
      <c r="G121" s="34" t="str">
        <f aca="false">IFERROR(INDEX(Customers!$L$4:$L$1003,MATCH($B121,Customers!$A$4:$A$1003,0)),"")</f>
        <v/>
      </c>
      <c r="H121" s="34" t="str">
        <f aca="false">IF($G121="","",$G121*Settings!$B$9)</f>
        <v/>
      </c>
      <c r="I121" s="34" t="str">
        <f aca="false">IF($G121="","",$G121*Settings!$B$10)</f>
        <v/>
      </c>
      <c r="J121" s="34" t="str">
        <f aca="false">IF($G121="","",$G121*Settings!$B$11)</f>
        <v/>
      </c>
      <c r="K121" s="34" t="str">
        <f aca="false">IF($G121="","",$G121*Settings!$B$12)</f>
        <v/>
      </c>
      <c r="L121" s="34" t="str">
        <f aca="false">IF($G121="","",SUM($H121:$K121))</f>
        <v/>
      </c>
      <c r="M121" s="31" t="str">
        <f aca="false">IF($G121="","",IF(ROUND($L121,2)=ROUND($G121,2),"OK","MISMATCH"))</f>
        <v/>
      </c>
      <c r="N121" s="28"/>
      <c r="O121" s="27"/>
      <c r="P121" s="36" t="str">
        <f aca="false">IF($D121="","",EDATE($D121,12))</f>
        <v/>
      </c>
      <c r="Q121" s="32"/>
    </row>
    <row r="122" customFormat="false" ht="15.75" hidden="false" customHeight="true" outlineLevel="0" collapsed="false">
      <c r="A122" s="27"/>
      <c r="B122" s="27"/>
      <c r="C122" s="33" t="str">
        <f aca="false">IFERROR(INDEX(Customers!$C$4:$C$1003,MATCH($B122,Customers!$A$4:$A$1003,0)),"")</f>
        <v/>
      </c>
      <c r="D122" s="29"/>
      <c r="E122" s="31" t="str">
        <f aca="false">IFERROR(INDEX(Customers!$F$4:$F$1003,MATCH($B122,Customers!$A$4:$A$1003,0)),"")</f>
        <v/>
      </c>
      <c r="F122" s="28"/>
      <c r="G122" s="34" t="str">
        <f aca="false">IFERROR(INDEX(Customers!$L$4:$L$1003,MATCH($B122,Customers!$A$4:$A$1003,0)),"")</f>
        <v/>
      </c>
      <c r="H122" s="34" t="str">
        <f aca="false">IF($G122="","",$G122*Settings!$B$9)</f>
        <v/>
      </c>
      <c r="I122" s="34" t="str">
        <f aca="false">IF($G122="","",$G122*Settings!$B$10)</f>
        <v/>
      </c>
      <c r="J122" s="34" t="str">
        <f aca="false">IF($G122="","",$G122*Settings!$B$11)</f>
        <v/>
      </c>
      <c r="K122" s="34" t="str">
        <f aca="false">IF($G122="","",$G122*Settings!$B$12)</f>
        <v/>
      </c>
      <c r="L122" s="34" t="str">
        <f aca="false">IF($G122="","",SUM($H122:$K122))</f>
        <v/>
      </c>
      <c r="M122" s="31" t="str">
        <f aca="false">IF($G122="","",IF(ROUND($L122,2)=ROUND($G122,2),"OK","MISMATCH"))</f>
        <v/>
      </c>
      <c r="N122" s="28"/>
      <c r="O122" s="27"/>
      <c r="P122" s="36" t="str">
        <f aca="false">IF($D122="","",EDATE($D122,12))</f>
        <v/>
      </c>
      <c r="Q122" s="32"/>
    </row>
    <row r="123" customFormat="false" ht="15.75" hidden="false" customHeight="true" outlineLevel="0" collapsed="false">
      <c r="A123" s="27"/>
      <c r="B123" s="27"/>
      <c r="C123" s="33" t="str">
        <f aca="false">IFERROR(INDEX(Customers!$C$4:$C$1003,MATCH($B123,Customers!$A$4:$A$1003,0)),"")</f>
        <v/>
      </c>
      <c r="D123" s="29"/>
      <c r="E123" s="31" t="str">
        <f aca="false">IFERROR(INDEX(Customers!$F$4:$F$1003,MATCH($B123,Customers!$A$4:$A$1003,0)),"")</f>
        <v/>
      </c>
      <c r="F123" s="28"/>
      <c r="G123" s="34" t="str">
        <f aca="false">IFERROR(INDEX(Customers!$L$4:$L$1003,MATCH($B123,Customers!$A$4:$A$1003,0)),"")</f>
        <v/>
      </c>
      <c r="H123" s="34" t="str">
        <f aca="false">IF($G123="","",$G123*Settings!$B$9)</f>
        <v/>
      </c>
      <c r="I123" s="34" t="str">
        <f aca="false">IF($G123="","",$G123*Settings!$B$10)</f>
        <v/>
      </c>
      <c r="J123" s="34" t="str">
        <f aca="false">IF($G123="","",$G123*Settings!$B$11)</f>
        <v/>
      </c>
      <c r="K123" s="34" t="str">
        <f aca="false">IF($G123="","",$G123*Settings!$B$12)</f>
        <v/>
      </c>
      <c r="L123" s="34" t="str">
        <f aca="false">IF($G123="","",SUM($H123:$K123))</f>
        <v/>
      </c>
      <c r="M123" s="31" t="str">
        <f aca="false">IF($G123="","",IF(ROUND($L123,2)=ROUND($G123,2),"OK","MISMATCH"))</f>
        <v/>
      </c>
      <c r="N123" s="28"/>
      <c r="O123" s="27"/>
      <c r="P123" s="36" t="str">
        <f aca="false">IF($D123="","",EDATE($D123,12))</f>
        <v/>
      </c>
      <c r="Q123" s="32"/>
    </row>
    <row r="124" customFormat="false" ht="15.75" hidden="false" customHeight="true" outlineLevel="0" collapsed="false">
      <c r="A124" s="27"/>
      <c r="B124" s="27"/>
      <c r="C124" s="33" t="str">
        <f aca="false">IFERROR(INDEX(Customers!$C$4:$C$1003,MATCH($B124,Customers!$A$4:$A$1003,0)),"")</f>
        <v/>
      </c>
      <c r="D124" s="29"/>
      <c r="E124" s="31" t="str">
        <f aca="false">IFERROR(INDEX(Customers!$F$4:$F$1003,MATCH($B124,Customers!$A$4:$A$1003,0)),"")</f>
        <v/>
      </c>
      <c r="F124" s="28"/>
      <c r="G124" s="34" t="str">
        <f aca="false">IFERROR(INDEX(Customers!$L$4:$L$1003,MATCH($B124,Customers!$A$4:$A$1003,0)),"")</f>
        <v/>
      </c>
      <c r="H124" s="34" t="str">
        <f aca="false">IF($G124="","",$G124*Settings!$B$9)</f>
        <v/>
      </c>
      <c r="I124" s="34" t="str">
        <f aca="false">IF($G124="","",$G124*Settings!$B$10)</f>
        <v/>
      </c>
      <c r="J124" s="34" t="str">
        <f aca="false">IF($G124="","",$G124*Settings!$B$11)</f>
        <v/>
      </c>
      <c r="K124" s="34" t="str">
        <f aca="false">IF($G124="","",$G124*Settings!$B$12)</f>
        <v/>
      </c>
      <c r="L124" s="34" t="str">
        <f aca="false">IF($G124="","",SUM($H124:$K124))</f>
        <v/>
      </c>
      <c r="M124" s="31" t="str">
        <f aca="false">IF($G124="","",IF(ROUND($L124,2)=ROUND($G124,2),"OK","MISMATCH"))</f>
        <v/>
      </c>
      <c r="N124" s="28"/>
      <c r="O124" s="27"/>
      <c r="P124" s="36" t="str">
        <f aca="false">IF($D124="","",EDATE($D124,12))</f>
        <v/>
      </c>
      <c r="Q124" s="32"/>
    </row>
    <row r="125" customFormat="false" ht="15.75" hidden="false" customHeight="true" outlineLevel="0" collapsed="false">
      <c r="A125" s="27"/>
      <c r="B125" s="27"/>
      <c r="C125" s="33" t="str">
        <f aca="false">IFERROR(INDEX(Customers!$C$4:$C$1003,MATCH($B125,Customers!$A$4:$A$1003,0)),"")</f>
        <v/>
      </c>
      <c r="D125" s="29"/>
      <c r="E125" s="31" t="str">
        <f aca="false">IFERROR(INDEX(Customers!$F$4:$F$1003,MATCH($B125,Customers!$A$4:$A$1003,0)),"")</f>
        <v/>
      </c>
      <c r="F125" s="28"/>
      <c r="G125" s="34" t="str">
        <f aca="false">IFERROR(INDEX(Customers!$L$4:$L$1003,MATCH($B125,Customers!$A$4:$A$1003,0)),"")</f>
        <v/>
      </c>
      <c r="H125" s="34" t="str">
        <f aca="false">IF($G125="","",$G125*Settings!$B$9)</f>
        <v/>
      </c>
      <c r="I125" s="34" t="str">
        <f aca="false">IF($G125="","",$G125*Settings!$B$10)</f>
        <v/>
      </c>
      <c r="J125" s="34" t="str">
        <f aca="false">IF($G125="","",$G125*Settings!$B$11)</f>
        <v/>
      </c>
      <c r="K125" s="34" t="str">
        <f aca="false">IF($G125="","",$G125*Settings!$B$12)</f>
        <v/>
      </c>
      <c r="L125" s="34" t="str">
        <f aca="false">IF($G125="","",SUM($H125:$K125))</f>
        <v/>
      </c>
      <c r="M125" s="31" t="str">
        <f aca="false">IF($G125="","",IF(ROUND($L125,2)=ROUND($G125,2),"OK","MISMATCH"))</f>
        <v/>
      </c>
      <c r="N125" s="28"/>
      <c r="O125" s="27"/>
      <c r="P125" s="36" t="str">
        <f aca="false">IF($D125="","",EDATE($D125,12))</f>
        <v/>
      </c>
      <c r="Q125" s="32"/>
    </row>
    <row r="126" customFormat="false" ht="15.75" hidden="false" customHeight="true" outlineLevel="0" collapsed="false">
      <c r="A126" s="27"/>
      <c r="B126" s="27"/>
      <c r="C126" s="33" t="str">
        <f aca="false">IFERROR(INDEX(Customers!$C$4:$C$1003,MATCH($B126,Customers!$A$4:$A$1003,0)),"")</f>
        <v/>
      </c>
      <c r="D126" s="29"/>
      <c r="E126" s="31" t="str">
        <f aca="false">IFERROR(INDEX(Customers!$F$4:$F$1003,MATCH($B126,Customers!$A$4:$A$1003,0)),"")</f>
        <v/>
      </c>
      <c r="F126" s="28"/>
      <c r="G126" s="34" t="str">
        <f aca="false">IFERROR(INDEX(Customers!$L$4:$L$1003,MATCH($B126,Customers!$A$4:$A$1003,0)),"")</f>
        <v/>
      </c>
      <c r="H126" s="34" t="str">
        <f aca="false">IF($G126="","",$G126*Settings!$B$9)</f>
        <v/>
      </c>
      <c r="I126" s="34" t="str">
        <f aca="false">IF($G126="","",$G126*Settings!$B$10)</f>
        <v/>
      </c>
      <c r="J126" s="34" t="str">
        <f aca="false">IF($G126="","",$G126*Settings!$B$11)</f>
        <v/>
      </c>
      <c r="K126" s="34" t="str">
        <f aca="false">IF($G126="","",$G126*Settings!$B$12)</f>
        <v/>
      </c>
      <c r="L126" s="34" t="str">
        <f aca="false">IF($G126="","",SUM($H126:$K126))</f>
        <v/>
      </c>
      <c r="M126" s="31" t="str">
        <f aca="false">IF($G126="","",IF(ROUND($L126,2)=ROUND($G126,2),"OK","MISMATCH"))</f>
        <v/>
      </c>
      <c r="N126" s="28"/>
      <c r="O126" s="27"/>
      <c r="P126" s="36" t="str">
        <f aca="false">IF($D126="","",EDATE($D126,12))</f>
        <v/>
      </c>
      <c r="Q126" s="32"/>
    </row>
    <row r="127" customFormat="false" ht="15.75" hidden="false" customHeight="true" outlineLevel="0" collapsed="false">
      <c r="A127" s="27"/>
      <c r="B127" s="27"/>
      <c r="C127" s="33" t="str">
        <f aca="false">IFERROR(INDEX(Customers!$C$4:$C$1003,MATCH($B127,Customers!$A$4:$A$1003,0)),"")</f>
        <v/>
      </c>
      <c r="D127" s="29"/>
      <c r="E127" s="31" t="str">
        <f aca="false">IFERROR(INDEX(Customers!$F$4:$F$1003,MATCH($B127,Customers!$A$4:$A$1003,0)),"")</f>
        <v/>
      </c>
      <c r="F127" s="28"/>
      <c r="G127" s="34" t="str">
        <f aca="false">IFERROR(INDEX(Customers!$L$4:$L$1003,MATCH($B127,Customers!$A$4:$A$1003,0)),"")</f>
        <v/>
      </c>
      <c r="H127" s="34" t="str">
        <f aca="false">IF($G127="","",$G127*Settings!$B$9)</f>
        <v/>
      </c>
      <c r="I127" s="34" t="str">
        <f aca="false">IF($G127="","",$G127*Settings!$B$10)</f>
        <v/>
      </c>
      <c r="J127" s="34" t="str">
        <f aca="false">IF($G127="","",$G127*Settings!$B$11)</f>
        <v/>
      </c>
      <c r="K127" s="34" t="str">
        <f aca="false">IF($G127="","",$G127*Settings!$B$12)</f>
        <v/>
      </c>
      <c r="L127" s="34" t="str">
        <f aca="false">IF($G127="","",SUM($H127:$K127))</f>
        <v/>
      </c>
      <c r="M127" s="31" t="str">
        <f aca="false">IF($G127="","",IF(ROUND($L127,2)=ROUND($G127,2),"OK","MISMATCH"))</f>
        <v/>
      </c>
      <c r="N127" s="28"/>
      <c r="O127" s="27"/>
      <c r="P127" s="36" t="str">
        <f aca="false">IF($D127="","",EDATE($D127,12))</f>
        <v/>
      </c>
      <c r="Q127" s="32"/>
    </row>
    <row r="128" customFormat="false" ht="15.75" hidden="false" customHeight="true" outlineLevel="0" collapsed="false">
      <c r="A128" s="27"/>
      <c r="B128" s="27"/>
      <c r="C128" s="33" t="str">
        <f aca="false">IFERROR(INDEX(Customers!$C$4:$C$1003,MATCH($B128,Customers!$A$4:$A$1003,0)),"")</f>
        <v/>
      </c>
      <c r="D128" s="29"/>
      <c r="E128" s="31" t="str">
        <f aca="false">IFERROR(INDEX(Customers!$F$4:$F$1003,MATCH($B128,Customers!$A$4:$A$1003,0)),"")</f>
        <v/>
      </c>
      <c r="F128" s="28"/>
      <c r="G128" s="34" t="str">
        <f aca="false">IFERROR(INDEX(Customers!$L$4:$L$1003,MATCH($B128,Customers!$A$4:$A$1003,0)),"")</f>
        <v/>
      </c>
      <c r="H128" s="34" t="str">
        <f aca="false">IF($G128="","",$G128*Settings!$B$9)</f>
        <v/>
      </c>
      <c r="I128" s="34" t="str">
        <f aca="false">IF($G128="","",$G128*Settings!$B$10)</f>
        <v/>
      </c>
      <c r="J128" s="34" t="str">
        <f aca="false">IF($G128="","",$G128*Settings!$B$11)</f>
        <v/>
      </c>
      <c r="K128" s="34" t="str">
        <f aca="false">IF($G128="","",$G128*Settings!$B$12)</f>
        <v/>
      </c>
      <c r="L128" s="34" t="str">
        <f aca="false">IF($G128="","",SUM($H128:$K128))</f>
        <v/>
      </c>
      <c r="M128" s="31" t="str">
        <f aca="false">IF($G128="","",IF(ROUND($L128,2)=ROUND($G128,2),"OK","MISMATCH"))</f>
        <v/>
      </c>
      <c r="N128" s="28"/>
      <c r="O128" s="27"/>
      <c r="P128" s="36" t="str">
        <f aca="false">IF($D128="","",EDATE($D128,12))</f>
        <v/>
      </c>
      <c r="Q128" s="32"/>
    </row>
    <row r="129" customFormat="false" ht="15.75" hidden="false" customHeight="true" outlineLevel="0" collapsed="false">
      <c r="A129" s="27"/>
      <c r="B129" s="27"/>
      <c r="C129" s="33" t="str">
        <f aca="false">IFERROR(INDEX(Customers!$C$4:$C$1003,MATCH($B129,Customers!$A$4:$A$1003,0)),"")</f>
        <v/>
      </c>
      <c r="D129" s="29"/>
      <c r="E129" s="31" t="str">
        <f aca="false">IFERROR(INDEX(Customers!$F$4:$F$1003,MATCH($B129,Customers!$A$4:$A$1003,0)),"")</f>
        <v/>
      </c>
      <c r="F129" s="28"/>
      <c r="G129" s="34" t="str">
        <f aca="false">IFERROR(INDEX(Customers!$L$4:$L$1003,MATCH($B129,Customers!$A$4:$A$1003,0)),"")</f>
        <v/>
      </c>
      <c r="H129" s="34" t="str">
        <f aca="false">IF($G129="","",$G129*Settings!$B$9)</f>
        <v/>
      </c>
      <c r="I129" s="34" t="str">
        <f aca="false">IF($G129="","",$G129*Settings!$B$10)</f>
        <v/>
      </c>
      <c r="J129" s="34" t="str">
        <f aca="false">IF($G129="","",$G129*Settings!$B$11)</f>
        <v/>
      </c>
      <c r="K129" s="34" t="str">
        <f aca="false">IF($G129="","",$G129*Settings!$B$12)</f>
        <v/>
      </c>
      <c r="L129" s="34" t="str">
        <f aca="false">IF($G129="","",SUM($H129:$K129))</f>
        <v/>
      </c>
      <c r="M129" s="31" t="str">
        <f aca="false">IF($G129="","",IF(ROUND($L129,2)=ROUND($G129,2),"OK","MISMATCH"))</f>
        <v/>
      </c>
      <c r="N129" s="28"/>
      <c r="O129" s="27"/>
      <c r="P129" s="36" t="str">
        <f aca="false">IF($D129="","",EDATE($D129,12))</f>
        <v/>
      </c>
      <c r="Q129" s="32"/>
    </row>
    <row r="130" customFormat="false" ht="15.75" hidden="false" customHeight="true" outlineLevel="0" collapsed="false">
      <c r="A130" s="27"/>
      <c r="B130" s="27"/>
      <c r="C130" s="33" t="str">
        <f aca="false">IFERROR(INDEX(Customers!$C$4:$C$1003,MATCH($B130,Customers!$A$4:$A$1003,0)),"")</f>
        <v/>
      </c>
      <c r="D130" s="29"/>
      <c r="E130" s="31" t="str">
        <f aca="false">IFERROR(INDEX(Customers!$F$4:$F$1003,MATCH($B130,Customers!$A$4:$A$1003,0)),"")</f>
        <v/>
      </c>
      <c r="F130" s="28"/>
      <c r="G130" s="34" t="str">
        <f aca="false">IFERROR(INDEX(Customers!$L$4:$L$1003,MATCH($B130,Customers!$A$4:$A$1003,0)),"")</f>
        <v/>
      </c>
      <c r="H130" s="34" t="str">
        <f aca="false">IF($G130="","",$G130*Settings!$B$9)</f>
        <v/>
      </c>
      <c r="I130" s="34" t="str">
        <f aca="false">IF($G130="","",$G130*Settings!$B$10)</f>
        <v/>
      </c>
      <c r="J130" s="34" t="str">
        <f aca="false">IF($G130="","",$G130*Settings!$B$11)</f>
        <v/>
      </c>
      <c r="K130" s="34" t="str">
        <f aca="false">IF($G130="","",$G130*Settings!$B$12)</f>
        <v/>
      </c>
      <c r="L130" s="34" t="str">
        <f aca="false">IF($G130="","",SUM($H130:$K130))</f>
        <v/>
      </c>
      <c r="M130" s="31" t="str">
        <f aca="false">IF($G130="","",IF(ROUND($L130,2)=ROUND($G130,2),"OK","MISMATCH"))</f>
        <v/>
      </c>
      <c r="N130" s="28"/>
      <c r="O130" s="27"/>
      <c r="P130" s="36" t="str">
        <f aca="false">IF($D130="","",EDATE($D130,12))</f>
        <v/>
      </c>
      <c r="Q130" s="32"/>
    </row>
    <row r="131" customFormat="false" ht="15.75" hidden="false" customHeight="true" outlineLevel="0" collapsed="false">
      <c r="A131" s="27"/>
      <c r="B131" s="27"/>
      <c r="C131" s="33" t="str">
        <f aca="false">IFERROR(INDEX(Customers!$C$4:$C$1003,MATCH($B131,Customers!$A$4:$A$1003,0)),"")</f>
        <v/>
      </c>
      <c r="D131" s="29"/>
      <c r="E131" s="31" t="str">
        <f aca="false">IFERROR(INDEX(Customers!$F$4:$F$1003,MATCH($B131,Customers!$A$4:$A$1003,0)),"")</f>
        <v/>
      </c>
      <c r="F131" s="28"/>
      <c r="G131" s="34" t="str">
        <f aca="false">IFERROR(INDEX(Customers!$L$4:$L$1003,MATCH($B131,Customers!$A$4:$A$1003,0)),"")</f>
        <v/>
      </c>
      <c r="H131" s="34" t="str">
        <f aca="false">IF($G131="","",$G131*Settings!$B$9)</f>
        <v/>
      </c>
      <c r="I131" s="34" t="str">
        <f aca="false">IF($G131="","",$G131*Settings!$B$10)</f>
        <v/>
      </c>
      <c r="J131" s="34" t="str">
        <f aca="false">IF($G131="","",$G131*Settings!$B$11)</f>
        <v/>
      </c>
      <c r="K131" s="34" t="str">
        <f aca="false">IF($G131="","",$G131*Settings!$B$12)</f>
        <v/>
      </c>
      <c r="L131" s="34" t="str">
        <f aca="false">IF($G131="","",SUM($H131:$K131))</f>
        <v/>
      </c>
      <c r="M131" s="31" t="str">
        <f aca="false">IF($G131="","",IF(ROUND($L131,2)=ROUND($G131,2),"OK","MISMATCH"))</f>
        <v/>
      </c>
      <c r="N131" s="28"/>
      <c r="O131" s="27"/>
      <c r="P131" s="36" t="str">
        <f aca="false">IF($D131="","",EDATE($D131,12))</f>
        <v/>
      </c>
      <c r="Q131" s="32"/>
    </row>
    <row r="132" customFormat="false" ht="15.75" hidden="false" customHeight="true" outlineLevel="0" collapsed="false">
      <c r="A132" s="27"/>
      <c r="B132" s="27"/>
      <c r="C132" s="33" t="str">
        <f aca="false">IFERROR(INDEX(Customers!$C$4:$C$1003,MATCH($B132,Customers!$A$4:$A$1003,0)),"")</f>
        <v/>
      </c>
      <c r="D132" s="29"/>
      <c r="E132" s="31" t="str">
        <f aca="false">IFERROR(INDEX(Customers!$F$4:$F$1003,MATCH($B132,Customers!$A$4:$A$1003,0)),"")</f>
        <v/>
      </c>
      <c r="F132" s="28"/>
      <c r="G132" s="34" t="str">
        <f aca="false">IFERROR(INDEX(Customers!$L$4:$L$1003,MATCH($B132,Customers!$A$4:$A$1003,0)),"")</f>
        <v/>
      </c>
      <c r="H132" s="34" t="str">
        <f aca="false">IF($G132="","",$G132*Settings!$B$9)</f>
        <v/>
      </c>
      <c r="I132" s="34" t="str">
        <f aca="false">IF($G132="","",$G132*Settings!$B$10)</f>
        <v/>
      </c>
      <c r="J132" s="34" t="str">
        <f aca="false">IF($G132="","",$G132*Settings!$B$11)</f>
        <v/>
      </c>
      <c r="K132" s="34" t="str">
        <f aca="false">IF($G132="","",$G132*Settings!$B$12)</f>
        <v/>
      </c>
      <c r="L132" s="34" t="str">
        <f aca="false">IF($G132="","",SUM($H132:$K132))</f>
        <v/>
      </c>
      <c r="M132" s="31" t="str">
        <f aca="false">IF($G132="","",IF(ROUND($L132,2)=ROUND($G132,2),"OK","MISMATCH"))</f>
        <v/>
      </c>
      <c r="N132" s="28"/>
      <c r="O132" s="27"/>
      <c r="P132" s="36" t="str">
        <f aca="false">IF($D132="","",EDATE($D132,12))</f>
        <v/>
      </c>
      <c r="Q132" s="32"/>
    </row>
    <row r="133" customFormat="false" ht="15.75" hidden="false" customHeight="true" outlineLevel="0" collapsed="false">
      <c r="A133" s="27"/>
      <c r="B133" s="27"/>
      <c r="C133" s="33" t="str">
        <f aca="false">IFERROR(INDEX(Customers!$C$4:$C$1003,MATCH($B133,Customers!$A$4:$A$1003,0)),"")</f>
        <v/>
      </c>
      <c r="D133" s="29"/>
      <c r="E133" s="31" t="str">
        <f aca="false">IFERROR(INDEX(Customers!$F$4:$F$1003,MATCH($B133,Customers!$A$4:$A$1003,0)),"")</f>
        <v/>
      </c>
      <c r="F133" s="28"/>
      <c r="G133" s="34" t="str">
        <f aca="false">IFERROR(INDEX(Customers!$L$4:$L$1003,MATCH($B133,Customers!$A$4:$A$1003,0)),"")</f>
        <v/>
      </c>
      <c r="H133" s="34" t="str">
        <f aca="false">IF($G133="","",$G133*Settings!$B$9)</f>
        <v/>
      </c>
      <c r="I133" s="34" t="str">
        <f aca="false">IF($G133="","",$G133*Settings!$B$10)</f>
        <v/>
      </c>
      <c r="J133" s="34" t="str">
        <f aca="false">IF($G133="","",$G133*Settings!$B$11)</f>
        <v/>
      </c>
      <c r="K133" s="34" t="str">
        <f aca="false">IF($G133="","",$G133*Settings!$B$12)</f>
        <v/>
      </c>
      <c r="L133" s="34" t="str">
        <f aca="false">IF($G133="","",SUM($H133:$K133))</f>
        <v/>
      </c>
      <c r="M133" s="31" t="str">
        <f aca="false">IF($G133="","",IF(ROUND($L133,2)=ROUND($G133,2),"OK","MISMATCH"))</f>
        <v/>
      </c>
      <c r="N133" s="28"/>
      <c r="O133" s="27"/>
      <c r="P133" s="36" t="str">
        <f aca="false">IF($D133="","",EDATE($D133,12))</f>
        <v/>
      </c>
      <c r="Q133" s="32"/>
    </row>
    <row r="134" customFormat="false" ht="15.75" hidden="false" customHeight="true" outlineLevel="0" collapsed="false">
      <c r="A134" s="27"/>
      <c r="B134" s="27"/>
      <c r="C134" s="33" t="str">
        <f aca="false">IFERROR(INDEX(Customers!$C$4:$C$1003,MATCH($B134,Customers!$A$4:$A$1003,0)),"")</f>
        <v/>
      </c>
      <c r="D134" s="29"/>
      <c r="E134" s="31" t="str">
        <f aca="false">IFERROR(INDEX(Customers!$F$4:$F$1003,MATCH($B134,Customers!$A$4:$A$1003,0)),"")</f>
        <v/>
      </c>
      <c r="F134" s="28"/>
      <c r="G134" s="34" t="str">
        <f aca="false">IFERROR(INDEX(Customers!$L$4:$L$1003,MATCH($B134,Customers!$A$4:$A$1003,0)),"")</f>
        <v/>
      </c>
      <c r="H134" s="34" t="str">
        <f aca="false">IF($G134="","",$G134*Settings!$B$9)</f>
        <v/>
      </c>
      <c r="I134" s="34" t="str">
        <f aca="false">IF($G134="","",$G134*Settings!$B$10)</f>
        <v/>
      </c>
      <c r="J134" s="34" t="str">
        <f aca="false">IF($G134="","",$G134*Settings!$B$11)</f>
        <v/>
      </c>
      <c r="K134" s="34" t="str">
        <f aca="false">IF($G134="","",$G134*Settings!$B$12)</f>
        <v/>
      </c>
      <c r="L134" s="34" t="str">
        <f aca="false">IF($G134="","",SUM($H134:$K134))</f>
        <v/>
      </c>
      <c r="M134" s="31" t="str">
        <f aca="false">IF($G134="","",IF(ROUND($L134,2)=ROUND($G134,2),"OK","MISMATCH"))</f>
        <v/>
      </c>
      <c r="N134" s="28"/>
      <c r="O134" s="27"/>
      <c r="P134" s="36" t="str">
        <f aca="false">IF($D134="","",EDATE($D134,12))</f>
        <v/>
      </c>
      <c r="Q134" s="32"/>
    </row>
    <row r="135" customFormat="false" ht="15.75" hidden="false" customHeight="true" outlineLevel="0" collapsed="false">
      <c r="A135" s="27"/>
      <c r="B135" s="27"/>
      <c r="C135" s="33" t="str">
        <f aca="false">IFERROR(INDEX(Customers!$C$4:$C$1003,MATCH($B135,Customers!$A$4:$A$1003,0)),"")</f>
        <v/>
      </c>
      <c r="D135" s="29"/>
      <c r="E135" s="31" t="str">
        <f aca="false">IFERROR(INDEX(Customers!$F$4:$F$1003,MATCH($B135,Customers!$A$4:$A$1003,0)),"")</f>
        <v/>
      </c>
      <c r="F135" s="28"/>
      <c r="G135" s="34" t="str">
        <f aca="false">IFERROR(INDEX(Customers!$L$4:$L$1003,MATCH($B135,Customers!$A$4:$A$1003,0)),"")</f>
        <v/>
      </c>
      <c r="H135" s="34" t="str">
        <f aca="false">IF($G135="","",$G135*Settings!$B$9)</f>
        <v/>
      </c>
      <c r="I135" s="34" t="str">
        <f aca="false">IF($G135="","",$G135*Settings!$B$10)</f>
        <v/>
      </c>
      <c r="J135" s="34" t="str">
        <f aca="false">IF($G135="","",$G135*Settings!$B$11)</f>
        <v/>
      </c>
      <c r="K135" s="34" t="str">
        <f aca="false">IF($G135="","",$G135*Settings!$B$12)</f>
        <v/>
      </c>
      <c r="L135" s="34" t="str">
        <f aca="false">IF($G135="","",SUM($H135:$K135))</f>
        <v/>
      </c>
      <c r="M135" s="31" t="str">
        <f aca="false">IF($G135="","",IF(ROUND($L135,2)=ROUND($G135,2),"OK","MISMATCH"))</f>
        <v/>
      </c>
      <c r="N135" s="28"/>
      <c r="O135" s="27"/>
      <c r="P135" s="36" t="str">
        <f aca="false">IF($D135="","",EDATE($D135,12))</f>
        <v/>
      </c>
      <c r="Q135" s="32"/>
    </row>
    <row r="136" customFormat="false" ht="15.75" hidden="false" customHeight="true" outlineLevel="0" collapsed="false">
      <c r="A136" s="27"/>
      <c r="B136" s="27"/>
      <c r="C136" s="33" t="str">
        <f aca="false">IFERROR(INDEX(Customers!$C$4:$C$1003,MATCH($B136,Customers!$A$4:$A$1003,0)),"")</f>
        <v/>
      </c>
      <c r="D136" s="29"/>
      <c r="E136" s="31" t="str">
        <f aca="false">IFERROR(INDEX(Customers!$F$4:$F$1003,MATCH($B136,Customers!$A$4:$A$1003,0)),"")</f>
        <v/>
      </c>
      <c r="F136" s="28"/>
      <c r="G136" s="34" t="str">
        <f aca="false">IFERROR(INDEX(Customers!$L$4:$L$1003,MATCH($B136,Customers!$A$4:$A$1003,0)),"")</f>
        <v/>
      </c>
      <c r="H136" s="34" t="str">
        <f aca="false">IF($G136="","",$G136*Settings!$B$9)</f>
        <v/>
      </c>
      <c r="I136" s="34" t="str">
        <f aca="false">IF($G136="","",$G136*Settings!$B$10)</f>
        <v/>
      </c>
      <c r="J136" s="34" t="str">
        <f aca="false">IF($G136="","",$G136*Settings!$B$11)</f>
        <v/>
      </c>
      <c r="K136" s="34" t="str">
        <f aca="false">IF($G136="","",$G136*Settings!$B$12)</f>
        <v/>
      </c>
      <c r="L136" s="34" t="str">
        <f aca="false">IF($G136="","",SUM($H136:$K136))</f>
        <v/>
      </c>
      <c r="M136" s="31" t="str">
        <f aca="false">IF($G136="","",IF(ROUND($L136,2)=ROUND($G136,2),"OK","MISMATCH"))</f>
        <v/>
      </c>
      <c r="N136" s="28"/>
      <c r="O136" s="27"/>
      <c r="P136" s="36" t="str">
        <f aca="false">IF($D136="","",EDATE($D136,12))</f>
        <v/>
      </c>
      <c r="Q136" s="32"/>
    </row>
    <row r="137" customFormat="false" ht="15.75" hidden="false" customHeight="true" outlineLevel="0" collapsed="false">
      <c r="A137" s="27"/>
      <c r="B137" s="27"/>
      <c r="C137" s="33" t="str">
        <f aca="false">IFERROR(INDEX(Customers!$C$4:$C$1003,MATCH($B137,Customers!$A$4:$A$1003,0)),"")</f>
        <v/>
      </c>
      <c r="D137" s="29"/>
      <c r="E137" s="31" t="str">
        <f aca="false">IFERROR(INDEX(Customers!$F$4:$F$1003,MATCH($B137,Customers!$A$4:$A$1003,0)),"")</f>
        <v/>
      </c>
      <c r="F137" s="28"/>
      <c r="G137" s="34" t="str">
        <f aca="false">IFERROR(INDEX(Customers!$L$4:$L$1003,MATCH($B137,Customers!$A$4:$A$1003,0)),"")</f>
        <v/>
      </c>
      <c r="H137" s="34" t="str">
        <f aca="false">IF($G137="","",$G137*Settings!$B$9)</f>
        <v/>
      </c>
      <c r="I137" s="34" t="str">
        <f aca="false">IF($G137="","",$G137*Settings!$B$10)</f>
        <v/>
      </c>
      <c r="J137" s="34" t="str">
        <f aca="false">IF($G137="","",$G137*Settings!$B$11)</f>
        <v/>
      </c>
      <c r="K137" s="34" t="str">
        <f aca="false">IF($G137="","",$G137*Settings!$B$12)</f>
        <v/>
      </c>
      <c r="L137" s="34" t="str">
        <f aca="false">IF($G137="","",SUM($H137:$K137))</f>
        <v/>
      </c>
      <c r="M137" s="31" t="str">
        <f aca="false">IF($G137="","",IF(ROUND($L137,2)=ROUND($G137,2),"OK","MISMATCH"))</f>
        <v/>
      </c>
      <c r="N137" s="28"/>
      <c r="O137" s="27"/>
      <c r="P137" s="36" t="str">
        <f aca="false">IF($D137="","",EDATE($D137,12))</f>
        <v/>
      </c>
      <c r="Q137" s="32"/>
    </row>
    <row r="138" customFormat="false" ht="15.75" hidden="false" customHeight="true" outlineLevel="0" collapsed="false">
      <c r="A138" s="27"/>
      <c r="B138" s="27"/>
      <c r="C138" s="33" t="str">
        <f aca="false">IFERROR(INDEX(Customers!$C$4:$C$1003,MATCH($B138,Customers!$A$4:$A$1003,0)),"")</f>
        <v/>
      </c>
      <c r="D138" s="29"/>
      <c r="E138" s="31" t="str">
        <f aca="false">IFERROR(INDEX(Customers!$F$4:$F$1003,MATCH($B138,Customers!$A$4:$A$1003,0)),"")</f>
        <v/>
      </c>
      <c r="F138" s="28"/>
      <c r="G138" s="34" t="str">
        <f aca="false">IFERROR(INDEX(Customers!$L$4:$L$1003,MATCH($B138,Customers!$A$4:$A$1003,0)),"")</f>
        <v/>
      </c>
      <c r="H138" s="34" t="str">
        <f aca="false">IF($G138="","",$G138*Settings!$B$9)</f>
        <v/>
      </c>
      <c r="I138" s="34" t="str">
        <f aca="false">IF($G138="","",$G138*Settings!$B$10)</f>
        <v/>
      </c>
      <c r="J138" s="34" t="str">
        <f aca="false">IF($G138="","",$G138*Settings!$B$11)</f>
        <v/>
      </c>
      <c r="K138" s="34" t="str">
        <f aca="false">IF($G138="","",$G138*Settings!$B$12)</f>
        <v/>
      </c>
      <c r="L138" s="34" t="str">
        <f aca="false">IF($G138="","",SUM($H138:$K138))</f>
        <v/>
      </c>
      <c r="M138" s="31" t="str">
        <f aca="false">IF($G138="","",IF(ROUND($L138,2)=ROUND($G138,2),"OK","MISMATCH"))</f>
        <v/>
      </c>
      <c r="N138" s="28"/>
      <c r="O138" s="27"/>
      <c r="P138" s="36" t="str">
        <f aca="false">IF($D138="","",EDATE($D138,12))</f>
        <v/>
      </c>
      <c r="Q138" s="32"/>
    </row>
    <row r="139" customFormat="false" ht="15.75" hidden="false" customHeight="true" outlineLevel="0" collapsed="false">
      <c r="A139" s="27"/>
      <c r="B139" s="27"/>
      <c r="C139" s="33" t="str">
        <f aca="false">IFERROR(INDEX(Customers!$C$4:$C$1003,MATCH($B139,Customers!$A$4:$A$1003,0)),"")</f>
        <v/>
      </c>
      <c r="D139" s="29"/>
      <c r="E139" s="31" t="str">
        <f aca="false">IFERROR(INDEX(Customers!$F$4:$F$1003,MATCH($B139,Customers!$A$4:$A$1003,0)),"")</f>
        <v/>
      </c>
      <c r="F139" s="28"/>
      <c r="G139" s="34" t="str">
        <f aca="false">IFERROR(INDEX(Customers!$L$4:$L$1003,MATCH($B139,Customers!$A$4:$A$1003,0)),"")</f>
        <v/>
      </c>
      <c r="H139" s="34" t="str">
        <f aca="false">IF($G139="","",$G139*Settings!$B$9)</f>
        <v/>
      </c>
      <c r="I139" s="34" t="str">
        <f aca="false">IF($G139="","",$G139*Settings!$B$10)</f>
        <v/>
      </c>
      <c r="J139" s="34" t="str">
        <f aca="false">IF($G139="","",$G139*Settings!$B$11)</f>
        <v/>
      </c>
      <c r="K139" s="34" t="str">
        <f aca="false">IF($G139="","",$G139*Settings!$B$12)</f>
        <v/>
      </c>
      <c r="L139" s="34" t="str">
        <f aca="false">IF($G139="","",SUM($H139:$K139))</f>
        <v/>
      </c>
      <c r="M139" s="31" t="str">
        <f aca="false">IF($G139="","",IF(ROUND($L139,2)=ROUND($G139,2),"OK","MISMATCH"))</f>
        <v/>
      </c>
      <c r="N139" s="28"/>
      <c r="O139" s="27"/>
      <c r="P139" s="36" t="str">
        <f aca="false">IF($D139="","",EDATE($D139,12))</f>
        <v/>
      </c>
      <c r="Q139" s="32"/>
    </row>
    <row r="140" customFormat="false" ht="15.75" hidden="false" customHeight="true" outlineLevel="0" collapsed="false">
      <c r="A140" s="27"/>
      <c r="B140" s="27"/>
      <c r="C140" s="33" t="str">
        <f aca="false">IFERROR(INDEX(Customers!$C$4:$C$1003,MATCH($B140,Customers!$A$4:$A$1003,0)),"")</f>
        <v/>
      </c>
      <c r="D140" s="29"/>
      <c r="E140" s="31" t="str">
        <f aca="false">IFERROR(INDEX(Customers!$F$4:$F$1003,MATCH($B140,Customers!$A$4:$A$1003,0)),"")</f>
        <v/>
      </c>
      <c r="F140" s="28"/>
      <c r="G140" s="34" t="str">
        <f aca="false">IFERROR(INDEX(Customers!$L$4:$L$1003,MATCH($B140,Customers!$A$4:$A$1003,0)),"")</f>
        <v/>
      </c>
      <c r="H140" s="34" t="str">
        <f aca="false">IF($G140="","",$G140*Settings!$B$9)</f>
        <v/>
      </c>
      <c r="I140" s="34" t="str">
        <f aca="false">IF($G140="","",$G140*Settings!$B$10)</f>
        <v/>
      </c>
      <c r="J140" s="34" t="str">
        <f aca="false">IF($G140="","",$G140*Settings!$B$11)</f>
        <v/>
      </c>
      <c r="K140" s="34" t="str">
        <f aca="false">IF($G140="","",$G140*Settings!$B$12)</f>
        <v/>
      </c>
      <c r="L140" s="34" t="str">
        <f aca="false">IF($G140="","",SUM($H140:$K140))</f>
        <v/>
      </c>
      <c r="M140" s="31" t="str">
        <f aca="false">IF($G140="","",IF(ROUND($L140,2)=ROUND($G140,2),"OK","MISMATCH"))</f>
        <v/>
      </c>
      <c r="N140" s="28"/>
      <c r="O140" s="27"/>
      <c r="P140" s="36" t="str">
        <f aca="false">IF($D140="","",EDATE($D140,12))</f>
        <v/>
      </c>
      <c r="Q140" s="32"/>
    </row>
    <row r="141" customFormat="false" ht="15.75" hidden="false" customHeight="true" outlineLevel="0" collapsed="false">
      <c r="A141" s="27"/>
      <c r="B141" s="27"/>
      <c r="C141" s="33" t="str">
        <f aca="false">IFERROR(INDEX(Customers!$C$4:$C$1003,MATCH($B141,Customers!$A$4:$A$1003,0)),"")</f>
        <v/>
      </c>
      <c r="D141" s="29"/>
      <c r="E141" s="31" t="str">
        <f aca="false">IFERROR(INDEX(Customers!$F$4:$F$1003,MATCH($B141,Customers!$A$4:$A$1003,0)),"")</f>
        <v/>
      </c>
      <c r="F141" s="28"/>
      <c r="G141" s="34" t="str">
        <f aca="false">IFERROR(INDEX(Customers!$L$4:$L$1003,MATCH($B141,Customers!$A$4:$A$1003,0)),"")</f>
        <v/>
      </c>
      <c r="H141" s="34" t="str">
        <f aca="false">IF($G141="","",$G141*Settings!$B$9)</f>
        <v/>
      </c>
      <c r="I141" s="34" t="str">
        <f aca="false">IF($G141="","",$G141*Settings!$B$10)</f>
        <v/>
      </c>
      <c r="J141" s="34" t="str">
        <f aca="false">IF($G141="","",$G141*Settings!$B$11)</f>
        <v/>
      </c>
      <c r="K141" s="34" t="str">
        <f aca="false">IF($G141="","",$G141*Settings!$B$12)</f>
        <v/>
      </c>
      <c r="L141" s="34" t="str">
        <f aca="false">IF($G141="","",SUM($H141:$K141))</f>
        <v/>
      </c>
      <c r="M141" s="31" t="str">
        <f aca="false">IF($G141="","",IF(ROUND($L141,2)=ROUND($G141,2),"OK","MISMATCH"))</f>
        <v/>
      </c>
      <c r="N141" s="28"/>
      <c r="O141" s="27"/>
      <c r="P141" s="36" t="str">
        <f aca="false">IF($D141="","",EDATE($D141,12))</f>
        <v/>
      </c>
      <c r="Q141" s="32"/>
    </row>
    <row r="142" customFormat="false" ht="15.75" hidden="false" customHeight="true" outlineLevel="0" collapsed="false">
      <c r="A142" s="27"/>
      <c r="B142" s="27"/>
      <c r="C142" s="33" t="str">
        <f aca="false">IFERROR(INDEX(Customers!$C$4:$C$1003,MATCH($B142,Customers!$A$4:$A$1003,0)),"")</f>
        <v/>
      </c>
      <c r="D142" s="29"/>
      <c r="E142" s="31" t="str">
        <f aca="false">IFERROR(INDEX(Customers!$F$4:$F$1003,MATCH($B142,Customers!$A$4:$A$1003,0)),"")</f>
        <v/>
      </c>
      <c r="F142" s="28"/>
      <c r="G142" s="34" t="str">
        <f aca="false">IFERROR(INDEX(Customers!$L$4:$L$1003,MATCH($B142,Customers!$A$4:$A$1003,0)),"")</f>
        <v/>
      </c>
      <c r="H142" s="34" t="str">
        <f aca="false">IF($G142="","",$G142*Settings!$B$9)</f>
        <v/>
      </c>
      <c r="I142" s="34" t="str">
        <f aca="false">IF($G142="","",$G142*Settings!$B$10)</f>
        <v/>
      </c>
      <c r="J142" s="34" t="str">
        <f aca="false">IF($G142="","",$G142*Settings!$B$11)</f>
        <v/>
      </c>
      <c r="K142" s="34" t="str">
        <f aca="false">IF($G142="","",$G142*Settings!$B$12)</f>
        <v/>
      </c>
      <c r="L142" s="34" t="str">
        <f aca="false">IF($G142="","",SUM($H142:$K142))</f>
        <v/>
      </c>
      <c r="M142" s="31" t="str">
        <f aca="false">IF($G142="","",IF(ROUND($L142,2)=ROUND($G142,2),"OK","MISMATCH"))</f>
        <v/>
      </c>
      <c r="N142" s="28"/>
      <c r="O142" s="27"/>
      <c r="P142" s="36" t="str">
        <f aca="false">IF($D142="","",EDATE($D142,12))</f>
        <v/>
      </c>
      <c r="Q142" s="32"/>
    </row>
    <row r="143" customFormat="false" ht="15.75" hidden="false" customHeight="true" outlineLevel="0" collapsed="false">
      <c r="A143" s="27"/>
      <c r="B143" s="27"/>
      <c r="C143" s="33" t="str">
        <f aca="false">IFERROR(INDEX(Customers!$C$4:$C$1003,MATCH($B143,Customers!$A$4:$A$1003,0)),"")</f>
        <v/>
      </c>
      <c r="D143" s="29"/>
      <c r="E143" s="31" t="str">
        <f aca="false">IFERROR(INDEX(Customers!$F$4:$F$1003,MATCH($B143,Customers!$A$4:$A$1003,0)),"")</f>
        <v/>
      </c>
      <c r="F143" s="28"/>
      <c r="G143" s="34" t="str">
        <f aca="false">IFERROR(INDEX(Customers!$L$4:$L$1003,MATCH($B143,Customers!$A$4:$A$1003,0)),"")</f>
        <v/>
      </c>
      <c r="H143" s="34" t="str">
        <f aca="false">IF($G143="","",$G143*Settings!$B$9)</f>
        <v/>
      </c>
      <c r="I143" s="34" t="str">
        <f aca="false">IF($G143="","",$G143*Settings!$B$10)</f>
        <v/>
      </c>
      <c r="J143" s="34" t="str">
        <f aca="false">IF($G143="","",$G143*Settings!$B$11)</f>
        <v/>
      </c>
      <c r="K143" s="34" t="str">
        <f aca="false">IF($G143="","",$G143*Settings!$B$12)</f>
        <v/>
      </c>
      <c r="L143" s="34" t="str">
        <f aca="false">IF($G143="","",SUM($H143:$K143))</f>
        <v/>
      </c>
      <c r="M143" s="31" t="str">
        <f aca="false">IF($G143="","",IF(ROUND($L143,2)=ROUND($G143,2),"OK","MISMATCH"))</f>
        <v/>
      </c>
      <c r="N143" s="28"/>
      <c r="O143" s="27"/>
      <c r="P143" s="36" t="str">
        <f aca="false">IF($D143="","",EDATE($D143,12))</f>
        <v/>
      </c>
      <c r="Q143" s="32"/>
    </row>
    <row r="144" customFormat="false" ht="15.75" hidden="false" customHeight="true" outlineLevel="0" collapsed="false">
      <c r="A144" s="27"/>
      <c r="B144" s="27"/>
      <c r="C144" s="33" t="str">
        <f aca="false">IFERROR(INDEX(Customers!$C$4:$C$1003,MATCH($B144,Customers!$A$4:$A$1003,0)),"")</f>
        <v/>
      </c>
      <c r="D144" s="29"/>
      <c r="E144" s="31" t="str">
        <f aca="false">IFERROR(INDEX(Customers!$F$4:$F$1003,MATCH($B144,Customers!$A$4:$A$1003,0)),"")</f>
        <v/>
      </c>
      <c r="F144" s="28"/>
      <c r="G144" s="34" t="str">
        <f aca="false">IFERROR(INDEX(Customers!$L$4:$L$1003,MATCH($B144,Customers!$A$4:$A$1003,0)),"")</f>
        <v/>
      </c>
      <c r="H144" s="34" t="str">
        <f aca="false">IF($G144="","",$G144*Settings!$B$9)</f>
        <v/>
      </c>
      <c r="I144" s="34" t="str">
        <f aca="false">IF($G144="","",$G144*Settings!$B$10)</f>
        <v/>
      </c>
      <c r="J144" s="34" t="str">
        <f aca="false">IF($G144="","",$G144*Settings!$B$11)</f>
        <v/>
      </c>
      <c r="K144" s="34" t="str">
        <f aca="false">IF($G144="","",$G144*Settings!$B$12)</f>
        <v/>
      </c>
      <c r="L144" s="34" t="str">
        <f aca="false">IF($G144="","",SUM($H144:$K144))</f>
        <v/>
      </c>
      <c r="M144" s="31" t="str">
        <f aca="false">IF($G144="","",IF(ROUND($L144,2)=ROUND($G144,2),"OK","MISMATCH"))</f>
        <v/>
      </c>
      <c r="N144" s="28"/>
      <c r="O144" s="27"/>
      <c r="P144" s="36" t="str">
        <f aca="false">IF($D144="","",EDATE($D144,12))</f>
        <v/>
      </c>
      <c r="Q144" s="32"/>
    </row>
    <row r="145" customFormat="false" ht="15.75" hidden="false" customHeight="true" outlineLevel="0" collapsed="false">
      <c r="A145" s="27"/>
      <c r="B145" s="27"/>
      <c r="C145" s="33" t="str">
        <f aca="false">IFERROR(INDEX(Customers!$C$4:$C$1003,MATCH($B145,Customers!$A$4:$A$1003,0)),"")</f>
        <v/>
      </c>
      <c r="D145" s="29"/>
      <c r="E145" s="31" t="str">
        <f aca="false">IFERROR(INDEX(Customers!$F$4:$F$1003,MATCH($B145,Customers!$A$4:$A$1003,0)),"")</f>
        <v/>
      </c>
      <c r="F145" s="28"/>
      <c r="G145" s="34" t="str">
        <f aca="false">IFERROR(INDEX(Customers!$L$4:$L$1003,MATCH($B145,Customers!$A$4:$A$1003,0)),"")</f>
        <v/>
      </c>
      <c r="H145" s="34" t="str">
        <f aca="false">IF($G145="","",$G145*Settings!$B$9)</f>
        <v/>
      </c>
      <c r="I145" s="34" t="str">
        <f aca="false">IF($G145="","",$G145*Settings!$B$10)</f>
        <v/>
      </c>
      <c r="J145" s="34" t="str">
        <f aca="false">IF($G145="","",$G145*Settings!$B$11)</f>
        <v/>
      </c>
      <c r="K145" s="34" t="str">
        <f aca="false">IF($G145="","",$G145*Settings!$B$12)</f>
        <v/>
      </c>
      <c r="L145" s="34" t="str">
        <f aca="false">IF($G145="","",SUM($H145:$K145))</f>
        <v/>
      </c>
      <c r="M145" s="31" t="str">
        <f aca="false">IF($G145="","",IF(ROUND($L145,2)=ROUND($G145,2),"OK","MISMATCH"))</f>
        <v/>
      </c>
      <c r="N145" s="28"/>
      <c r="O145" s="27"/>
      <c r="P145" s="36" t="str">
        <f aca="false">IF($D145="","",EDATE($D145,12))</f>
        <v/>
      </c>
      <c r="Q145" s="32"/>
    </row>
    <row r="146" customFormat="false" ht="15.75" hidden="false" customHeight="true" outlineLevel="0" collapsed="false">
      <c r="A146" s="27"/>
      <c r="B146" s="27"/>
      <c r="C146" s="33" t="str">
        <f aca="false">IFERROR(INDEX(Customers!$C$4:$C$1003,MATCH($B146,Customers!$A$4:$A$1003,0)),"")</f>
        <v/>
      </c>
      <c r="D146" s="29"/>
      <c r="E146" s="31" t="str">
        <f aca="false">IFERROR(INDEX(Customers!$F$4:$F$1003,MATCH($B146,Customers!$A$4:$A$1003,0)),"")</f>
        <v/>
      </c>
      <c r="F146" s="28"/>
      <c r="G146" s="34" t="str">
        <f aca="false">IFERROR(INDEX(Customers!$L$4:$L$1003,MATCH($B146,Customers!$A$4:$A$1003,0)),"")</f>
        <v/>
      </c>
      <c r="H146" s="34" t="str">
        <f aca="false">IF($G146="","",$G146*Settings!$B$9)</f>
        <v/>
      </c>
      <c r="I146" s="34" t="str">
        <f aca="false">IF($G146="","",$G146*Settings!$B$10)</f>
        <v/>
      </c>
      <c r="J146" s="34" t="str">
        <f aca="false">IF($G146="","",$G146*Settings!$B$11)</f>
        <v/>
      </c>
      <c r="K146" s="34" t="str">
        <f aca="false">IF($G146="","",$G146*Settings!$B$12)</f>
        <v/>
      </c>
      <c r="L146" s="34" t="str">
        <f aca="false">IF($G146="","",SUM($H146:$K146))</f>
        <v/>
      </c>
      <c r="M146" s="31" t="str">
        <f aca="false">IF($G146="","",IF(ROUND($L146,2)=ROUND($G146,2),"OK","MISMATCH"))</f>
        <v/>
      </c>
      <c r="N146" s="28"/>
      <c r="O146" s="27"/>
      <c r="P146" s="36" t="str">
        <f aca="false">IF($D146="","",EDATE($D146,12))</f>
        <v/>
      </c>
      <c r="Q146" s="32"/>
    </row>
    <row r="147" customFormat="false" ht="15.75" hidden="false" customHeight="true" outlineLevel="0" collapsed="false">
      <c r="A147" s="27"/>
      <c r="B147" s="27"/>
      <c r="C147" s="33" t="str">
        <f aca="false">IFERROR(INDEX(Customers!$C$4:$C$1003,MATCH($B147,Customers!$A$4:$A$1003,0)),"")</f>
        <v/>
      </c>
      <c r="D147" s="29"/>
      <c r="E147" s="31" t="str">
        <f aca="false">IFERROR(INDEX(Customers!$F$4:$F$1003,MATCH($B147,Customers!$A$4:$A$1003,0)),"")</f>
        <v/>
      </c>
      <c r="F147" s="28"/>
      <c r="G147" s="34" t="str">
        <f aca="false">IFERROR(INDEX(Customers!$L$4:$L$1003,MATCH($B147,Customers!$A$4:$A$1003,0)),"")</f>
        <v/>
      </c>
      <c r="H147" s="34" t="str">
        <f aca="false">IF($G147="","",$G147*Settings!$B$9)</f>
        <v/>
      </c>
      <c r="I147" s="34" t="str">
        <f aca="false">IF($G147="","",$G147*Settings!$B$10)</f>
        <v/>
      </c>
      <c r="J147" s="34" t="str">
        <f aca="false">IF($G147="","",$G147*Settings!$B$11)</f>
        <v/>
      </c>
      <c r="K147" s="34" t="str">
        <f aca="false">IF($G147="","",$G147*Settings!$B$12)</f>
        <v/>
      </c>
      <c r="L147" s="34" t="str">
        <f aca="false">IF($G147="","",SUM($H147:$K147))</f>
        <v/>
      </c>
      <c r="M147" s="31" t="str">
        <f aca="false">IF($G147="","",IF(ROUND($L147,2)=ROUND($G147,2),"OK","MISMATCH"))</f>
        <v/>
      </c>
      <c r="N147" s="28"/>
      <c r="O147" s="27"/>
      <c r="P147" s="36" t="str">
        <f aca="false">IF($D147="","",EDATE($D147,12))</f>
        <v/>
      </c>
      <c r="Q147" s="32"/>
    </row>
    <row r="148" customFormat="false" ht="15.75" hidden="false" customHeight="true" outlineLevel="0" collapsed="false">
      <c r="A148" s="27"/>
      <c r="B148" s="27"/>
      <c r="C148" s="33" t="str">
        <f aca="false">IFERROR(INDEX(Customers!$C$4:$C$1003,MATCH($B148,Customers!$A$4:$A$1003,0)),"")</f>
        <v/>
      </c>
      <c r="D148" s="29"/>
      <c r="E148" s="31" t="str">
        <f aca="false">IFERROR(INDEX(Customers!$F$4:$F$1003,MATCH($B148,Customers!$A$4:$A$1003,0)),"")</f>
        <v/>
      </c>
      <c r="F148" s="28"/>
      <c r="G148" s="34" t="str">
        <f aca="false">IFERROR(INDEX(Customers!$L$4:$L$1003,MATCH($B148,Customers!$A$4:$A$1003,0)),"")</f>
        <v/>
      </c>
      <c r="H148" s="34" t="str">
        <f aca="false">IF($G148="","",$G148*Settings!$B$9)</f>
        <v/>
      </c>
      <c r="I148" s="34" t="str">
        <f aca="false">IF($G148="","",$G148*Settings!$B$10)</f>
        <v/>
      </c>
      <c r="J148" s="34" t="str">
        <f aca="false">IF($G148="","",$G148*Settings!$B$11)</f>
        <v/>
      </c>
      <c r="K148" s="34" t="str">
        <f aca="false">IF($G148="","",$G148*Settings!$B$12)</f>
        <v/>
      </c>
      <c r="L148" s="34" t="str">
        <f aca="false">IF($G148="","",SUM($H148:$K148))</f>
        <v/>
      </c>
      <c r="M148" s="31" t="str">
        <f aca="false">IF($G148="","",IF(ROUND($L148,2)=ROUND($G148,2),"OK","MISMATCH"))</f>
        <v/>
      </c>
      <c r="N148" s="28"/>
      <c r="O148" s="27"/>
      <c r="P148" s="36" t="str">
        <f aca="false">IF($D148="","",EDATE($D148,12))</f>
        <v/>
      </c>
      <c r="Q148" s="32"/>
    </row>
    <row r="149" customFormat="false" ht="15.75" hidden="false" customHeight="true" outlineLevel="0" collapsed="false">
      <c r="A149" s="27"/>
      <c r="B149" s="27"/>
      <c r="C149" s="33" t="str">
        <f aca="false">IFERROR(INDEX(Customers!$C$4:$C$1003,MATCH($B149,Customers!$A$4:$A$1003,0)),"")</f>
        <v/>
      </c>
      <c r="D149" s="29"/>
      <c r="E149" s="31" t="str">
        <f aca="false">IFERROR(INDEX(Customers!$F$4:$F$1003,MATCH($B149,Customers!$A$4:$A$1003,0)),"")</f>
        <v/>
      </c>
      <c r="F149" s="28"/>
      <c r="G149" s="34" t="str">
        <f aca="false">IFERROR(INDEX(Customers!$L$4:$L$1003,MATCH($B149,Customers!$A$4:$A$1003,0)),"")</f>
        <v/>
      </c>
      <c r="H149" s="34" t="str">
        <f aca="false">IF($G149="","",$G149*Settings!$B$9)</f>
        <v/>
      </c>
      <c r="I149" s="34" t="str">
        <f aca="false">IF($G149="","",$G149*Settings!$B$10)</f>
        <v/>
      </c>
      <c r="J149" s="34" t="str">
        <f aca="false">IF($G149="","",$G149*Settings!$B$11)</f>
        <v/>
      </c>
      <c r="K149" s="34" t="str">
        <f aca="false">IF($G149="","",$G149*Settings!$B$12)</f>
        <v/>
      </c>
      <c r="L149" s="34" t="str">
        <f aca="false">IF($G149="","",SUM($H149:$K149))</f>
        <v/>
      </c>
      <c r="M149" s="31" t="str">
        <f aca="false">IF($G149="","",IF(ROUND($L149,2)=ROUND($G149,2),"OK","MISMATCH"))</f>
        <v/>
      </c>
      <c r="N149" s="28"/>
      <c r="O149" s="27"/>
      <c r="P149" s="36" t="str">
        <f aca="false">IF($D149="","",EDATE($D149,12))</f>
        <v/>
      </c>
      <c r="Q149" s="32"/>
    </row>
    <row r="150" customFormat="false" ht="15.75" hidden="false" customHeight="true" outlineLevel="0" collapsed="false">
      <c r="A150" s="27"/>
      <c r="B150" s="27"/>
      <c r="C150" s="33" t="str">
        <f aca="false">IFERROR(INDEX(Customers!$C$4:$C$1003,MATCH($B150,Customers!$A$4:$A$1003,0)),"")</f>
        <v/>
      </c>
      <c r="D150" s="29"/>
      <c r="E150" s="31" t="str">
        <f aca="false">IFERROR(INDEX(Customers!$F$4:$F$1003,MATCH($B150,Customers!$A$4:$A$1003,0)),"")</f>
        <v/>
      </c>
      <c r="F150" s="28"/>
      <c r="G150" s="34" t="str">
        <f aca="false">IFERROR(INDEX(Customers!$L$4:$L$1003,MATCH($B150,Customers!$A$4:$A$1003,0)),"")</f>
        <v/>
      </c>
      <c r="H150" s="34" t="str">
        <f aca="false">IF($G150="","",$G150*Settings!$B$9)</f>
        <v/>
      </c>
      <c r="I150" s="34" t="str">
        <f aca="false">IF($G150="","",$G150*Settings!$B$10)</f>
        <v/>
      </c>
      <c r="J150" s="34" t="str">
        <f aca="false">IF($G150="","",$G150*Settings!$B$11)</f>
        <v/>
      </c>
      <c r="K150" s="34" t="str">
        <f aca="false">IF($G150="","",$G150*Settings!$B$12)</f>
        <v/>
      </c>
      <c r="L150" s="34" t="str">
        <f aca="false">IF($G150="","",SUM($H150:$K150))</f>
        <v/>
      </c>
      <c r="M150" s="31" t="str">
        <f aca="false">IF($G150="","",IF(ROUND($L150,2)=ROUND($G150,2),"OK","MISMATCH"))</f>
        <v/>
      </c>
      <c r="N150" s="28"/>
      <c r="O150" s="27"/>
      <c r="P150" s="36" t="str">
        <f aca="false">IF($D150="","",EDATE($D150,12))</f>
        <v/>
      </c>
      <c r="Q150" s="32"/>
    </row>
    <row r="151" customFormat="false" ht="15.75" hidden="false" customHeight="true" outlineLevel="0" collapsed="false">
      <c r="A151" s="27"/>
      <c r="B151" s="27"/>
      <c r="C151" s="33" t="str">
        <f aca="false">IFERROR(INDEX(Customers!$C$4:$C$1003,MATCH($B151,Customers!$A$4:$A$1003,0)),"")</f>
        <v/>
      </c>
      <c r="D151" s="29"/>
      <c r="E151" s="31" t="str">
        <f aca="false">IFERROR(INDEX(Customers!$F$4:$F$1003,MATCH($B151,Customers!$A$4:$A$1003,0)),"")</f>
        <v/>
      </c>
      <c r="F151" s="28"/>
      <c r="G151" s="34" t="str">
        <f aca="false">IFERROR(INDEX(Customers!$L$4:$L$1003,MATCH($B151,Customers!$A$4:$A$1003,0)),"")</f>
        <v/>
      </c>
      <c r="H151" s="34" t="str">
        <f aca="false">IF($G151="","",$G151*Settings!$B$9)</f>
        <v/>
      </c>
      <c r="I151" s="34" t="str">
        <f aca="false">IF($G151="","",$G151*Settings!$B$10)</f>
        <v/>
      </c>
      <c r="J151" s="34" t="str">
        <f aca="false">IF($G151="","",$G151*Settings!$B$11)</f>
        <v/>
      </c>
      <c r="K151" s="34" t="str">
        <f aca="false">IF($G151="","",$G151*Settings!$B$12)</f>
        <v/>
      </c>
      <c r="L151" s="34" t="str">
        <f aca="false">IF($G151="","",SUM($H151:$K151))</f>
        <v/>
      </c>
      <c r="M151" s="31" t="str">
        <f aca="false">IF($G151="","",IF(ROUND($L151,2)=ROUND($G151,2),"OK","MISMATCH"))</f>
        <v/>
      </c>
      <c r="N151" s="28"/>
      <c r="O151" s="27"/>
      <c r="P151" s="36" t="str">
        <f aca="false">IF($D151="","",EDATE($D151,12))</f>
        <v/>
      </c>
      <c r="Q151" s="32"/>
    </row>
    <row r="152" customFormat="false" ht="15.75" hidden="false" customHeight="true" outlineLevel="0" collapsed="false">
      <c r="A152" s="27"/>
      <c r="B152" s="27"/>
      <c r="C152" s="33" t="str">
        <f aca="false">IFERROR(INDEX(Customers!$C$4:$C$1003,MATCH($B152,Customers!$A$4:$A$1003,0)),"")</f>
        <v/>
      </c>
      <c r="D152" s="29"/>
      <c r="E152" s="31" t="str">
        <f aca="false">IFERROR(INDEX(Customers!$F$4:$F$1003,MATCH($B152,Customers!$A$4:$A$1003,0)),"")</f>
        <v/>
      </c>
      <c r="F152" s="28"/>
      <c r="G152" s="34" t="str">
        <f aca="false">IFERROR(INDEX(Customers!$L$4:$L$1003,MATCH($B152,Customers!$A$4:$A$1003,0)),"")</f>
        <v/>
      </c>
      <c r="H152" s="34" t="str">
        <f aca="false">IF($G152="","",$G152*Settings!$B$9)</f>
        <v/>
      </c>
      <c r="I152" s="34" t="str">
        <f aca="false">IF($G152="","",$G152*Settings!$B$10)</f>
        <v/>
      </c>
      <c r="J152" s="34" t="str">
        <f aca="false">IF($G152="","",$G152*Settings!$B$11)</f>
        <v/>
      </c>
      <c r="K152" s="34" t="str">
        <f aca="false">IF($G152="","",$G152*Settings!$B$12)</f>
        <v/>
      </c>
      <c r="L152" s="34" t="str">
        <f aca="false">IF($G152="","",SUM($H152:$K152))</f>
        <v/>
      </c>
      <c r="M152" s="31" t="str">
        <f aca="false">IF($G152="","",IF(ROUND($L152,2)=ROUND($G152,2),"OK","MISMATCH"))</f>
        <v/>
      </c>
      <c r="N152" s="28"/>
      <c r="O152" s="27"/>
      <c r="P152" s="36" t="str">
        <f aca="false">IF($D152="","",EDATE($D152,12))</f>
        <v/>
      </c>
      <c r="Q152" s="32"/>
    </row>
    <row r="153" customFormat="false" ht="15.75" hidden="false" customHeight="true" outlineLevel="0" collapsed="false">
      <c r="A153" s="27"/>
      <c r="B153" s="27"/>
      <c r="C153" s="33" t="str">
        <f aca="false">IFERROR(INDEX(Customers!$C$4:$C$1003,MATCH($B153,Customers!$A$4:$A$1003,0)),"")</f>
        <v/>
      </c>
      <c r="D153" s="29"/>
      <c r="E153" s="31" t="str">
        <f aca="false">IFERROR(INDEX(Customers!$F$4:$F$1003,MATCH($B153,Customers!$A$4:$A$1003,0)),"")</f>
        <v/>
      </c>
      <c r="F153" s="28"/>
      <c r="G153" s="34" t="str">
        <f aca="false">IFERROR(INDEX(Customers!$L$4:$L$1003,MATCH($B153,Customers!$A$4:$A$1003,0)),"")</f>
        <v/>
      </c>
      <c r="H153" s="34" t="str">
        <f aca="false">IF($G153="","",$G153*Settings!$B$9)</f>
        <v/>
      </c>
      <c r="I153" s="34" t="str">
        <f aca="false">IF($G153="","",$G153*Settings!$B$10)</f>
        <v/>
      </c>
      <c r="J153" s="34" t="str">
        <f aca="false">IF($G153="","",$G153*Settings!$B$11)</f>
        <v/>
      </c>
      <c r="K153" s="34" t="str">
        <f aca="false">IF($G153="","",$G153*Settings!$B$12)</f>
        <v/>
      </c>
      <c r="L153" s="34" t="str">
        <f aca="false">IF($G153="","",SUM($H153:$K153))</f>
        <v/>
      </c>
      <c r="M153" s="31" t="str">
        <f aca="false">IF($G153="","",IF(ROUND($L153,2)=ROUND($G153,2),"OK","MISMATCH"))</f>
        <v/>
      </c>
      <c r="N153" s="28"/>
      <c r="O153" s="27"/>
      <c r="P153" s="36" t="str">
        <f aca="false">IF($D153="","",EDATE($D153,12))</f>
        <v/>
      </c>
      <c r="Q153" s="32"/>
    </row>
    <row r="154" customFormat="false" ht="15.75" hidden="false" customHeight="true" outlineLevel="0" collapsed="false">
      <c r="A154" s="27"/>
      <c r="B154" s="27"/>
      <c r="C154" s="33" t="str">
        <f aca="false">IFERROR(INDEX(Customers!$C$4:$C$1003,MATCH($B154,Customers!$A$4:$A$1003,0)),"")</f>
        <v/>
      </c>
      <c r="D154" s="29"/>
      <c r="E154" s="31" t="str">
        <f aca="false">IFERROR(INDEX(Customers!$F$4:$F$1003,MATCH($B154,Customers!$A$4:$A$1003,0)),"")</f>
        <v/>
      </c>
      <c r="F154" s="28"/>
      <c r="G154" s="34" t="str">
        <f aca="false">IFERROR(INDEX(Customers!$L$4:$L$1003,MATCH($B154,Customers!$A$4:$A$1003,0)),"")</f>
        <v/>
      </c>
      <c r="H154" s="34" t="str">
        <f aca="false">IF($G154="","",$G154*Settings!$B$9)</f>
        <v/>
      </c>
      <c r="I154" s="34" t="str">
        <f aca="false">IF($G154="","",$G154*Settings!$B$10)</f>
        <v/>
      </c>
      <c r="J154" s="34" t="str">
        <f aca="false">IF($G154="","",$G154*Settings!$B$11)</f>
        <v/>
      </c>
      <c r="K154" s="34" t="str">
        <f aca="false">IF($G154="","",$G154*Settings!$B$12)</f>
        <v/>
      </c>
      <c r="L154" s="34" t="str">
        <f aca="false">IF($G154="","",SUM($H154:$K154))</f>
        <v/>
      </c>
      <c r="M154" s="31" t="str">
        <f aca="false">IF($G154="","",IF(ROUND($L154,2)=ROUND($G154,2),"OK","MISMATCH"))</f>
        <v/>
      </c>
      <c r="N154" s="28"/>
      <c r="O154" s="27"/>
      <c r="P154" s="36" t="str">
        <f aca="false">IF($D154="","",EDATE($D154,12))</f>
        <v/>
      </c>
      <c r="Q154" s="32"/>
    </row>
    <row r="155" customFormat="false" ht="15.75" hidden="false" customHeight="true" outlineLevel="0" collapsed="false">
      <c r="A155" s="27"/>
      <c r="B155" s="27"/>
      <c r="C155" s="33" t="str">
        <f aca="false">IFERROR(INDEX(Customers!$C$4:$C$1003,MATCH($B155,Customers!$A$4:$A$1003,0)),"")</f>
        <v/>
      </c>
      <c r="D155" s="29"/>
      <c r="E155" s="31" t="str">
        <f aca="false">IFERROR(INDEX(Customers!$F$4:$F$1003,MATCH($B155,Customers!$A$4:$A$1003,0)),"")</f>
        <v/>
      </c>
      <c r="F155" s="28"/>
      <c r="G155" s="34" t="str">
        <f aca="false">IFERROR(INDEX(Customers!$L$4:$L$1003,MATCH($B155,Customers!$A$4:$A$1003,0)),"")</f>
        <v/>
      </c>
      <c r="H155" s="34" t="str">
        <f aca="false">IF($G155="","",$G155*Settings!$B$9)</f>
        <v/>
      </c>
      <c r="I155" s="34" t="str">
        <f aca="false">IF($G155="","",$G155*Settings!$B$10)</f>
        <v/>
      </c>
      <c r="J155" s="34" t="str">
        <f aca="false">IF($G155="","",$G155*Settings!$B$11)</f>
        <v/>
      </c>
      <c r="K155" s="34" t="str">
        <f aca="false">IF($G155="","",$G155*Settings!$B$12)</f>
        <v/>
      </c>
      <c r="L155" s="34" t="str">
        <f aca="false">IF($G155="","",SUM($H155:$K155))</f>
        <v/>
      </c>
      <c r="M155" s="31" t="str">
        <f aca="false">IF($G155="","",IF(ROUND($L155,2)=ROUND($G155,2),"OK","MISMATCH"))</f>
        <v/>
      </c>
      <c r="N155" s="28"/>
      <c r="O155" s="27"/>
      <c r="P155" s="36" t="str">
        <f aca="false">IF($D155="","",EDATE($D155,12))</f>
        <v/>
      </c>
      <c r="Q155" s="32"/>
    </row>
    <row r="156" customFormat="false" ht="15.75" hidden="false" customHeight="true" outlineLevel="0" collapsed="false">
      <c r="A156" s="27"/>
      <c r="B156" s="27"/>
      <c r="C156" s="33" t="str">
        <f aca="false">IFERROR(INDEX(Customers!$C$4:$C$1003,MATCH($B156,Customers!$A$4:$A$1003,0)),"")</f>
        <v/>
      </c>
      <c r="D156" s="29"/>
      <c r="E156" s="31" t="str">
        <f aca="false">IFERROR(INDEX(Customers!$F$4:$F$1003,MATCH($B156,Customers!$A$4:$A$1003,0)),"")</f>
        <v/>
      </c>
      <c r="F156" s="28"/>
      <c r="G156" s="34" t="str">
        <f aca="false">IFERROR(INDEX(Customers!$L$4:$L$1003,MATCH($B156,Customers!$A$4:$A$1003,0)),"")</f>
        <v/>
      </c>
      <c r="H156" s="34" t="str">
        <f aca="false">IF($G156="","",$G156*Settings!$B$9)</f>
        <v/>
      </c>
      <c r="I156" s="34" t="str">
        <f aca="false">IF($G156="","",$G156*Settings!$B$10)</f>
        <v/>
      </c>
      <c r="J156" s="34" t="str">
        <f aca="false">IF($G156="","",$G156*Settings!$B$11)</f>
        <v/>
      </c>
      <c r="K156" s="34" t="str">
        <f aca="false">IF($G156="","",$G156*Settings!$B$12)</f>
        <v/>
      </c>
      <c r="L156" s="34" t="str">
        <f aca="false">IF($G156="","",SUM($H156:$K156))</f>
        <v/>
      </c>
      <c r="M156" s="31" t="str">
        <f aca="false">IF($G156="","",IF(ROUND($L156,2)=ROUND($G156,2),"OK","MISMATCH"))</f>
        <v/>
      </c>
      <c r="N156" s="28"/>
      <c r="O156" s="27"/>
      <c r="P156" s="36" t="str">
        <f aca="false">IF($D156="","",EDATE($D156,12))</f>
        <v/>
      </c>
      <c r="Q156" s="32"/>
    </row>
    <row r="157" customFormat="false" ht="15.75" hidden="false" customHeight="true" outlineLevel="0" collapsed="false">
      <c r="A157" s="27"/>
      <c r="B157" s="27"/>
      <c r="C157" s="33" t="str">
        <f aca="false">IFERROR(INDEX(Customers!$C$4:$C$1003,MATCH($B157,Customers!$A$4:$A$1003,0)),"")</f>
        <v/>
      </c>
      <c r="D157" s="29"/>
      <c r="E157" s="31" t="str">
        <f aca="false">IFERROR(INDEX(Customers!$F$4:$F$1003,MATCH($B157,Customers!$A$4:$A$1003,0)),"")</f>
        <v/>
      </c>
      <c r="F157" s="28"/>
      <c r="G157" s="34" t="str">
        <f aca="false">IFERROR(INDEX(Customers!$L$4:$L$1003,MATCH($B157,Customers!$A$4:$A$1003,0)),"")</f>
        <v/>
      </c>
      <c r="H157" s="34" t="str">
        <f aca="false">IF($G157="","",$G157*Settings!$B$9)</f>
        <v/>
      </c>
      <c r="I157" s="34" t="str">
        <f aca="false">IF($G157="","",$G157*Settings!$B$10)</f>
        <v/>
      </c>
      <c r="J157" s="34" t="str">
        <f aca="false">IF($G157="","",$G157*Settings!$B$11)</f>
        <v/>
      </c>
      <c r="K157" s="34" t="str">
        <f aca="false">IF($G157="","",$G157*Settings!$B$12)</f>
        <v/>
      </c>
      <c r="L157" s="34" t="str">
        <f aca="false">IF($G157="","",SUM($H157:$K157))</f>
        <v/>
      </c>
      <c r="M157" s="31" t="str">
        <f aca="false">IF($G157="","",IF(ROUND($L157,2)=ROUND($G157,2),"OK","MISMATCH"))</f>
        <v/>
      </c>
      <c r="N157" s="28"/>
      <c r="O157" s="27"/>
      <c r="P157" s="36" t="str">
        <f aca="false">IF($D157="","",EDATE($D157,12))</f>
        <v/>
      </c>
      <c r="Q157" s="32"/>
    </row>
    <row r="158" customFormat="false" ht="15.75" hidden="false" customHeight="true" outlineLevel="0" collapsed="false">
      <c r="A158" s="27"/>
      <c r="B158" s="27"/>
      <c r="C158" s="33" t="str">
        <f aca="false">IFERROR(INDEX(Customers!$C$4:$C$1003,MATCH($B158,Customers!$A$4:$A$1003,0)),"")</f>
        <v/>
      </c>
      <c r="D158" s="29"/>
      <c r="E158" s="31" t="str">
        <f aca="false">IFERROR(INDEX(Customers!$F$4:$F$1003,MATCH($B158,Customers!$A$4:$A$1003,0)),"")</f>
        <v/>
      </c>
      <c r="F158" s="28"/>
      <c r="G158" s="34" t="str">
        <f aca="false">IFERROR(INDEX(Customers!$L$4:$L$1003,MATCH($B158,Customers!$A$4:$A$1003,0)),"")</f>
        <v/>
      </c>
      <c r="H158" s="34" t="str">
        <f aca="false">IF($G158="","",$G158*Settings!$B$9)</f>
        <v/>
      </c>
      <c r="I158" s="34" t="str">
        <f aca="false">IF($G158="","",$G158*Settings!$B$10)</f>
        <v/>
      </c>
      <c r="J158" s="34" t="str">
        <f aca="false">IF($G158="","",$G158*Settings!$B$11)</f>
        <v/>
      </c>
      <c r="K158" s="34" t="str">
        <f aca="false">IF($G158="","",$G158*Settings!$B$12)</f>
        <v/>
      </c>
      <c r="L158" s="34" t="str">
        <f aca="false">IF($G158="","",SUM($H158:$K158))</f>
        <v/>
      </c>
      <c r="M158" s="31" t="str">
        <f aca="false">IF($G158="","",IF(ROUND($L158,2)=ROUND($G158,2),"OK","MISMATCH"))</f>
        <v/>
      </c>
      <c r="N158" s="28"/>
      <c r="O158" s="27"/>
      <c r="P158" s="36" t="str">
        <f aca="false">IF($D158="","",EDATE($D158,12))</f>
        <v/>
      </c>
      <c r="Q158" s="32"/>
    </row>
    <row r="159" customFormat="false" ht="15.75" hidden="false" customHeight="true" outlineLevel="0" collapsed="false">
      <c r="A159" s="27"/>
      <c r="B159" s="27"/>
      <c r="C159" s="33" t="str">
        <f aca="false">IFERROR(INDEX(Customers!$C$4:$C$1003,MATCH($B159,Customers!$A$4:$A$1003,0)),"")</f>
        <v/>
      </c>
      <c r="D159" s="29"/>
      <c r="E159" s="31" t="str">
        <f aca="false">IFERROR(INDEX(Customers!$F$4:$F$1003,MATCH($B159,Customers!$A$4:$A$1003,0)),"")</f>
        <v/>
      </c>
      <c r="F159" s="28"/>
      <c r="G159" s="34" t="str">
        <f aca="false">IFERROR(INDEX(Customers!$L$4:$L$1003,MATCH($B159,Customers!$A$4:$A$1003,0)),"")</f>
        <v/>
      </c>
      <c r="H159" s="34" t="str">
        <f aca="false">IF($G159="","",$G159*Settings!$B$9)</f>
        <v/>
      </c>
      <c r="I159" s="34" t="str">
        <f aca="false">IF($G159="","",$G159*Settings!$B$10)</f>
        <v/>
      </c>
      <c r="J159" s="34" t="str">
        <f aca="false">IF($G159="","",$G159*Settings!$B$11)</f>
        <v/>
      </c>
      <c r="K159" s="34" t="str">
        <f aca="false">IF($G159="","",$G159*Settings!$B$12)</f>
        <v/>
      </c>
      <c r="L159" s="34" t="str">
        <f aca="false">IF($G159="","",SUM($H159:$K159))</f>
        <v/>
      </c>
      <c r="M159" s="31" t="str">
        <f aca="false">IF($G159="","",IF(ROUND($L159,2)=ROUND($G159,2),"OK","MISMATCH"))</f>
        <v/>
      </c>
      <c r="N159" s="28"/>
      <c r="O159" s="27"/>
      <c r="P159" s="36" t="str">
        <f aca="false">IF($D159="","",EDATE($D159,12))</f>
        <v/>
      </c>
      <c r="Q159" s="32"/>
    </row>
    <row r="160" customFormat="false" ht="15.75" hidden="false" customHeight="true" outlineLevel="0" collapsed="false">
      <c r="A160" s="27"/>
      <c r="B160" s="27"/>
      <c r="C160" s="33" t="str">
        <f aca="false">IFERROR(INDEX(Customers!$C$4:$C$1003,MATCH($B160,Customers!$A$4:$A$1003,0)),"")</f>
        <v/>
      </c>
      <c r="D160" s="29"/>
      <c r="E160" s="31" t="str">
        <f aca="false">IFERROR(INDEX(Customers!$F$4:$F$1003,MATCH($B160,Customers!$A$4:$A$1003,0)),"")</f>
        <v/>
      </c>
      <c r="F160" s="28"/>
      <c r="G160" s="34" t="str">
        <f aca="false">IFERROR(INDEX(Customers!$L$4:$L$1003,MATCH($B160,Customers!$A$4:$A$1003,0)),"")</f>
        <v/>
      </c>
      <c r="H160" s="34" t="str">
        <f aca="false">IF($G160="","",$G160*Settings!$B$9)</f>
        <v/>
      </c>
      <c r="I160" s="34" t="str">
        <f aca="false">IF($G160="","",$G160*Settings!$B$10)</f>
        <v/>
      </c>
      <c r="J160" s="34" t="str">
        <f aca="false">IF($G160="","",$G160*Settings!$B$11)</f>
        <v/>
      </c>
      <c r="K160" s="34" t="str">
        <f aca="false">IF($G160="","",$G160*Settings!$B$12)</f>
        <v/>
      </c>
      <c r="L160" s="34" t="str">
        <f aca="false">IF($G160="","",SUM($H160:$K160))</f>
        <v/>
      </c>
      <c r="M160" s="31" t="str">
        <f aca="false">IF($G160="","",IF(ROUND($L160,2)=ROUND($G160,2),"OK","MISMATCH"))</f>
        <v/>
      </c>
      <c r="N160" s="28"/>
      <c r="O160" s="27"/>
      <c r="P160" s="36" t="str">
        <f aca="false">IF($D160="","",EDATE($D160,12))</f>
        <v/>
      </c>
      <c r="Q160" s="32"/>
    </row>
    <row r="161" customFormat="false" ht="15.75" hidden="false" customHeight="true" outlineLevel="0" collapsed="false">
      <c r="A161" s="27"/>
      <c r="B161" s="27"/>
      <c r="C161" s="33" t="str">
        <f aca="false">IFERROR(INDEX(Customers!$C$4:$C$1003,MATCH($B161,Customers!$A$4:$A$1003,0)),"")</f>
        <v/>
      </c>
      <c r="D161" s="29"/>
      <c r="E161" s="31" t="str">
        <f aca="false">IFERROR(INDEX(Customers!$F$4:$F$1003,MATCH($B161,Customers!$A$4:$A$1003,0)),"")</f>
        <v/>
      </c>
      <c r="F161" s="28"/>
      <c r="G161" s="34" t="str">
        <f aca="false">IFERROR(INDEX(Customers!$L$4:$L$1003,MATCH($B161,Customers!$A$4:$A$1003,0)),"")</f>
        <v/>
      </c>
      <c r="H161" s="34" t="str">
        <f aca="false">IF($G161="","",$G161*Settings!$B$9)</f>
        <v/>
      </c>
      <c r="I161" s="34" t="str">
        <f aca="false">IF($G161="","",$G161*Settings!$B$10)</f>
        <v/>
      </c>
      <c r="J161" s="34" t="str">
        <f aca="false">IF($G161="","",$G161*Settings!$B$11)</f>
        <v/>
      </c>
      <c r="K161" s="34" t="str">
        <f aca="false">IF($G161="","",$G161*Settings!$B$12)</f>
        <v/>
      </c>
      <c r="L161" s="34" t="str">
        <f aca="false">IF($G161="","",SUM($H161:$K161))</f>
        <v/>
      </c>
      <c r="M161" s="31" t="str">
        <f aca="false">IF($G161="","",IF(ROUND($L161,2)=ROUND($G161,2),"OK","MISMATCH"))</f>
        <v/>
      </c>
      <c r="N161" s="28"/>
      <c r="O161" s="27"/>
      <c r="P161" s="36" t="str">
        <f aca="false">IF($D161="","",EDATE($D161,12))</f>
        <v/>
      </c>
      <c r="Q161" s="32"/>
    </row>
    <row r="162" customFormat="false" ht="15.75" hidden="false" customHeight="true" outlineLevel="0" collapsed="false">
      <c r="A162" s="27"/>
      <c r="B162" s="27"/>
      <c r="C162" s="33" t="str">
        <f aca="false">IFERROR(INDEX(Customers!$C$4:$C$1003,MATCH($B162,Customers!$A$4:$A$1003,0)),"")</f>
        <v/>
      </c>
      <c r="D162" s="29"/>
      <c r="E162" s="31" t="str">
        <f aca="false">IFERROR(INDEX(Customers!$F$4:$F$1003,MATCH($B162,Customers!$A$4:$A$1003,0)),"")</f>
        <v/>
      </c>
      <c r="F162" s="28"/>
      <c r="G162" s="34" t="str">
        <f aca="false">IFERROR(INDEX(Customers!$L$4:$L$1003,MATCH($B162,Customers!$A$4:$A$1003,0)),"")</f>
        <v/>
      </c>
      <c r="H162" s="34" t="str">
        <f aca="false">IF($G162="","",$G162*Settings!$B$9)</f>
        <v/>
      </c>
      <c r="I162" s="34" t="str">
        <f aca="false">IF($G162="","",$G162*Settings!$B$10)</f>
        <v/>
      </c>
      <c r="J162" s="34" t="str">
        <f aca="false">IF($G162="","",$G162*Settings!$B$11)</f>
        <v/>
      </c>
      <c r="K162" s="34" t="str">
        <f aca="false">IF($G162="","",$G162*Settings!$B$12)</f>
        <v/>
      </c>
      <c r="L162" s="34" t="str">
        <f aca="false">IF($G162="","",SUM($H162:$K162))</f>
        <v/>
      </c>
      <c r="M162" s="31" t="str">
        <f aca="false">IF($G162="","",IF(ROUND($L162,2)=ROUND($G162,2),"OK","MISMATCH"))</f>
        <v/>
      </c>
      <c r="N162" s="28"/>
      <c r="O162" s="27"/>
      <c r="P162" s="36" t="str">
        <f aca="false">IF($D162="","",EDATE($D162,12))</f>
        <v/>
      </c>
      <c r="Q162" s="32"/>
    </row>
    <row r="163" customFormat="false" ht="15.75" hidden="false" customHeight="true" outlineLevel="0" collapsed="false">
      <c r="A163" s="27"/>
      <c r="B163" s="27"/>
      <c r="C163" s="33" t="str">
        <f aca="false">IFERROR(INDEX(Customers!$C$4:$C$1003,MATCH($B163,Customers!$A$4:$A$1003,0)),"")</f>
        <v/>
      </c>
      <c r="D163" s="29"/>
      <c r="E163" s="31" t="str">
        <f aca="false">IFERROR(INDEX(Customers!$F$4:$F$1003,MATCH($B163,Customers!$A$4:$A$1003,0)),"")</f>
        <v/>
      </c>
      <c r="F163" s="28"/>
      <c r="G163" s="34" t="str">
        <f aca="false">IFERROR(INDEX(Customers!$L$4:$L$1003,MATCH($B163,Customers!$A$4:$A$1003,0)),"")</f>
        <v/>
      </c>
      <c r="H163" s="34" t="str">
        <f aca="false">IF($G163="","",$G163*Settings!$B$9)</f>
        <v/>
      </c>
      <c r="I163" s="34" t="str">
        <f aca="false">IF($G163="","",$G163*Settings!$B$10)</f>
        <v/>
      </c>
      <c r="J163" s="34" t="str">
        <f aca="false">IF($G163="","",$G163*Settings!$B$11)</f>
        <v/>
      </c>
      <c r="K163" s="34" t="str">
        <f aca="false">IF($G163="","",$G163*Settings!$B$12)</f>
        <v/>
      </c>
      <c r="L163" s="34" t="str">
        <f aca="false">IF($G163="","",SUM($H163:$K163))</f>
        <v/>
      </c>
      <c r="M163" s="31" t="str">
        <f aca="false">IF($G163="","",IF(ROUND($L163,2)=ROUND($G163,2),"OK","MISMATCH"))</f>
        <v/>
      </c>
      <c r="N163" s="28"/>
      <c r="O163" s="27"/>
      <c r="P163" s="36" t="str">
        <f aca="false">IF($D163="","",EDATE($D163,12))</f>
        <v/>
      </c>
      <c r="Q163" s="32"/>
    </row>
    <row r="164" customFormat="false" ht="15.75" hidden="false" customHeight="true" outlineLevel="0" collapsed="false">
      <c r="A164" s="27"/>
      <c r="B164" s="27"/>
      <c r="C164" s="33" t="str">
        <f aca="false">IFERROR(INDEX(Customers!$C$4:$C$1003,MATCH($B164,Customers!$A$4:$A$1003,0)),"")</f>
        <v/>
      </c>
      <c r="D164" s="29"/>
      <c r="E164" s="31" t="str">
        <f aca="false">IFERROR(INDEX(Customers!$F$4:$F$1003,MATCH($B164,Customers!$A$4:$A$1003,0)),"")</f>
        <v/>
      </c>
      <c r="F164" s="28"/>
      <c r="G164" s="34" t="str">
        <f aca="false">IFERROR(INDEX(Customers!$L$4:$L$1003,MATCH($B164,Customers!$A$4:$A$1003,0)),"")</f>
        <v/>
      </c>
      <c r="H164" s="34" t="str">
        <f aca="false">IF($G164="","",$G164*Settings!$B$9)</f>
        <v/>
      </c>
      <c r="I164" s="34" t="str">
        <f aca="false">IF($G164="","",$G164*Settings!$B$10)</f>
        <v/>
      </c>
      <c r="J164" s="34" t="str">
        <f aca="false">IF($G164="","",$G164*Settings!$B$11)</f>
        <v/>
      </c>
      <c r="K164" s="34" t="str">
        <f aca="false">IF($G164="","",$G164*Settings!$B$12)</f>
        <v/>
      </c>
      <c r="L164" s="34" t="str">
        <f aca="false">IF($G164="","",SUM($H164:$K164))</f>
        <v/>
      </c>
      <c r="M164" s="31" t="str">
        <f aca="false">IF($G164="","",IF(ROUND($L164,2)=ROUND($G164,2),"OK","MISMATCH"))</f>
        <v/>
      </c>
      <c r="N164" s="28"/>
      <c r="O164" s="27"/>
      <c r="P164" s="36" t="str">
        <f aca="false">IF($D164="","",EDATE($D164,12))</f>
        <v/>
      </c>
      <c r="Q164" s="32"/>
    </row>
    <row r="165" customFormat="false" ht="15.75" hidden="false" customHeight="true" outlineLevel="0" collapsed="false">
      <c r="A165" s="27"/>
      <c r="B165" s="27"/>
      <c r="C165" s="33" t="str">
        <f aca="false">IFERROR(INDEX(Customers!$C$4:$C$1003,MATCH($B165,Customers!$A$4:$A$1003,0)),"")</f>
        <v/>
      </c>
      <c r="D165" s="29"/>
      <c r="E165" s="31" t="str">
        <f aca="false">IFERROR(INDEX(Customers!$F$4:$F$1003,MATCH($B165,Customers!$A$4:$A$1003,0)),"")</f>
        <v/>
      </c>
      <c r="F165" s="28"/>
      <c r="G165" s="34" t="str">
        <f aca="false">IFERROR(INDEX(Customers!$L$4:$L$1003,MATCH($B165,Customers!$A$4:$A$1003,0)),"")</f>
        <v/>
      </c>
      <c r="H165" s="34" t="str">
        <f aca="false">IF($G165="","",$G165*Settings!$B$9)</f>
        <v/>
      </c>
      <c r="I165" s="34" t="str">
        <f aca="false">IF($G165="","",$G165*Settings!$B$10)</f>
        <v/>
      </c>
      <c r="J165" s="34" t="str">
        <f aca="false">IF($G165="","",$G165*Settings!$B$11)</f>
        <v/>
      </c>
      <c r="K165" s="34" t="str">
        <f aca="false">IF($G165="","",$G165*Settings!$B$12)</f>
        <v/>
      </c>
      <c r="L165" s="34" t="str">
        <f aca="false">IF($G165="","",SUM($H165:$K165))</f>
        <v/>
      </c>
      <c r="M165" s="31" t="str">
        <f aca="false">IF($G165="","",IF(ROUND($L165,2)=ROUND($G165,2),"OK","MISMATCH"))</f>
        <v/>
      </c>
      <c r="N165" s="28"/>
      <c r="O165" s="27"/>
      <c r="P165" s="36" t="str">
        <f aca="false">IF($D165="","",EDATE($D165,12))</f>
        <v/>
      </c>
      <c r="Q165" s="32"/>
    </row>
    <row r="166" customFormat="false" ht="15.75" hidden="false" customHeight="true" outlineLevel="0" collapsed="false">
      <c r="A166" s="27"/>
      <c r="B166" s="27"/>
      <c r="C166" s="33" t="str">
        <f aca="false">IFERROR(INDEX(Customers!$C$4:$C$1003,MATCH($B166,Customers!$A$4:$A$1003,0)),"")</f>
        <v/>
      </c>
      <c r="D166" s="29"/>
      <c r="E166" s="31" t="str">
        <f aca="false">IFERROR(INDEX(Customers!$F$4:$F$1003,MATCH($B166,Customers!$A$4:$A$1003,0)),"")</f>
        <v/>
      </c>
      <c r="F166" s="28"/>
      <c r="G166" s="34" t="str">
        <f aca="false">IFERROR(INDEX(Customers!$L$4:$L$1003,MATCH($B166,Customers!$A$4:$A$1003,0)),"")</f>
        <v/>
      </c>
      <c r="H166" s="34" t="str">
        <f aca="false">IF($G166="","",$G166*Settings!$B$9)</f>
        <v/>
      </c>
      <c r="I166" s="34" t="str">
        <f aca="false">IF($G166="","",$G166*Settings!$B$10)</f>
        <v/>
      </c>
      <c r="J166" s="34" t="str">
        <f aca="false">IF($G166="","",$G166*Settings!$B$11)</f>
        <v/>
      </c>
      <c r="K166" s="34" t="str">
        <f aca="false">IF($G166="","",$G166*Settings!$B$12)</f>
        <v/>
      </c>
      <c r="L166" s="34" t="str">
        <f aca="false">IF($G166="","",SUM($H166:$K166))</f>
        <v/>
      </c>
      <c r="M166" s="31" t="str">
        <f aca="false">IF($G166="","",IF(ROUND($L166,2)=ROUND($G166,2),"OK","MISMATCH"))</f>
        <v/>
      </c>
      <c r="N166" s="28"/>
      <c r="O166" s="27"/>
      <c r="P166" s="36" t="str">
        <f aca="false">IF($D166="","",EDATE($D166,12))</f>
        <v/>
      </c>
      <c r="Q166" s="32"/>
    </row>
    <row r="167" customFormat="false" ht="15.75" hidden="false" customHeight="true" outlineLevel="0" collapsed="false">
      <c r="A167" s="27"/>
      <c r="B167" s="27"/>
      <c r="C167" s="33" t="str">
        <f aca="false">IFERROR(INDEX(Customers!$C$4:$C$1003,MATCH($B167,Customers!$A$4:$A$1003,0)),"")</f>
        <v/>
      </c>
      <c r="D167" s="29"/>
      <c r="E167" s="31" t="str">
        <f aca="false">IFERROR(INDEX(Customers!$F$4:$F$1003,MATCH($B167,Customers!$A$4:$A$1003,0)),"")</f>
        <v/>
      </c>
      <c r="F167" s="28"/>
      <c r="G167" s="34" t="str">
        <f aca="false">IFERROR(INDEX(Customers!$L$4:$L$1003,MATCH($B167,Customers!$A$4:$A$1003,0)),"")</f>
        <v/>
      </c>
      <c r="H167" s="34" t="str">
        <f aca="false">IF($G167="","",$G167*Settings!$B$9)</f>
        <v/>
      </c>
      <c r="I167" s="34" t="str">
        <f aca="false">IF($G167="","",$G167*Settings!$B$10)</f>
        <v/>
      </c>
      <c r="J167" s="34" t="str">
        <f aca="false">IF($G167="","",$G167*Settings!$B$11)</f>
        <v/>
      </c>
      <c r="K167" s="34" t="str">
        <f aca="false">IF($G167="","",$G167*Settings!$B$12)</f>
        <v/>
      </c>
      <c r="L167" s="34" t="str">
        <f aca="false">IF($G167="","",SUM($H167:$K167))</f>
        <v/>
      </c>
      <c r="M167" s="31" t="str">
        <f aca="false">IF($G167="","",IF(ROUND($L167,2)=ROUND($G167,2),"OK","MISMATCH"))</f>
        <v/>
      </c>
      <c r="N167" s="28"/>
      <c r="O167" s="27"/>
      <c r="P167" s="36" t="str">
        <f aca="false">IF($D167="","",EDATE($D167,12))</f>
        <v/>
      </c>
      <c r="Q167" s="32"/>
    </row>
    <row r="168" customFormat="false" ht="15.75" hidden="false" customHeight="true" outlineLevel="0" collapsed="false">
      <c r="A168" s="27"/>
      <c r="B168" s="27"/>
      <c r="C168" s="33" t="str">
        <f aca="false">IFERROR(INDEX(Customers!$C$4:$C$1003,MATCH($B168,Customers!$A$4:$A$1003,0)),"")</f>
        <v/>
      </c>
      <c r="D168" s="29"/>
      <c r="E168" s="31" t="str">
        <f aca="false">IFERROR(INDEX(Customers!$F$4:$F$1003,MATCH($B168,Customers!$A$4:$A$1003,0)),"")</f>
        <v/>
      </c>
      <c r="F168" s="28"/>
      <c r="G168" s="34" t="str">
        <f aca="false">IFERROR(INDEX(Customers!$L$4:$L$1003,MATCH($B168,Customers!$A$4:$A$1003,0)),"")</f>
        <v/>
      </c>
      <c r="H168" s="34" t="str">
        <f aca="false">IF($G168="","",$G168*Settings!$B$9)</f>
        <v/>
      </c>
      <c r="I168" s="34" t="str">
        <f aca="false">IF($G168="","",$G168*Settings!$B$10)</f>
        <v/>
      </c>
      <c r="J168" s="34" t="str">
        <f aca="false">IF($G168="","",$G168*Settings!$B$11)</f>
        <v/>
      </c>
      <c r="K168" s="34" t="str">
        <f aca="false">IF($G168="","",$G168*Settings!$B$12)</f>
        <v/>
      </c>
      <c r="L168" s="34" t="str">
        <f aca="false">IF($G168="","",SUM($H168:$K168))</f>
        <v/>
      </c>
      <c r="M168" s="31" t="str">
        <f aca="false">IF($G168="","",IF(ROUND($L168,2)=ROUND($G168,2),"OK","MISMATCH"))</f>
        <v/>
      </c>
      <c r="N168" s="28"/>
      <c r="O168" s="27"/>
      <c r="P168" s="36" t="str">
        <f aca="false">IF($D168="","",EDATE($D168,12))</f>
        <v/>
      </c>
      <c r="Q168" s="32"/>
    </row>
    <row r="169" customFormat="false" ht="15.75" hidden="false" customHeight="true" outlineLevel="0" collapsed="false">
      <c r="A169" s="27"/>
      <c r="B169" s="27"/>
      <c r="C169" s="33" t="str">
        <f aca="false">IFERROR(INDEX(Customers!$C$4:$C$1003,MATCH($B169,Customers!$A$4:$A$1003,0)),"")</f>
        <v/>
      </c>
      <c r="D169" s="29"/>
      <c r="E169" s="31" t="str">
        <f aca="false">IFERROR(INDEX(Customers!$F$4:$F$1003,MATCH($B169,Customers!$A$4:$A$1003,0)),"")</f>
        <v/>
      </c>
      <c r="F169" s="28"/>
      <c r="G169" s="34" t="str">
        <f aca="false">IFERROR(INDEX(Customers!$L$4:$L$1003,MATCH($B169,Customers!$A$4:$A$1003,0)),"")</f>
        <v/>
      </c>
      <c r="H169" s="34" t="str">
        <f aca="false">IF($G169="","",$G169*Settings!$B$9)</f>
        <v/>
      </c>
      <c r="I169" s="34" t="str">
        <f aca="false">IF($G169="","",$G169*Settings!$B$10)</f>
        <v/>
      </c>
      <c r="J169" s="34" t="str">
        <f aca="false">IF($G169="","",$G169*Settings!$B$11)</f>
        <v/>
      </c>
      <c r="K169" s="34" t="str">
        <f aca="false">IF($G169="","",$G169*Settings!$B$12)</f>
        <v/>
      </c>
      <c r="L169" s="34" t="str">
        <f aca="false">IF($G169="","",SUM($H169:$K169))</f>
        <v/>
      </c>
      <c r="M169" s="31" t="str">
        <f aca="false">IF($G169="","",IF(ROUND($L169,2)=ROUND($G169,2),"OK","MISMATCH"))</f>
        <v/>
      </c>
      <c r="N169" s="28"/>
      <c r="O169" s="27"/>
      <c r="P169" s="36" t="str">
        <f aca="false">IF($D169="","",EDATE($D169,12))</f>
        <v/>
      </c>
      <c r="Q169" s="32"/>
    </row>
    <row r="170" customFormat="false" ht="15.75" hidden="false" customHeight="true" outlineLevel="0" collapsed="false">
      <c r="A170" s="27"/>
      <c r="B170" s="27"/>
      <c r="C170" s="33" t="str">
        <f aca="false">IFERROR(INDEX(Customers!$C$4:$C$1003,MATCH($B170,Customers!$A$4:$A$1003,0)),"")</f>
        <v/>
      </c>
      <c r="D170" s="29"/>
      <c r="E170" s="31" t="str">
        <f aca="false">IFERROR(INDEX(Customers!$F$4:$F$1003,MATCH($B170,Customers!$A$4:$A$1003,0)),"")</f>
        <v/>
      </c>
      <c r="F170" s="28"/>
      <c r="G170" s="34" t="str">
        <f aca="false">IFERROR(INDEX(Customers!$L$4:$L$1003,MATCH($B170,Customers!$A$4:$A$1003,0)),"")</f>
        <v/>
      </c>
      <c r="H170" s="34" t="str">
        <f aca="false">IF($G170="","",$G170*Settings!$B$9)</f>
        <v/>
      </c>
      <c r="I170" s="34" t="str">
        <f aca="false">IF($G170="","",$G170*Settings!$B$10)</f>
        <v/>
      </c>
      <c r="J170" s="34" t="str">
        <f aca="false">IF($G170="","",$G170*Settings!$B$11)</f>
        <v/>
      </c>
      <c r="K170" s="34" t="str">
        <f aca="false">IF($G170="","",$G170*Settings!$B$12)</f>
        <v/>
      </c>
      <c r="L170" s="34" t="str">
        <f aca="false">IF($G170="","",SUM($H170:$K170))</f>
        <v/>
      </c>
      <c r="M170" s="31" t="str">
        <f aca="false">IF($G170="","",IF(ROUND($L170,2)=ROUND($G170,2),"OK","MISMATCH"))</f>
        <v/>
      </c>
      <c r="N170" s="28"/>
      <c r="O170" s="27"/>
      <c r="P170" s="36" t="str">
        <f aca="false">IF($D170="","",EDATE($D170,12))</f>
        <v/>
      </c>
      <c r="Q170" s="32"/>
    </row>
    <row r="171" customFormat="false" ht="15.75" hidden="false" customHeight="true" outlineLevel="0" collapsed="false">
      <c r="A171" s="27"/>
      <c r="B171" s="27"/>
      <c r="C171" s="33" t="str">
        <f aca="false">IFERROR(INDEX(Customers!$C$4:$C$1003,MATCH($B171,Customers!$A$4:$A$1003,0)),"")</f>
        <v/>
      </c>
      <c r="D171" s="29"/>
      <c r="E171" s="31" t="str">
        <f aca="false">IFERROR(INDEX(Customers!$F$4:$F$1003,MATCH($B171,Customers!$A$4:$A$1003,0)),"")</f>
        <v/>
      </c>
      <c r="F171" s="28"/>
      <c r="G171" s="34" t="str">
        <f aca="false">IFERROR(INDEX(Customers!$L$4:$L$1003,MATCH($B171,Customers!$A$4:$A$1003,0)),"")</f>
        <v/>
      </c>
      <c r="H171" s="34" t="str">
        <f aca="false">IF($G171="","",$G171*Settings!$B$9)</f>
        <v/>
      </c>
      <c r="I171" s="34" t="str">
        <f aca="false">IF($G171="","",$G171*Settings!$B$10)</f>
        <v/>
      </c>
      <c r="J171" s="34" t="str">
        <f aca="false">IF($G171="","",$G171*Settings!$B$11)</f>
        <v/>
      </c>
      <c r="K171" s="34" t="str">
        <f aca="false">IF($G171="","",$G171*Settings!$B$12)</f>
        <v/>
      </c>
      <c r="L171" s="34" t="str">
        <f aca="false">IF($G171="","",SUM($H171:$K171))</f>
        <v/>
      </c>
      <c r="M171" s="31" t="str">
        <f aca="false">IF($G171="","",IF(ROUND($L171,2)=ROUND($G171,2),"OK","MISMATCH"))</f>
        <v/>
      </c>
      <c r="N171" s="28"/>
      <c r="O171" s="27"/>
      <c r="P171" s="36" t="str">
        <f aca="false">IF($D171="","",EDATE($D171,12))</f>
        <v/>
      </c>
      <c r="Q171" s="32"/>
    </row>
    <row r="172" customFormat="false" ht="15.75" hidden="false" customHeight="true" outlineLevel="0" collapsed="false">
      <c r="A172" s="27"/>
      <c r="B172" s="27"/>
      <c r="C172" s="33" t="str">
        <f aca="false">IFERROR(INDEX(Customers!$C$4:$C$1003,MATCH($B172,Customers!$A$4:$A$1003,0)),"")</f>
        <v/>
      </c>
      <c r="D172" s="29"/>
      <c r="E172" s="31" t="str">
        <f aca="false">IFERROR(INDEX(Customers!$F$4:$F$1003,MATCH($B172,Customers!$A$4:$A$1003,0)),"")</f>
        <v/>
      </c>
      <c r="F172" s="28"/>
      <c r="G172" s="34" t="str">
        <f aca="false">IFERROR(INDEX(Customers!$L$4:$L$1003,MATCH($B172,Customers!$A$4:$A$1003,0)),"")</f>
        <v/>
      </c>
      <c r="H172" s="34" t="str">
        <f aca="false">IF($G172="","",$G172*Settings!$B$9)</f>
        <v/>
      </c>
      <c r="I172" s="34" t="str">
        <f aca="false">IF($G172="","",$G172*Settings!$B$10)</f>
        <v/>
      </c>
      <c r="J172" s="34" t="str">
        <f aca="false">IF($G172="","",$G172*Settings!$B$11)</f>
        <v/>
      </c>
      <c r="K172" s="34" t="str">
        <f aca="false">IF($G172="","",$G172*Settings!$B$12)</f>
        <v/>
      </c>
      <c r="L172" s="34" t="str">
        <f aca="false">IF($G172="","",SUM($H172:$K172))</f>
        <v/>
      </c>
      <c r="M172" s="31" t="str">
        <f aca="false">IF($G172="","",IF(ROUND($L172,2)=ROUND($G172,2),"OK","MISMATCH"))</f>
        <v/>
      </c>
      <c r="N172" s="28"/>
      <c r="O172" s="27"/>
      <c r="P172" s="36" t="str">
        <f aca="false">IF($D172="","",EDATE($D172,12))</f>
        <v/>
      </c>
      <c r="Q172" s="32"/>
    </row>
    <row r="173" customFormat="false" ht="15.75" hidden="false" customHeight="true" outlineLevel="0" collapsed="false">
      <c r="A173" s="27"/>
      <c r="B173" s="27"/>
      <c r="C173" s="33" t="str">
        <f aca="false">IFERROR(INDEX(Customers!$C$4:$C$1003,MATCH($B173,Customers!$A$4:$A$1003,0)),"")</f>
        <v/>
      </c>
      <c r="D173" s="29"/>
      <c r="E173" s="31" t="str">
        <f aca="false">IFERROR(INDEX(Customers!$F$4:$F$1003,MATCH($B173,Customers!$A$4:$A$1003,0)),"")</f>
        <v/>
      </c>
      <c r="F173" s="28"/>
      <c r="G173" s="34" t="str">
        <f aca="false">IFERROR(INDEX(Customers!$L$4:$L$1003,MATCH($B173,Customers!$A$4:$A$1003,0)),"")</f>
        <v/>
      </c>
      <c r="H173" s="34" t="str">
        <f aca="false">IF($G173="","",$G173*Settings!$B$9)</f>
        <v/>
      </c>
      <c r="I173" s="34" t="str">
        <f aca="false">IF($G173="","",$G173*Settings!$B$10)</f>
        <v/>
      </c>
      <c r="J173" s="34" t="str">
        <f aca="false">IF($G173="","",$G173*Settings!$B$11)</f>
        <v/>
      </c>
      <c r="K173" s="34" t="str">
        <f aca="false">IF($G173="","",$G173*Settings!$B$12)</f>
        <v/>
      </c>
      <c r="L173" s="34" t="str">
        <f aca="false">IF($G173="","",SUM($H173:$K173))</f>
        <v/>
      </c>
      <c r="M173" s="31" t="str">
        <f aca="false">IF($G173="","",IF(ROUND($L173,2)=ROUND($G173,2),"OK","MISMATCH"))</f>
        <v/>
      </c>
      <c r="N173" s="28"/>
      <c r="O173" s="27"/>
      <c r="P173" s="36" t="str">
        <f aca="false">IF($D173="","",EDATE($D173,12))</f>
        <v/>
      </c>
      <c r="Q173" s="32"/>
    </row>
    <row r="174" customFormat="false" ht="15.75" hidden="false" customHeight="true" outlineLevel="0" collapsed="false">
      <c r="A174" s="27"/>
      <c r="B174" s="27"/>
      <c r="C174" s="33" t="str">
        <f aca="false">IFERROR(INDEX(Customers!$C$4:$C$1003,MATCH($B174,Customers!$A$4:$A$1003,0)),"")</f>
        <v/>
      </c>
      <c r="D174" s="29"/>
      <c r="E174" s="31" t="str">
        <f aca="false">IFERROR(INDEX(Customers!$F$4:$F$1003,MATCH($B174,Customers!$A$4:$A$1003,0)),"")</f>
        <v/>
      </c>
      <c r="F174" s="28"/>
      <c r="G174" s="34" t="str">
        <f aca="false">IFERROR(INDEX(Customers!$L$4:$L$1003,MATCH($B174,Customers!$A$4:$A$1003,0)),"")</f>
        <v/>
      </c>
      <c r="H174" s="34" t="str">
        <f aca="false">IF($G174="","",$G174*Settings!$B$9)</f>
        <v/>
      </c>
      <c r="I174" s="34" t="str">
        <f aca="false">IF($G174="","",$G174*Settings!$B$10)</f>
        <v/>
      </c>
      <c r="J174" s="34" t="str">
        <f aca="false">IF($G174="","",$G174*Settings!$B$11)</f>
        <v/>
      </c>
      <c r="K174" s="34" t="str">
        <f aca="false">IF($G174="","",$G174*Settings!$B$12)</f>
        <v/>
      </c>
      <c r="L174" s="34" t="str">
        <f aca="false">IF($G174="","",SUM($H174:$K174))</f>
        <v/>
      </c>
      <c r="M174" s="31" t="str">
        <f aca="false">IF($G174="","",IF(ROUND($L174,2)=ROUND($G174,2),"OK","MISMATCH"))</f>
        <v/>
      </c>
      <c r="N174" s="28"/>
      <c r="O174" s="27"/>
      <c r="P174" s="36" t="str">
        <f aca="false">IF($D174="","",EDATE($D174,12))</f>
        <v/>
      </c>
      <c r="Q174" s="32"/>
    </row>
    <row r="175" customFormat="false" ht="15.75" hidden="false" customHeight="true" outlineLevel="0" collapsed="false">
      <c r="A175" s="27"/>
      <c r="B175" s="27"/>
      <c r="C175" s="33" t="str">
        <f aca="false">IFERROR(INDEX(Customers!$C$4:$C$1003,MATCH($B175,Customers!$A$4:$A$1003,0)),"")</f>
        <v/>
      </c>
      <c r="D175" s="29"/>
      <c r="E175" s="31" t="str">
        <f aca="false">IFERROR(INDEX(Customers!$F$4:$F$1003,MATCH($B175,Customers!$A$4:$A$1003,0)),"")</f>
        <v/>
      </c>
      <c r="F175" s="28"/>
      <c r="G175" s="34" t="str">
        <f aca="false">IFERROR(INDEX(Customers!$L$4:$L$1003,MATCH($B175,Customers!$A$4:$A$1003,0)),"")</f>
        <v/>
      </c>
      <c r="H175" s="34" t="str">
        <f aca="false">IF($G175="","",$G175*Settings!$B$9)</f>
        <v/>
      </c>
      <c r="I175" s="34" t="str">
        <f aca="false">IF($G175="","",$G175*Settings!$B$10)</f>
        <v/>
      </c>
      <c r="J175" s="34" t="str">
        <f aca="false">IF($G175="","",$G175*Settings!$B$11)</f>
        <v/>
      </c>
      <c r="K175" s="34" t="str">
        <f aca="false">IF($G175="","",$G175*Settings!$B$12)</f>
        <v/>
      </c>
      <c r="L175" s="34" t="str">
        <f aca="false">IF($G175="","",SUM($H175:$K175))</f>
        <v/>
      </c>
      <c r="M175" s="31" t="str">
        <f aca="false">IF($G175="","",IF(ROUND($L175,2)=ROUND($G175,2),"OK","MISMATCH"))</f>
        <v/>
      </c>
      <c r="N175" s="28"/>
      <c r="O175" s="27"/>
      <c r="P175" s="36" t="str">
        <f aca="false">IF($D175="","",EDATE($D175,12))</f>
        <v/>
      </c>
      <c r="Q175" s="32"/>
    </row>
    <row r="176" customFormat="false" ht="15.75" hidden="false" customHeight="true" outlineLevel="0" collapsed="false">
      <c r="A176" s="27"/>
      <c r="B176" s="27"/>
      <c r="C176" s="33" t="str">
        <f aca="false">IFERROR(INDEX(Customers!$C$4:$C$1003,MATCH($B176,Customers!$A$4:$A$1003,0)),"")</f>
        <v/>
      </c>
      <c r="D176" s="29"/>
      <c r="E176" s="31" t="str">
        <f aca="false">IFERROR(INDEX(Customers!$F$4:$F$1003,MATCH($B176,Customers!$A$4:$A$1003,0)),"")</f>
        <v/>
      </c>
      <c r="F176" s="28"/>
      <c r="G176" s="34" t="str">
        <f aca="false">IFERROR(INDEX(Customers!$L$4:$L$1003,MATCH($B176,Customers!$A$4:$A$1003,0)),"")</f>
        <v/>
      </c>
      <c r="H176" s="34" t="str">
        <f aca="false">IF($G176="","",$G176*Settings!$B$9)</f>
        <v/>
      </c>
      <c r="I176" s="34" t="str">
        <f aca="false">IF($G176="","",$G176*Settings!$B$10)</f>
        <v/>
      </c>
      <c r="J176" s="34" t="str">
        <f aca="false">IF($G176="","",$G176*Settings!$B$11)</f>
        <v/>
      </c>
      <c r="K176" s="34" t="str">
        <f aca="false">IF($G176="","",$G176*Settings!$B$12)</f>
        <v/>
      </c>
      <c r="L176" s="34" t="str">
        <f aca="false">IF($G176="","",SUM($H176:$K176))</f>
        <v/>
      </c>
      <c r="M176" s="31" t="str">
        <f aca="false">IF($G176="","",IF(ROUND($L176,2)=ROUND($G176,2),"OK","MISMATCH"))</f>
        <v/>
      </c>
      <c r="N176" s="28"/>
      <c r="O176" s="27"/>
      <c r="P176" s="36" t="str">
        <f aca="false">IF($D176="","",EDATE($D176,12))</f>
        <v/>
      </c>
      <c r="Q176" s="32"/>
    </row>
    <row r="177" customFormat="false" ht="15.75" hidden="false" customHeight="true" outlineLevel="0" collapsed="false">
      <c r="A177" s="27"/>
      <c r="B177" s="27"/>
      <c r="C177" s="33" t="str">
        <f aca="false">IFERROR(INDEX(Customers!$C$4:$C$1003,MATCH($B177,Customers!$A$4:$A$1003,0)),"")</f>
        <v/>
      </c>
      <c r="D177" s="29"/>
      <c r="E177" s="31" t="str">
        <f aca="false">IFERROR(INDEX(Customers!$F$4:$F$1003,MATCH($B177,Customers!$A$4:$A$1003,0)),"")</f>
        <v/>
      </c>
      <c r="F177" s="28"/>
      <c r="G177" s="34" t="str">
        <f aca="false">IFERROR(INDEX(Customers!$L$4:$L$1003,MATCH($B177,Customers!$A$4:$A$1003,0)),"")</f>
        <v/>
      </c>
      <c r="H177" s="34" t="str">
        <f aca="false">IF($G177="","",$G177*Settings!$B$9)</f>
        <v/>
      </c>
      <c r="I177" s="34" t="str">
        <f aca="false">IF($G177="","",$G177*Settings!$B$10)</f>
        <v/>
      </c>
      <c r="J177" s="34" t="str">
        <f aca="false">IF($G177="","",$G177*Settings!$B$11)</f>
        <v/>
      </c>
      <c r="K177" s="34" t="str">
        <f aca="false">IF($G177="","",$G177*Settings!$B$12)</f>
        <v/>
      </c>
      <c r="L177" s="34" t="str">
        <f aca="false">IF($G177="","",SUM($H177:$K177))</f>
        <v/>
      </c>
      <c r="M177" s="31" t="str">
        <f aca="false">IF($G177="","",IF(ROUND($L177,2)=ROUND($G177,2),"OK","MISMATCH"))</f>
        <v/>
      </c>
      <c r="N177" s="28"/>
      <c r="O177" s="27"/>
      <c r="P177" s="36" t="str">
        <f aca="false">IF($D177="","",EDATE($D177,12))</f>
        <v/>
      </c>
      <c r="Q177" s="32"/>
    </row>
    <row r="178" customFormat="false" ht="15.75" hidden="false" customHeight="true" outlineLevel="0" collapsed="false">
      <c r="A178" s="27"/>
      <c r="B178" s="27"/>
      <c r="C178" s="33" t="str">
        <f aca="false">IFERROR(INDEX(Customers!$C$4:$C$1003,MATCH($B178,Customers!$A$4:$A$1003,0)),"")</f>
        <v/>
      </c>
      <c r="D178" s="29"/>
      <c r="E178" s="31" t="str">
        <f aca="false">IFERROR(INDEX(Customers!$F$4:$F$1003,MATCH($B178,Customers!$A$4:$A$1003,0)),"")</f>
        <v/>
      </c>
      <c r="F178" s="28"/>
      <c r="G178" s="34" t="str">
        <f aca="false">IFERROR(INDEX(Customers!$L$4:$L$1003,MATCH($B178,Customers!$A$4:$A$1003,0)),"")</f>
        <v/>
      </c>
      <c r="H178" s="34" t="str">
        <f aca="false">IF($G178="","",$G178*Settings!$B$9)</f>
        <v/>
      </c>
      <c r="I178" s="34" t="str">
        <f aca="false">IF($G178="","",$G178*Settings!$B$10)</f>
        <v/>
      </c>
      <c r="J178" s="34" t="str">
        <f aca="false">IF($G178="","",$G178*Settings!$B$11)</f>
        <v/>
      </c>
      <c r="K178" s="34" t="str">
        <f aca="false">IF($G178="","",$G178*Settings!$B$12)</f>
        <v/>
      </c>
      <c r="L178" s="34" t="str">
        <f aca="false">IF($G178="","",SUM($H178:$K178))</f>
        <v/>
      </c>
      <c r="M178" s="31" t="str">
        <f aca="false">IF($G178="","",IF(ROUND($L178,2)=ROUND($G178,2),"OK","MISMATCH"))</f>
        <v/>
      </c>
      <c r="N178" s="28"/>
      <c r="O178" s="27"/>
      <c r="P178" s="36" t="str">
        <f aca="false">IF($D178="","",EDATE($D178,12))</f>
        <v/>
      </c>
      <c r="Q178" s="32"/>
    </row>
    <row r="179" customFormat="false" ht="15.75" hidden="false" customHeight="true" outlineLevel="0" collapsed="false">
      <c r="A179" s="27"/>
      <c r="B179" s="27"/>
      <c r="C179" s="33" t="str">
        <f aca="false">IFERROR(INDEX(Customers!$C$4:$C$1003,MATCH($B179,Customers!$A$4:$A$1003,0)),"")</f>
        <v/>
      </c>
      <c r="D179" s="29"/>
      <c r="E179" s="31" t="str">
        <f aca="false">IFERROR(INDEX(Customers!$F$4:$F$1003,MATCH($B179,Customers!$A$4:$A$1003,0)),"")</f>
        <v/>
      </c>
      <c r="F179" s="28"/>
      <c r="G179" s="34" t="str">
        <f aca="false">IFERROR(INDEX(Customers!$L$4:$L$1003,MATCH($B179,Customers!$A$4:$A$1003,0)),"")</f>
        <v/>
      </c>
      <c r="H179" s="34" t="str">
        <f aca="false">IF($G179="","",$G179*Settings!$B$9)</f>
        <v/>
      </c>
      <c r="I179" s="34" t="str">
        <f aca="false">IF($G179="","",$G179*Settings!$B$10)</f>
        <v/>
      </c>
      <c r="J179" s="34" t="str">
        <f aca="false">IF($G179="","",$G179*Settings!$B$11)</f>
        <v/>
      </c>
      <c r="K179" s="34" t="str">
        <f aca="false">IF($G179="","",$G179*Settings!$B$12)</f>
        <v/>
      </c>
      <c r="L179" s="34" t="str">
        <f aca="false">IF($G179="","",SUM($H179:$K179))</f>
        <v/>
      </c>
      <c r="M179" s="31" t="str">
        <f aca="false">IF($G179="","",IF(ROUND($L179,2)=ROUND($G179,2),"OK","MISMATCH"))</f>
        <v/>
      </c>
      <c r="N179" s="28"/>
      <c r="O179" s="27"/>
      <c r="P179" s="36" t="str">
        <f aca="false">IF($D179="","",EDATE($D179,12))</f>
        <v/>
      </c>
      <c r="Q179" s="32"/>
    </row>
    <row r="180" customFormat="false" ht="15.75" hidden="false" customHeight="true" outlineLevel="0" collapsed="false">
      <c r="A180" s="27"/>
      <c r="B180" s="27"/>
      <c r="C180" s="33" t="str">
        <f aca="false">IFERROR(INDEX(Customers!$C$4:$C$1003,MATCH($B180,Customers!$A$4:$A$1003,0)),"")</f>
        <v/>
      </c>
      <c r="D180" s="29"/>
      <c r="E180" s="31" t="str">
        <f aca="false">IFERROR(INDEX(Customers!$F$4:$F$1003,MATCH($B180,Customers!$A$4:$A$1003,0)),"")</f>
        <v/>
      </c>
      <c r="F180" s="28"/>
      <c r="G180" s="34" t="str">
        <f aca="false">IFERROR(INDEX(Customers!$L$4:$L$1003,MATCH($B180,Customers!$A$4:$A$1003,0)),"")</f>
        <v/>
      </c>
      <c r="H180" s="34" t="str">
        <f aca="false">IF($G180="","",$G180*Settings!$B$9)</f>
        <v/>
      </c>
      <c r="I180" s="34" t="str">
        <f aca="false">IF($G180="","",$G180*Settings!$B$10)</f>
        <v/>
      </c>
      <c r="J180" s="34" t="str">
        <f aca="false">IF($G180="","",$G180*Settings!$B$11)</f>
        <v/>
      </c>
      <c r="K180" s="34" t="str">
        <f aca="false">IF($G180="","",$G180*Settings!$B$12)</f>
        <v/>
      </c>
      <c r="L180" s="34" t="str">
        <f aca="false">IF($G180="","",SUM($H180:$K180))</f>
        <v/>
      </c>
      <c r="M180" s="31" t="str">
        <f aca="false">IF($G180="","",IF(ROUND($L180,2)=ROUND($G180,2),"OK","MISMATCH"))</f>
        <v/>
      </c>
      <c r="N180" s="28"/>
      <c r="O180" s="27"/>
      <c r="P180" s="36" t="str">
        <f aca="false">IF($D180="","",EDATE($D180,12))</f>
        <v/>
      </c>
      <c r="Q180" s="32"/>
    </row>
    <row r="181" customFormat="false" ht="15.75" hidden="false" customHeight="true" outlineLevel="0" collapsed="false">
      <c r="A181" s="27"/>
      <c r="B181" s="27"/>
      <c r="C181" s="33" t="str">
        <f aca="false">IFERROR(INDEX(Customers!$C$4:$C$1003,MATCH($B181,Customers!$A$4:$A$1003,0)),"")</f>
        <v/>
      </c>
      <c r="D181" s="29"/>
      <c r="E181" s="31" t="str">
        <f aca="false">IFERROR(INDEX(Customers!$F$4:$F$1003,MATCH($B181,Customers!$A$4:$A$1003,0)),"")</f>
        <v/>
      </c>
      <c r="F181" s="28"/>
      <c r="G181" s="34" t="str">
        <f aca="false">IFERROR(INDEX(Customers!$L$4:$L$1003,MATCH($B181,Customers!$A$4:$A$1003,0)),"")</f>
        <v/>
      </c>
      <c r="H181" s="34" t="str">
        <f aca="false">IF($G181="","",$G181*Settings!$B$9)</f>
        <v/>
      </c>
      <c r="I181" s="34" t="str">
        <f aca="false">IF($G181="","",$G181*Settings!$B$10)</f>
        <v/>
      </c>
      <c r="J181" s="34" t="str">
        <f aca="false">IF($G181="","",$G181*Settings!$B$11)</f>
        <v/>
      </c>
      <c r="K181" s="34" t="str">
        <f aca="false">IF($G181="","",$G181*Settings!$B$12)</f>
        <v/>
      </c>
      <c r="L181" s="34" t="str">
        <f aca="false">IF($G181="","",SUM($H181:$K181))</f>
        <v/>
      </c>
      <c r="M181" s="31" t="str">
        <f aca="false">IF($G181="","",IF(ROUND($L181,2)=ROUND($G181,2),"OK","MISMATCH"))</f>
        <v/>
      </c>
      <c r="N181" s="28"/>
      <c r="O181" s="27"/>
      <c r="P181" s="36" t="str">
        <f aca="false">IF($D181="","",EDATE($D181,12))</f>
        <v/>
      </c>
      <c r="Q181" s="32"/>
    </row>
    <row r="182" customFormat="false" ht="15.75" hidden="false" customHeight="true" outlineLevel="0" collapsed="false">
      <c r="A182" s="27"/>
      <c r="B182" s="27"/>
      <c r="C182" s="33" t="str">
        <f aca="false">IFERROR(INDEX(Customers!$C$4:$C$1003,MATCH($B182,Customers!$A$4:$A$1003,0)),"")</f>
        <v/>
      </c>
      <c r="D182" s="29"/>
      <c r="E182" s="31" t="str">
        <f aca="false">IFERROR(INDEX(Customers!$F$4:$F$1003,MATCH($B182,Customers!$A$4:$A$1003,0)),"")</f>
        <v/>
      </c>
      <c r="F182" s="28"/>
      <c r="G182" s="34" t="str">
        <f aca="false">IFERROR(INDEX(Customers!$L$4:$L$1003,MATCH($B182,Customers!$A$4:$A$1003,0)),"")</f>
        <v/>
      </c>
      <c r="H182" s="34" t="str">
        <f aca="false">IF($G182="","",$G182*Settings!$B$9)</f>
        <v/>
      </c>
      <c r="I182" s="34" t="str">
        <f aca="false">IF($G182="","",$G182*Settings!$B$10)</f>
        <v/>
      </c>
      <c r="J182" s="34" t="str">
        <f aca="false">IF($G182="","",$G182*Settings!$B$11)</f>
        <v/>
      </c>
      <c r="K182" s="34" t="str">
        <f aca="false">IF($G182="","",$G182*Settings!$B$12)</f>
        <v/>
      </c>
      <c r="L182" s="34" t="str">
        <f aca="false">IF($G182="","",SUM($H182:$K182))</f>
        <v/>
      </c>
      <c r="M182" s="31" t="str">
        <f aca="false">IF($G182="","",IF(ROUND($L182,2)=ROUND($G182,2),"OK","MISMATCH"))</f>
        <v/>
      </c>
      <c r="N182" s="28"/>
      <c r="O182" s="27"/>
      <c r="P182" s="36" t="str">
        <f aca="false">IF($D182="","",EDATE($D182,12))</f>
        <v/>
      </c>
      <c r="Q182" s="32"/>
    </row>
    <row r="183" customFormat="false" ht="15.75" hidden="false" customHeight="true" outlineLevel="0" collapsed="false">
      <c r="A183" s="27"/>
      <c r="B183" s="27"/>
      <c r="C183" s="33" t="str">
        <f aca="false">IFERROR(INDEX(Customers!$C$4:$C$1003,MATCH($B183,Customers!$A$4:$A$1003,0)),"")</f>
        <v/>
      </c>
      <c r="D183" s="29"/>
      <c r="E183" s="31" t="str">
        <f aca="false">IFERROR(INDEX(Customers!$F$4:$F$1003,MATCH($B183,Customers!$A$4:$A$1003,0)),"")</f>
        <v/>
      </c>
      <c r="F183" s="28"/>
      <c r="G183" s="34" t="str">
        <f aca="false">IFERROR(INDEX(Customers!$L$4:$L$1003,MATCH($B183,Customers!$A$4:$A$1003,0)),"")</f>
        <v/>
      </c>
      <c r="H183" s="34" t="str">
        <f aca="false">IF($G183="","",$G183*Settings!$B$9)</f>
        <v/>
      </c>
      <c r="I183" s="34" t="str">
        <f aca="false">IF($G183="","",$G183*Settings!$B$10)</f>
        <v/>
      </c>
      <c r="J183" s="34" t="str">
        <f aca="false">IF($G183="","",$G183*Settings!$B$11)</f>
        <v/>
      </c>
      <c r="K183" s="34" t="str">
        <f aca="false">IF($G183="","",$G183*Settings!$B$12)</f>
        <v/>
      </c>
      <c r="L183" s="34" t="str">
        <f aca="false">IF($G183="","",SUM($H183:$K183))</f>
        <v/>
      </c>
      <c r="M183" s="31" t="str">
        <f aca="false">IF($G183="","",IF(ROUND($L183,2)=ROUND($G183,2),"OK","MISMATCH"))</f>
        <v/>
      </c>
      <c r="N183" s="28"/>
      <c r="O183" s="27"/>
      <c r="P183" s="36" t="str">
        <f aca="false">IF($D183="","",EDATE($D183,12))</f>
        <v/>
      </c>
      <c r="Q183" s="32"/>
    </row>
    <row r="184" customFormat="false" ht="15.75" hidden="false" customHeight="true" outlineLevel="0" collapsed="false">
      <c r="A184" s="27"/>
      <c r="B184" s="27"/>
      <c r="C184" s="33" t="str">
        <f aca="false">IFERROR(INDEX(Customers!$C$4:$C$1003,MATCH($B184,Customers!$A$4:$A$1003,0)),"")</f>
        <v/>
      </c>
      <c r="D184" s="29"/>
      <c r="E184" s="31" t="str">
        <f aca="false">IFERROR(INDEX(Customers!$F$4:$F$1003,MATCH($B184,Customers!$A$4:$A$1003,0)),"")</f>
        <v/>
      </c>
      <c r="F184" s="28"/>
      <c r="G184" s="34" t="str">
        <f aca="false">IFERROR(INDEX(Customers!$L$4:$L$1003,MATCH($B184,Customers!$A$4:$A$1003,0)),"")</f>
        <v/>
      </c>
      <c r="H184" s="34" t="str">
        <f aca="false">IF($G184="","",$G184*Settings!$B$9)</f>
        <v/>
      </c>
      <c r="I184" s="34" t="str">
        <f aca="false">IF($G184="","",$G184*Settings!$B$10)</f>
        <v/>
      </c>
      <c r="J184" s="34" t="str">
        <f aca="false">IF($G184="","",$G184*Settings!$B$11)</f>
        <v/>
      </c>
      <c r="K184" s="34" t="str">
        <f aca="false">IF($G184="","",$G184*Settings!$B$12)</f>
        <v/>
      </c>
      <c r="L184" s="34" t="str">
        <f aca="false">IF($G184="","",SUM($H184:$K184))</f>
        <v/>
      </c>
      <c r="M184" s="31" t="str">
        <f aca="false">IF($G184="","",IF(ROUND($L184,2)=ROUND($G184,2),"OK","MISMATCH"))</f>
        <v/>
      </c>
      <c r="N184" s="28"/>
      <c r="O184" s="27"/>
      <c r="P184" s="36" t="str">
        <f aca="false">IF($D184="","",EDATE($D184,12))</f>
        <v/>
      </c>
      <c r="Q184" s="32"/>
    </row>
    <row r="185" customFormat="false" ht="15.75" hidden="false" customHeight="true" outlineLevel="0" collapsed="false">
      <c r="A185" s="27"/>
      <c r="B185" s="27"/>
      <c r="C185" s="33" t="str">
        <f aca="false">IFERROR(INDEX(Customers!$C$4:$C$1003,MATCH($B185,Customers!$A$4:$A$1003,0)),"")</f>
        <v/>
      </c>
      <c r="D185" s="29"/>
      <c r="E185" s="31" t="str">
        <f aca="false">IFERROR(INDEX(Customers!$F$4:$F$1003,MATCH($B185,Customers!$A$4:$A$1003,0)),"")</f>
        <v/>
      </c>
      <c r="F185" s="28"/>
      <c r="G185" s="34" t="str">
        <f aca="false">IFERROR(INDEX(Customers!$L$4:$L$1003,MATCH($B185,Customers!$A$4:$A$1003,0)),"")</f>
        <v/>
      </c>
      <c r="H185" s="34" t="str">
        <f aca="false">IF($G185="","",$G185*Settings!$B$9)</f>
        <v/>
      </c>
      <c r="I185" s="34" t="str">
        <f aca="false">IF($G185="","",$G185*Settings!$B$10)</f>
        <v/>
      </c>
      <c r="J185" s="34" t="str">
        <f aca="false">IF($G185="","",$G185*Settings!$B$11)</f>
        <v/>
      </c>
      <c r="K185" s="34" t="str">
        <f aca="false">IF($G185="","",$G185*Settings!$B$12)</f>
        <v/>
      </c>
      <c r="L185" s="34" t="str">
        <f aca="false">IF($G185="","",SUM($H185:$K185))</f>
        <v/>
      </c>
      <c r="M185" s="31" t="str">
        <f aca="false">IF($G185="","",IF(ROUND($L185,2)=ROUND($G185,2),"OK","MISMATCH"))</f>
        <v/>
      </c>
      <c r="N185" s="28"/>
      <c r="O185" s="27"/>
      <c r="P185" s="36" t="str">
        <f aca="false">IF($D185="","",EDATE($D185,12))</f>
        <v/>
      </c>
      <c r="Q185" s="32"/>
    </row>
    <row r="186" customFormat="false" ht="15.75" hidden="false" customHeight="true" outlineLevel="0" collapsed="false">
      <c r="A186" s="27"/>
      <c r="B186" s="27"/>
      <c r="C186" s="33" t="str">
        <f aca="false">IFERROR(INDEX(Customers!$C$4:$C$1003,MATCH($B186,Customers!$A$4:$A$1003,0)),"")</f>
        <v/>
      </c>
      <c r="D186" s="29"/>
      <c r="E186" s="31" t="str">
        <f aca="false">IFERROR(INDEX(Customers!$F$4:$F$1003,MATCH($B186,Customers!$A$4:$A$1003,0)),"")</f>
        <v/>
      </c>
      <c r="F186" s="28"/>
      <c r="G186" s="34" t="str">
        <f aca="false">IFERROR(INDEX(Customers!$L$4:$L$1003,MATCH($B186,Customers!$A$4:$A$1003,0)),"")</f>
        <v/>
      </c>
      <c r="H186" s="34" t="str">
        <f aca="false">IF($G186="","",$G186*Settings!$B$9)</f>
        <v/>
      </c>
      <c r="I186" s="34" t="str">
        <f aca="false">IF($G186="","",$G186*Settings!$B$10)</f>
        <v/>
      </c>
      <c r="J186" s="34" t="str">
        <f aca="false">IF($G186="","",$G186*Settings!$B$11)</f>
        <v/>
      </c>
      <c r="K186" s="34" t="str">
        <f aca="false">IF($G186="","",$G186*Settings!$B$12)</f>
        <v/>
      </c>
      <c r="L186" s="34" t="str">
        <f aca="false">IF($G186="","",SUM($H186:$K186))</f>
        <v/>
      </c>
      <c r="M186" s="31" t="str">
        <f aca="false">IF($G186="","",IF(ROUND($L186,2)=ROUND($G186,2),"OK","MISMATCH"))</f>
        <v/>
      </c>
      <c r="N186" s="28"/>
      <c r="O186" s="27"/>
      <c r="P186" s="36" t="str">
        <f aca="false">IF($D186="","",EDATE($D186,12))</f>
        <v/>
      </c>
      <c r="Q186" s="32"/>
    </row>
    <row r="187" customFormat="false" ht="15.75" hidden="false" customHeight="true" outlineLevel="0" collapsed="false">
      <c r="A187" s="27"/>
      <c r="B187" s="27"/>
      <c r="C187" s="33" t="str">
        <f aca="false">IFERROR(INDEX(Customers!$C$4:$C$1003,MATCH($B187,Customers!$A$4:$A$1003,0)),"")</f>
        <v/>
      </c>
      <c r="D187" s="29"/>
      <c r="E187" s="31" t="str">
        <f aca="false">IFERROR(INDEX(Customers!$F$4:$F$1003,MATCH($B187,Customers!$A$4:$A$1003,0)),"")</f>
        <v/>
      </c>
      <c r="F187" s="28"/>
      <c r="G187" s="34" t="str">
        <f aca="false">IFERROR(INDEX(Customers!$L$4:$L$1003,MATCH($B187,Customers!$A$4:$A$1003,0)),"")</f>
        <v/>
      </c>
      <c r="H187" s="34" t="str">
        <f aca="false">IF($G187="","",$G187*Settings!$B$9)</f>
        <v/>
      </c>
      <c r="I187" s="34" t="str">
        <f aca="false">IF($G187="","",$G187*Settings!$B$10)</f>
        <v/>
      </c>
      <c r="J187" s="34" t="str">
        <f aca="false">IF($G187="","",$G187*Settings!$B$11)</f>
        <v/>
      </c>
      <c r="K187" s="34" t="str">
        <f aca="false">IF($G187="","",$G187*Settings!$B$12)</f>
        <v/>
      </c>
      <c r="L187" s="34" t="str">
        <f aca="false">IF($G187="","",SUM($H187:$K187))</f>
        <v/>
      </c>
      <c r="M187" s="31" t="str">
        <f aca="false">IF($G187="","",IF(ROUND($L187,2)=ROUND($G187,2),"OK","MISMATCH"))</f>
        <v/>
      </c>
      <c r="N187" s="28"/>
      <c r="O187" s="27"/>
      <c r="P187" s="36" t="str">
        <f aca="false">IF($D187="","",EDATE($D187,12))</f>
        <v/>
      </c>
      <c r="Q187" s="32"/>
    </row>
    <row r="188" customFormat="false" ht="15.75" hidden="false" customHeight="true" outlineLevel="0" collapsed="false">
      <c r="A188" s="27"/>
      <c r="B188" s="27"/>
      <c r="C188" s="33" t="str">
        <f aca="false">IFERROR(INDEX(Customers!$C$4:$C$1003,MATCH($B188,Customers!$A$4:$A$1003,0)),"")</f>
        <v/>
      </c>
      <c r="D188" s="29"/>
      <c r="E188" s="31" t="str">
        <f aca="false">IFERROR(INDEX(Customers!$F$4:$F$1003,MATCH($B188,Customers!$A$4:$A$1003,0)),"")</f>
        <v/>
      </c>
      <c r="F188" s="28"/>
      <c r="G188" s="34" t="str">
        <f aca="false">IFERROR(INDEX(Customers!$L$4:$L$1003,MATCH($B188,Customers!$A$4:$A$1003,0)),"")</f>
        <v/>
      </c>
      <c r="H188" s="34" t="str">
        <f aca="false">IF($G188="","",$G188*Settings!$B$9)</f>
        <v/>
      </c>
      <c r="I188" s="34" t="str">
        <f aca="false">IF($G188="","",$G188*Settings!$B$10)</f>
        <v/>
      </c>
      <c r="J188" s="34" t="str">
        <f aca="false">IF($G188="","",$G188*Settings!$B$11)</f>
        <v/>
      </c>
      <c r="K188" s="34" t="str">
        <f aca="false">IF($G188="","",$G188*Settings!$B$12)</f>
        <v/>
      </c>
      <c r="L188" s="34" t="str">
        <f aca="false">IF($G188="","",SUM($H188:$K188))</f>
        <v/>
      </c>
      <c r="M188" s="31" t="str">
        <f aca="false">IF($G188="","",IF(ROUND($L188,2)=ROUND($G188,2),"OK","MISMATCH"))</f>
        <v/>
      </c>
      <c r="N188" s="28"/>
      <c r="O188" s="27"/>
      <c r="P188" s="36" t="str">
        <f aca="false">IF($D188="","",EDATE($D188,12))</f>
        <v/>
      </c>
      <c r="Q188" s="32"/>
    </row>
    <row r="189" customFormat="false" ht="15.75" hidden="false" customHeight="true" outlineLevel="0" collapsed="false">
      <c r="A189" s="27"/>
      <c r="B189" s="27"/>
      <c r="C189" s="33" t="str">
        <f aca="false">IFERROR(INDEX(Customers!$C$4:$C$1003,MATCH($B189,Customers!$A$4:$A$1003,0)),"")</f>
        <v/>
      </c>
      <c r="D189" s="29"/>
      <c r="E189" s="31" t="str">
        <f aca="false">IFERROR(INDEX(Customers!$F$4:$F$1003,MATCH($B189,Customers!$A$4:$A$1003,0)),"")</f>
        <v/>
      </c>
      <c r="F189" s="28"/>
      <c r="G189" s="34" t="str">
        <f aca="false">IFERROR(INDEX(Customers!$L$4:$L$1003,MATCH($B189,Customers!$A$4:$A$1003,0)),"")</f>
        <v/>
      </c>
      <c r="H189" s="34" t="str">
        <f aca="false">IF($G189="","",$G189*Settings!$B$9)</f>
        <v/>
      </c>
      <c r="I189" s="34" t="str">
        <f aca="false">IF($G189="","",$G189*Settings!$B$10)</f>
        <v/>
      </c>
      <c r="J189" s="34" t="str">
        <f aca="false">IF($G189="","",$G189*Settings!$B$11)</f>
        <v/>
      </c>
      <c r="K189" s="34" t="str">
        <f aca="false">IF($G189="","",$G189*Settings!$B$12)</f>
        <v/>
      </c>
      <c r="L189" s="34" t="str">
        <f aca="false">IF($G189="","",SUM($H189:$K189))</f>
        <v/>
      </c>
      <c r="M189" s="31" t="str">
        <f aca="false">IF($G189="","",IF(ROUND($L189,2)=ROUND($G189,2),"OK","MISMATCH"))</f>
        <v/>
      </c>
      <c r="N189" s="28"/>
      <c r="O189" s="27"/>
      <c r="P189" s="36" t="str">
        <f aca="false">IF($D189="","",EDATE($D189,12))</f>
        <v/>
      </c>
      <c r="Q189" s="32"/>
    </row>
    <row r="190" customFormat="false" ht="15.75" hidden="false" customHeight="true" outlineLevel="0" collapsed="false">
      <c r="A190" s="27"/>
      <c r="B190" s="27"/>
      <c r="C190" s="33" t="str">
        <f aca="false">IFERROR(INDEX(Customers!$C$4:$C$1003,MATCH($B190,Customers!$A$4:$A$1003,0)),"")</f>
        <v/>
      </c>
      <c r="D190" s="29"/>
      <c r="E190" s="31" t="str">
        <f aca="false">IFERROR(INDEX(Customers!$F$4:$F$1003,MATCH($B190,Customers!$A$4:$A$1003,0)),"")</f>
        <v/>
      </c>
      <c r="F190" s="28"/>
      <c r="G190" s="34" t="str">
        <f aca="false">IFERROR(INDEX(Customers!$L$4:$L$1003,MATCH($B190,Customers!$A$4:$A$1003,0)),"")</f>
        <v/>
      </c>
      <c r="H190" s="34" t="str">
        <f aca="false">IF($G190="","",$G190*Settings!$B$9)</f>
        <v/>
      </c>
      <c r="I190" s="34" t="str">
        <f aca="false">IF($G190="","",$G190*Settings!$B$10)</f>
        <v/>
      </c>
      <c r="J190" s="34" t="str">
        <f aca="false">IF($G190="","",$G190*Settings!$B$11)</f>
        <v/>
      </c>
      <c r="K190" s="34" t="str">
        <f aca="false">IF($G190="","",$G190*Settings!$B$12)</f>
        <v/>
      </c>
      <c r="L190" s="34" t="str">
        <f aca="false">IF($G190="","",SUM($H190:$K190))</f>
        <v/>
      </c>
      <c r="M190" s="31" t="str">
        <f aca="false">IF($G190="","",IF(ROUND($L190,2)=ROUND($G190,2),"OK","MISMATCH"))</f>
        <v/>
      </c>
      <c r="N190" s="28"/>
      <c r="O190" s="27"/>
      <c r="P190" s="36" t="str">
        <f aca="false">IF($D190="","",EDATE($D190,12))</f>
        <v/>
      </c>
      <c r="Q190" s="32"/>
    </row>
    <row r="191" customFormat="false" ht="15.75" hidden="false" customHeight="true" outlineLevel="0" collapsed="false">
      <c r="A191" s="27"/>
      <c r="B191" s="27"/>
      <c r="C191" s="33" t="str">
        <f aca="false">IFERROR(INDEX(Customers!$C$4:$C$1003,MATCH($B191,Customers!$A$4:$A$1003,0)),"")</f>
        <v/>
      </c>
      <c r="D191" s="29"/>
      <c r="E191" s="31" t="str">
        <f aca="false">IFERROR(INDEX(Customers!$F$4:$F$1003,MATCH($B191,Customers!$A$4:$A$1003,0)),"")</f>
        <v/>
      </c>
      <c r="F191" s="28"/>
      <c r="G191" s="34" t="str">
        <f aca="false">IFERROR(INDEX(Customers!$L$4:$L$1003,MATCH($B191,Customers!$A$4:$A$1003,0)),"")</f>
        <v/>
      </c>
      <c r="H191" s="34" t="str">
        <f aca="false">IF($G191="","",$G191*Settings!$B$9)</f>
        <v/>
      </c>
      <c r="I191" s="34" t="str">
        <f aca="false">IF($G191="","",$G191*Settings!$B$10)</f>
        <v/>
      </c>
      <c r="J191" s="34" t="str">
        <f aca="false">IF($G191="","",$G191*Settings!$B$11)</f>
        <v/>
      </c>
      <c r="K191" s="34" t="str">
        <f aca="false">IF($G191="","",$G191*Settings!$B$12)</f>
        <v/>
      </c>
      <c r="L191" s="34" t="str">
        <f aca="false">IF($G191="","",SUM($H191:$K191))</f>
        <v/>
      </c>
      <c r="M191" s="31" t="str">
        <f aca="false">IF($G191="","",IF(ROUND($L191,2)=ROUND($G191,2),"OK","MISMATCH"))</f>
        <v/>
      </c>
      <c r="N191" s="28"/>
      <c r="O191" s="27"/>
      <c r="P191" s="36" t="str">
        <f aca="false">IF($D191="","",EDATE($D191,12))</f>
        <v/>
      </c>
      <c r="Q191" s="32"/>
    </row>
    <row r="192" customFormat="false" ht="15.75" hidden="false" customHeight="true" outlineLevel="0" collapsed="false">
      <c r="A192" s="27"/>
      <c r="B192" s="27"/>
      <c r="C192" s="33" t="str">
        <f aca="false">IFERROR(INDEX(Customers!$C$4:$C$1003,MATCH($B192,Customers!$A$4:$A$1003,0)),"")</f>
        <v/>
      </c>
      <c r="D192" s="29"/>
      <c r="E192" s="31" t="str">
        <f aca="false">IFERROR(INDEX(Customers!$F$4:$F$1003,MATCH($B192,Customers!$A$4:$A$1003,0)),"")</f>
        <v/>
      </c>
      <c r="F192" s="28"/>
      <c r="G192" s="34" t="str">
        <f aca="false">IFERROR(INDEX(Customers!$L$4:$L$1003,MATCH($B192,Customers!$A$4:$A$1003,0)),"")</f>
        <v/>
      </c>
      <c r="H192" s="34" t="str">
        <f aca="false">IF($G192="","",$G192*Settings!$B$9)</f>
        <v/>
      </c>
      <c r="I192" s="34" t="str">
        <f aca="false">IF($G192="","",$G192*Settings!$B$10)</f>
        <v/>
      </c>
      <c r="J192" s="34" t="str">
        <f aca="false">IF($G192="","",$G192*Settings!$B$11)</f>
        <v/>
      </c>
      <c r="K192" s="34" t="str">
        <f aca="false">IF($G192="","",$G192*Settings!$B$12)</f>
        <v/>
      </c>
      <c r="L192" s="34" t="str">
        <f aca="false">IF($G192="","",SUM($H192:$K192))</f>
        <v/>
      </c>
      <c r="M192" s="31" t="str">
        <f aca="false">IF($G192="","",IF(ROUND($L192,2)=ROUND($G192,2),"OK","MISMATCH"))</f>
        <v/>
      </c>
      <c r="N192" s="28"/>
      <c r="O192" s="27"/>
      <c r="P192" s="36" t="str">
        <f aca="false">IF($D192="","",EDATE($D192,12))</f>
        <v/>
      </c>
      <c r="Q192" s="32"/>
    </row>
    <row r="193" customFormat="false" ht="15.75" hidden="false" customHeight="true" outlineLevel="0" collapsed="false">
      <c r="A193" s="27"/>
      <c r="B193" s="27"/>
      <c r="C193" s="33" t="str">
        <f aca="false">IFERROR(INDEX(Customers!$C$4:$C$1003,MATCH($B193,Customers!$A$4:$A$1003,0)),"")</f>
        <v/>
      </c>
      <c r="D193" s="29"/>
      <c r="E193" s="31" t="str">
        <f aca="false">IFERROR(INDEX(Customers!$F$4:$F$1003,MATCH($B193,Customers!$A$4:$A$1003,0)),"")</f>
        <v/>
      </c>
      <c r="F193" s="28"/>
      <c r="G193" s="34" t="str">
        <f aca="false">IFERROR(INDEX(Customers!$L$4:$L$1003,MATCH($B193,Customers!$A$4:$A$1003,0)),"")</f>
        <v/>
      </c>
      <c r="H193" s="34" t="str">
        <f aca="false">IF($G193="","",$G193*Settings!$B$9)</f>
        <v/>
      </c>
      <c r="I193" s="34" t="str">
        <f aca="false">IF($G193="","",$G193*Settings!$B$10)</f>
        <v/>
      </c>
      <c r="J193" s="34" t="str">
        <f aca="false">IF($G193="","",$G193*Settings!$B$11)</f>
        <v/>
      </c>
      <c r="K193" s="34" t="str">
        <f aca="false">IF($G193="","",$G193*Settings!$B$12)</f>
        <v/>
      </c>
      <c r="L193" s="34" t="str">
        <f aca="false">IF($G193="","",SUM($H193:$K193))</f>
        <v/>
      </c>
      <c r="M193" s="31" t="str">
        <f aca="false">IF($G193="","",IF(ROUND($L193,2)=ROUND($G193,2),"OK","MISMATCH"))</f>
        <v/>
      </c>
      <c r="N193" s="28"/>
      <c r="O193" s="27"/>
      <c r="P193" s="36" t="str">
        <f aca="false">IF($D193="","",EDATE($D193,12))</f>
        <v/>
      </c>
      <c r="Q193" s="32"/>
    </row>
    <row r="194" customFormat="false" ht="15.75" hidden="false" customHeight="true" outlineLevel="0" collapsed="false">
      <c r="A194" s="27"/>
      <c r="B194" s="27"/>
      <c r="C194" s="33" t="str">
        <f aca="false">IFERROR(INDEX(Customers!$C$4:$C$1003,MATCH($B194,Customers!$A$4:$A$1003,0)),"")</f>
        <v/>
      </c>
      <c r="D194" s="29"/>
      <c r="E194" s="31" t="str">
        <f aca="false">IFERROR(INDEX(Customers!$F$4:$F$1003,MATCH($B194,Customers!$A$4:$A$1003,0)),"")</f>
        <v/>
      </c>
      <c r="F194" s="28"/>
      <c r="G194" s="34" t="str">
        <f aca="false">IFERROR(INDEX(Customers!$L$4:$L$1003,MATCH($B194,Customers!$A$4:$A$1003,0)),"")</f>
        <v/>
      </c>
      <c r="H194" s="34" t="str">
        <f aca="false">IF($G194="","",$G194*Settings!$B$9)</f>
        <v/>
      </c>
      <c r="I194" s="34" t="str">
        <f aca="false">IF($G194="","",$G194*Settings!$B$10)</f>
        <v/>
      </c>
      <c r="J194" s="34" t="str">
        <f aca="false">IF($G194="","",$G194*Settings!$B$11)</f>
        <v/>
      </c>
      <c r="K194" s="34" t="str">
        <f aca="false">IF($G194="","",$G194*Settings!$B$12)</f>
        <v/>
      </c>
      <c r="L194" s="34" t="str">
        <f aca="false">IF($G194="","",SUM($H194:$K194))</f>
        <v/>
      </c>
      <c r="M194" s="31" t="str">
        <f aca="false">IF($G194="","",IF(ROUND($L194,2)=ROUND($G194,2),"OK","MISMATCH"))</f>
        <v/>
      </c>
      <c r="N194" s="28"/>
      <c r="O194" s="27"/>
      <c r="P194" s="36" t="str">
        <f aca="false">IF($D194="","",EDATE($D194,12))</f>
        <v/>
      </c>
      <c r="Q194" s="32"/>
    </row>
    <row r="195" customFormat="false" ht="15.75" hidden="false" customHeight="true" outlineLevel="0" collapsed="false">
      <c r="A195" s="27"/>
      <c r="B195" s="27"/>
      <c r="C195" s="33" t="str">
        <f aca="false">IFERROR(INDEX(Customers!$C$4:$C$1003,MATCH($B195,Customers!$A$4:$A$1003,0)),"")</f>
        <v/>
      </c>
      <c r="D195" s="29"/>
      <c r="E195" s="31" t="str">
        <f aca="false">IFERROR(INDEX(Customers!$F$4:$F$1003,MATCH($B195,Customers!$A$4:$A$1003,0)),"")</f>
        <v/>
      </c>
      <c r="F195" s="28"/>
      <c r="G195" s="34" t="str">
        <f aca="false">IFERROR(INDEX(Customers!$L$4:$L$1003,MATCH($B195,Customers!$A$4:$A$1003,0)),"")</f>
        <v/>
      </c>
      <c r="H195" s="34" t="str">
        <f aca="false">IF($G195="","",$G195*Settings!$B$9)</f>
        <v/>
      </c>
      <c r="I195" s="34" t="str">
        <f aca="false">IF($G195="","",$G195*Settings!$B$10)</f>
        <v/>
      </c>
      <c r="J195" s="34" t="str">
        <f aca="false">IF($G195="","",$G195*Settings!$B$11)</f>
        <v/>
      </c>
      <c r="K195" s="34" t="str">
        <f aca="false">IF($G195="","",$G195*Settings!$B$12)</f>
        <v/>
      </c>
      <c r="L195" s="34" t="str">
        <f aca="false">IF($G195="","",SUM($H195:$K195))</f>
        <v/>
      </c>
      <c r="M195" s="31" t="str">
        <f aca="false">IF($G195="","",IF(ROUND($L195,2)=ROUND($G195,2),"OK","MISMATCH"))</f>
        <v/>
      </c>
      <c r="N195" s="28"/>
      <c r="O195" s="27"/>
      <c r="P195" s="36" t="str">
        <f aca="false">IF($D195="","",EDATE($D195,12))</f>
        <v/>
      </c>
      <c r="Q195" s="32"/>
    </row>
    <row r="196" customFormat="false" ht="15.75" hidden="false" customHeight="true" outlineLevel="0" collapsed="false">
      <c r="A196" s="27"/>
      <c r="B196" s="27"/>
      <c r="C196" s="33" t="str">
        <f aca="false">IFERROR(INDEX(Customers!$C$4:$C$1003,MATCH($B196,Customers!$A$4:$A$1003,0)),"")</f>
        <v/>
      </c>
      <c r="D196" s="29"/>
      <c r="E196" s="31" t="str">
        <f aca="false">IFERROR(INDEX(Customers!$F$4:$F$1003,MATCH($B196,Customers!$A$4:$A$1003,0)),"")</f>
        <v/>
      </c>
      <c r="F196" s="28"/>
      <c r="G196" s="34" t="str">
        <f aca="false">IFERROR(INDEX(Customers!$L$4:$L$1003,MATCH($B196,Customers!$A$4:$A$1003,0)),"")</f>
        <v/>
      </c>
      <c r="H196" s="34" t="str">
        <f aca="false">IF($G196="","",$G196*Settings!$B$9)</f>
        <v/>
      </c>
      <c r="I196" s="34" t="str">
        <f aca="false">IF($G196="","",$G196*Settings!$B$10)</f>
        <v/>
      </c>
      <c r="J196" s="34" t="str">
        <f aca="false">IF($G196="","",$G196*Settings!$B$11)</f>
        <v/>
      </c>
      <c r="K196" s="34" t="str">
        <f aca="false">IF($G196="","",$G196*Settings!$B$12)</f>
        <v/>
      </c>
      <c r="L196" s="34" t="str">
        <f aca="false">IF($G196="","",SUM($H196:$K196))</f>
        <v/>
      </c>
      <c r="M196" s="31" t="str">
        <f aca="false">IF($G196="","",IF(ROUND($L196,2)=ROUND($G196,2),"OK","MISMATCH"))</f>
        <v/>
      </c>
      <c r="N196" s="28"/>
      <c r="O196" s="27"/>
      <c r="P196" s="36" t="str">
        <f aca="false">IF($D196="","",EDATE($D196,12))</f>
        <v/>
      </c>
      <c r="Q196" s="32"/>
    </row>
    <row r="197" customFormat="false" ht="15.75" hidden="false" customHeight="true" outlineLevel="0" collapsed="false">
      <c r="A197" s="27"/>
      <c r="B197" s="27"/>
      <c r="C197" s="33" t="str">
        <f aca="false">IFERROR(INDEX(Customers!$C$4:$C$1003,MATCH($B197,Customers!$A$4:$A$1003,0)),"")</f>
        <v/>
      </c>
      <c r="D197" s="29"/>
      <c r="E197" s="31" t="str">
        <f aca="false">IFERROR(INDEX(Customers!$F$4:$F$1003,MATCH($B197,Customers!$A$4:$A$1003,0)),"")</f>
        <v/>
      </c>
      <c r="F197" s="28"/>
      <c r="G197" s="34" t="str">
        <f aca="false">IFERROR(INDEX(Customers!$L$4:$L$1003,MATCH($B197,Customers!$A$4:$A$1003,0)),"")</f>
        <v/>
      </c>
      <c r="H197" s="34" t="str">
        <f aca="false">IF($G197="","",$G197*Settings!$B$9)</f>
        <v/>
      </c>
      <c r="I197" s="34" t="str">
        <f aca="false">IF($G197="","",$G197*Settings!$B$10)</f>
        <v/>
      </c>
      <c r="J197" s="34" t="str">
        <f aca="false">IF($G197="","",$G197*Settings!$B$11)</f>
        <v/>
      </c>
      <c r="K197" s="34" t="str">
        <f aca="false">IF($G197="","",$G197*Settings!$B$12)</f>
        <v/>
      </c>
      <c r="L197" s="34" t="str">
        <f aca="false">IF($G197="","",SUM($H197:$K197))</f>
        <v/>
      </c>
      <c r="M197" s="31" t="str">
        <f aca="false">IF($G197="","",IF(ROUND($L197,2)=ROUND($G197,2),"OK","MISMATCH"))</f>
        <v/>
      </c>
      <c r="N197" s="28"/>
      <c r="O197" s="27"/>
      <c r="P197" s="36" t="str">
        <f aca="false">IF($D197="","",EDATE($D197,12))</f>
        <v/>
      </c>
      <c r="Q197" s="32"/>
    </row>
    <row r="198" customFormat="false" ht="15.75" hidden="false" customHeight="true" outlineLevel="0" collapsed="false">
      <c r="A198" s="27"/>
      <c r="B198" s="27"/>
      <c r="C198" s="33" t="str">
        <f aca="false">IFERROR(INDEX(Customers!$C$4:$C$1003,MATCH($B198,Customers!$A$4:$A$1003,0)),"")</f>
        <v/>
      </c>
      <c r="D198" s="29"/>
      <c r="E198" s="31" t="str">
        <f aca="false">IFERROR(INDEX(Customers!$F$4:$F$1003,MATCH($B198,Customers!$A$4:$A$1003,0)),"")</f>
        <v/>
      </c>
      <c r="F198" s="28"/>
      <c r="G198" s="34" t="str">
        <f aca="false">IFERROR(INDEX(Customers!$L$4:$L$1003,MATCH($B198,Customers!$A$4:$A$1003,0)),"")</f>
        <v/>
      </c>
      <c r="H198" s="34" t="str">
        <f aca="false">IF($G198="","",$G198*Settings!$B$9)</f>
        <v/>
      </c>
      <c r="I198" s="34" t="str">
        <f aca="false">IF($G198="","",$G198*Settings!$B$10)</f>
        <v/>
      </c>
      <c r="J198" s="34" t="str">
        <f aca="false">IF($G198="","",$G198*Settings!$B$11)</f>
        <v/>
      </c>
      <c r="K198" s="34" t="str">
        <f aca="false">IF($G198="","",$G198*Settings!$B$12)</f>
        <v/>
      </c>
      <c r="L198" s="34" t="str">
        <f aca="false">IF($G198="","",SUM($H198:$K198))</f>
        <v/>
      </c>
      <c r="M198" s="31" t="str">
        <f aca="false">IF($G198="","",IF(ROUND($L198,2)=ROUND($G198,2),"OK","MISMATCH"))</f>
        <v/>
      </c>
      <c r="N198" s="28"/>
      <c r="O198" s="27"/>
      <c r="P198" s="36" t="str">
        <f aca="false">IF($D198="","",EDATE($D198,12))</f>
        <v/>
      </c>
      <c r="Q198" s="32"/>
    </row>
    <row r="199" customFormat="false" ht="15.75" hidden="false" customHeight="true" outlineLevel="0" collapsed="false">
      <c r="A199" s="27"/>
      <c r="B199" s="27"/>
      <c r="C199" s="33" t="str">
        <f aca="false">IFERROR(INDEX(Customers!$C$4:$C$1003,MATCH($B199,Customers!$A$4:$A$1003,0)),"")</f>
        <v/>
      </c>
      <c r="D199" s="29"/>
      <c r="E199" s="31" t="str">
        <f aca="false">IFERROR(INDEX(Customers!$F$4:$F$1003,MATCH($B199,Customers!$A$4:$A$1003,0)),"")</f>
        <v/>
      </c>
      <c r="F199" s="28"/>
      <c r="G199" s="34" t="str">
        <f aca="false">IFERROR(INDEX(Customers!$L$4:$L$1003,MATCH($B199,Customers!$A$4:$A$1003,0)),"")</f>
        <v/>
      </c>
      <c r="H199" s="34" t="str">
        <f aca="false">IF($G199="","",$G199*Settings!$B$9)</f>
        <v/>
      </c>
      <c r="I199" s="34" t="str">
        <f aca="false">IF($G199="","",$G199*Settings!$B$10)</f>
        <v/>
      </c>
      <c r="J199" s="34" t="str">
        <f aca="false">IF($G199="","",$G199*Settings!$B$11)</f>
        <v/>
      </c>
      <c r="K199" s="34" t="str">
        <f aca="false">IF($G199="","",$G199*Settings!$B$12)</f>
        <v/>
      </c>
      <c r="L199" s="34" t="str">
        <f aca="false">IF($G199="","",SUM($H199:$K199))</f>
        <v/>
      </c>
      <c r="M199" s="31" t="str">
        <f aca="false">IF($G199="","",IF(ROUND($L199,2)=ROUND($G199,2),"OK","MISMATCH"))</f>
        <v/>
      </c>
      <c r="N199" s="28"/>
      <c r="O199" s="27"/>
      <c r="P199" s="36" t="str">
        <f aca="false">IF($D199="","",EDATE($D199,12))</f>
        <v/>
      </c>
      <c r="Q199" s="32"/>
    </row>
    <row r="200" customFormat="false" ht="15.75" hidden="false" customHeight="true" outlineLevel="0" collapsed="false">
      <c r="A200" s="27"/>
      <c r="B200" s="27"/>
      <c r="C200" s="33" t="str">
        <f aca="false">IFERROR(INDEX(Customers!$C$4:$C$1003,MATCH($B200,Customers!$A$4:$A$1003,0)),"")</f>
        <v/>
      </c>
      <c r="D200" s="29"/>
      <c r="E200" s="31" t="str">
        <f aca="false">IFERROR(INDEX(Customers!$F$4:$F$1003,MATCH($B200,Customers!$A$4:$A$1003,0)),"")</f>
        <v/>
      </c>
      <c r="F200" s="28"/>
      <c r="G200" s="34" t="str">
        <f aca="false">IFERROR(INDEX(Customers!$L$4:$L$1003,MATCH($B200,Customers!$A$4:$A$1003,0)),"")</f>
        <v/>
      </c>
      <c r="H200" s="34" t="str">
        <f aca="false">IF($G200="","",$G200*Settings!$B$9)</f>
        <v/>
      </c>
      <c r="I200" s="34" t="str">
        <f aca="false">IF($G200="","",$G200*Settings!$B$10)</f>
        <v/>
      </c>
      <c r="J200" s="34" t="str">
        <f aca="false">IF($G200="","",$G200*Settings!$B$11)</f>
        <v/>
      </c>
      <c r="K200" s="34" t="str">
        <f aca="false">IF($G200="","",$G200*Settings!$B$12)</f>
        <v/>
      </c>
      <c r="L200" s="34" t="str">
        <f aca="false">IF($G200="","",SUM($H200:$K200))</f>
        <v/>
      </c>
      <c r="M200" s="31" t="str">
        <f aca="false">IF($G200="","",IF(ROUND($L200,2)=ROUND($G200,2),"OK","MISMATCH"))</f>
        <v/>
      </c>
      <c r="N200" s="28"/>
      <c r="O200" s="27"/>
      <c r="P200" s="36" t="str">
        <f aca="false">IF($D200="","",EDATE($D200,12))</f>
        <v/>
      </c>
      <c r="Q200" s="32"/>
    </row>
    <row r="201" customFormat="false" ht="15.75" hidden="false" customHeight="true" outlineLevel="0" collapsed="false">
      <c r="A201" s="27"/>
      <c r="B201" s="27"/>
      <c r="C201" s="33" t="str">
        <f aca="false">IFERROR(INDEX(Customers!$C$4:$C$1003,MATCH($B201,Customers!$A$4:$A$1003,0)),"")</f>
        <v/>
      </c>
      <c r="D201" s="29"/>
      <c r="E201" s="31" t="str">
        <f aca="false">IFERROR(INDEX(Customers!$F$4:$F$1003,MATCH($B201,Customers!$A$4:$A$1003,0)),"")</f>
        <v/>
      </c>
      <c r="F201" s="28"/>
      <c r="G201" s="34" t="str">
        <f aca="false">IFERROR(INDEX(Customers!$L$4:$L$1003,MATCH($B201,Customers!$A$4:$A$1003,0)),"")</f>
        <v/>
      </c>
      <c r="H201" s="34" t="str">
        <f aca="false">IF($G201="","",$G201*Settings!$B$9)</f>
        <v/>
      </c>
      <c r="I201" s="34" t="str">
        <f aca="false">IF($G201="","",$G201*Settings!$B$10)</f>
        <v/>
      </c>
      <c r="J201" s="34" t="str">
        <f aca="false">IF($G201="","",$G201*Settings!$B$11)</f>
        <v/>
      </c>
      <c r="K201" s="34" t="str">
        <f aca="false">IF($G201="","",$G201*Settings!$B$12)</f>
        <v/>
      </c>
      <c r="L201" s="34" t="str">
        <f aca="false">IF($G201="","",SUM($H201:$K201))</f>
        <v/>
      </c>
      <c r="M201" s="31" t="str">
        <f aca="false">IF($G201="","",IF(ROUND($L201,2)=ROUND($G201,2),"OK","MISMATCH"))</f>
        <v/>
      </c>
      <c r="N201" s="28"/>
      <c r="O201" s="27"/>
      <c r="P201" s="36" t="str">
        <f aca="false">IF($D201="","",EDATE($D201,12))</f>
        <v/>
      </c>
      <c r="Q201" s="32"/>
    </row>
    <row r="202" customFormat="false" ht="15.75" hidden="false" customHeight="true" outlineLevel="0" collapsed="false">
      <c r="A202" s="27"/>
      <c r="B202" s="27"/>
      <c r="C202" s="33" t="str">
        <f aca="false">IFERROR(INDEX(Customers!$C$4:$C$1003,MATCH($B202,Customers!$A$4:$A$1003,0)),"")</f>
        <v/>
      </c>
      <c r="D202" s="29"/>
      <c r="E202" s="31" t="str">
        <f aca="false">IFERROR(INDEX(Customers!$F$4:$F$1003,MATCH($B202,Customers!$A$4:$A$1003,0)),"")</f>
        <v/>
      </c>
      <c r="F202" s="28"/>
      <c r="G202" s="34" t="str">
        <f aca="false">IFERROR(INDEX(Customers!$L$4:$L$1003,MATCH($B202,Customers!$A$4:$A$1003,0)),"")</f>
        <v/>
      </c>
      <c r="H202" s="34" t="str">
        <f aca="false">IF($G202="","",$G202*Settings!$B$9)</f>
        <v/>
      </c>
      <c r="I202" s="34" t="str">
        <f aca="false">IF($G202="","",$G202*Settings!$B$10)</f>
        <v/>
      </c>
      <c r="J202" s="34" t="str">
        <f aca="false">IF($G202="","",$G202*Settings!$B$11)</f>
        <v/>
      </c>
      <c r="K202" s="34" t="str">
        <f aca="false">IF($G202="","",$G202*Settings!$B$12)</f>
        <v/>
      </c>
      <c r="L202" s="34" t="str">
        <f aca="false">IF($G202="","",SUM($H202:$K202))</f>
        <v/>
      </c>
      <c r="M202" s="31" t="str">
        <f aca="false">IF($G202="","",IF(ROUND($L202,2)=ROUND($G202,2),"OK","MISMATCH"))</f>
        <v/>
      </c>
      <c r="N202" s="28"/>
      <c r="O202" s="27"/>
      <c r="P202" s="36" t="str">
        <f aca="false">IF($D202="","",EDATE($D202,12))</f>
        <v/>
      </c>
      <c r="Q202" s="32"/>
    </row>
    <row r="203" customFormat="false" ht="15.75" hidden="false" customHeight="true" outlineLevel="0" collapsed="false">
      <c r="A203" s="27"/>
      <c r="B203" s="27"/>
      <c r="C203" s="33" t="str">
        <f aca="false">IFERROR(INDEX(Customers!$C$4:$C$1003,MATCH($B203,Customers!$A$4:$A$1003,0)),"")</f>
        <v/>
      </c>
      <c r="D203" s="29"/>
      <c r="E203" s="31" t="str">
        <f aca="false">IFERROR(INDEX(Customers!$F$4:$F$1003,MATCH($B203,Customers!$A$4:$A$1003,0)),"")</f>
        <v/>
      </c>
      <c r="F203" s="28"/>
      <c r="G203" s="34" t="str">
        <f aca="false">IFERROR(INDEX(Customers!$L$4:$L$1003,MATCH($B203,Customers!$A$4:$A$1003,0)),"")</f>
        <v/>
      </c>
      <c r="H203" s="34" t="str">
        <f aca="false">IF($G203="","",$G203*Settings!$B$9)</f>
        <v/>
      </c>
      <c r="I203" s="34" t="str">
        <f aca="false">IF($G203="","",$G203*Settings!$B$10)</f>
        <v/>
      </c>
      <c r="J203" s="34" t="str">
        <f aca="false">IF($G203="","",$G203*Settings!$B$11)</f>
        <v/>
      </c>
      <c r="K203" s="34" t="str">
        <f aca="false">IF($G203="","",$G203*Settings!$B$12)</f>
        <v/>
      </c>
      <c r="L203" s="34" t="str">
        <f aca="false">IF($G203="","",SUM($H203:$K203))</f>
        <v/>
      </c>
      <c r="M203" s="31" t="str">
        <f aca="false">IF($G203="","",IF(ROUND($L203,2)=ROUND($G203,2),"OK","MISMATCH"))</f>
        <v/>
      </c>
      <c r="N203" s="28"/>
      <c r="O203" s="27"/>
      <c r="P203" s="36" t="str">
        <f aca="false">IF($D203="","",EDATE($D203,12))</f>
        <v/>
      </c>
      <c r="Q203" s="32"/>
    </row>
  </sheetData>
  <autoFilter ref="A3:Q203"/>
  <mergeCells count="2">
    <mergeCell ref="A1:Q1"/>
    <mergeCell ref="A2:Q2"/>
  </mergeCells>
  <conditionalFormatting sqref="A4:Q203">
    <cfRule type="expression" priority="2" aboveAverage="0" equalAverage="0" bottom="0" percent="0" rank="0" text="" dxfId="17">
      <formula>MOD(ROW(),2)=0</formula>
    </cfRule>
  </conditionalFormatting>
  <conditionalFormatting sqref="M4:M203">
    <cfRule type="cellIs" priority="3" operator="equal" aboveAverage="0" equalAverage="0" bottom="0" percent="0" rank="0" text="" dxfId="19">
      <formula>"OK"</formula>
    </cfRule>
    <cfRule type="cellIs" priority="4" operator="equal" aboveAverage="0" equalAverage="0" bottom="0" percent="0" rank="0" text="" dxfId="22">
      <formula>"MISMATCH"</formula>
    </cfRule>
  </conditionalFormatting>
  <conditionalFormatting sqref="O4:O203">
    <cfRule type="cellIs" priority="5" operator="equal" aboveAverage="0" equalAverage="0" bottom="0" percent="0" rank="0" text="" dxfId="19">
      <formula>"Active"</formula>
    </cfRule>
    <cfRule type="cellIs" priority="6" operator="equal" aboveAverage="0" equalAverage="0" bottom="0" percent="0" rank="0" text="" dxfId="18">
      <formula>"Signed"</formula>
    </cfRule>
    <cfRule type="cellIs" priority="7" operator="equal" aboveAverage="0" equalAverage="0" bottom="0" percent="0" rank="0" text="" dxfId="23">
      <formula>"Draft"</formula>
    </cfRule>
    <cfRule type="cellIs" priority="8" operator="equal" aboveAverage="0" equalAverage="0" bottom="0" percent="0" rank="0" text="" dxfId="18">
      <formula>"Completed"</formula>
    </cfRule>
    <cfRule type="cellIs" priority="9" operator="equal" aboveAverage="0" equalAverage="0" bottom="0" percent="0" rank="0" text="" dxfId="22">
      <formula>"Terminated"</formula>
    </cfRule>
  </conditionalFormatting>
  <dataValidations count="4">
    <dataValidation allowBlank="true" error="Please choose one of the values from the drop-down list." errorStyle="stop" errorTitle="Invalid entry" operator="between" showDropDown="false" showErrorMessage="false" showInputMessage="false" sqref="F4:F203" type="list">
      <formula1>"Standard Employment Package,Premium Employment Package,Seasonal Work Package"</formula1>
      <formula2>0</formula2>
    </dataValidation>
    <dataValidation allowBlank="true" error="Please choose one of the values from the drop-down list." errorStyle="stop" errorTitle="Invalid entry" operator="between" showDropDown="false" showErrorMessage="false" showInputMessage="false" sqref="N4:N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O4:O203" type="list">
      <formula1>Settings!$O$32:$O$36</formula1>
      <formula2>0</formula2>
    </dataValidation>
    <dataValidation allowBlank="true" error="Enter a valid date (dd/mm/yyyy)." errorStyle="stop" errorTitle="Invalid date" operator="between" showDropDown="false" showErrorMessage="false" showInputMessage="false" sqref="D4:D203"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BM203"/>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2734375" defaultRowHeight="15" customHeight="false"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8"/>
    <col collapsed="false" customWidth="true" hidden="false" outlineLevel="0" max="4" min="4" style="0" width="20"/>
    <col collapsed="false" customWidth="true" hidden="false" outlineLevel="0" max="5" min="5" style="0" width="26"/>
    <col collapsed="false" customWidth="true" hidden="false" outlineLevel="0" max="7" min="6" style="0" width="11"/>
    <col collapsed="false" customWidth="true" hidden="false" outlineLevel="0" max="8" min="8" style="0" width="22"/>
    <col collapsed="false" customWidth="true" hidden="false" outlineLevel="0" max="9" min="9" style="0" width="12"/>
    <col collapsed="false" customWidth="true" hidden="false" outlineLevel="0" max="10" min="10" style="0" width="14"/>
    <col collapsed="false" customWidth="true" hidden="false" outlineLevel="0" max="11" min="11" style="0" width="12"/>
    <col collapsed="false" customWidth="true" hidden="false" outlineLevel="0" max="12" min="12" style="0" width="20"/>
    <col collapsed="false" customWidth="true" hidden="false" outlineLevel="0" max="13" min="13" style="0" width="30"/>
    <col collapsed="false" customWidth="true" hidden="false" outlineLevel="0" max="14" min="14" style="0" width="14"/>
    <col collapsed="false" customWidth="true" hidden="false" outlineLevel="0" max="15" min="15" style="0" width="12"/>
    <col collapsed="false" customWidth="true" hidden="false" outlineLevel="0" max="16" min="16" style="0" width="20"/>
    <col collapsed="false" customWidth="true" hidden="false" outlineLevel="0" max="17" min="17" style="0" width="30"/>
    <col collapsed="false" customWidth="true" hidden="false" outlineLevel="0" max="18" min="18" style="0" width="14"/>
    <col collapsed="false" customWidth="true" hidden="false" outlineLevel="0" max="19" min="19" style="0" width="12"/>
    <col collapsed="false" customWidth="true" hidden="false" outlineLevel="0" max="20" min="20" style="0" width="20"/>
    <col collapsed="false" customWidth="true" hidden="false" outlineLevel="0" max="21" min="21" style="0" width="30"/>
    <col collapsed="false" customWidth="true" hidden="false" outlineLevel="0" max="22" min="22" style="0" width="14"/>
    <col collapsed="false" customWidth="true" hidden="false" outlineLevel="0" max="23" min="23" style="0" width="12"/>
    <col collapsed="false" customWidth="true" hidden="false" outlineLevel="0" max="24" min="24" style="0" width="20"/>
    <col collapsed="false" customWidth="true" hidden="false" outlineLevel="0" max="25" min="25" style="0" width="30"/>
    <col collapsed="false" customWidth="true" hidden="false" outlineLevel="0" max="26" min="26" style="0" width="14"/>
    <col collapsed="false" customWidth="true" hidden="false" outlineLevel="0" max="27" min="27" style="0" width="12"/>
    <col collapsed="false" customWidth="true" hidden="false" outlineLevel="0" max="28" min="28" style="0" width="20"/>
    <col collapsed="false" customWidth="true" hidden="false" outlineLevel="0" max="29" min="29" style="0" width="30"/>
    <col collapsed="false" customWidth="true" hidden="false" outlineLevel="0" max="30" min="30" style="0" width="14"/>
    <col collapsed="false" customWidth="true" hidden="false" outlineLevel="0" max="31" min="31" style="0" width="12"/>
    <col collapsed="false" customWidth="true" hidden="false" outlineLevel="0" max="32" min="32" style="0" width="20"/>
    <col collapsed="false" customWidth="true" hidden="false" outlineLevel="0" max="33" min="33" style="0" width="30"/>
    <col collapsed="false" customWidth="true" hidden="false" outlineLevel="0" max="34" min="34" style="0" width="14"/>
    <col collapsed="false" customWidth="true" hidden="false" outlineLevel="0" max="35" min="35" style="0" width="12"/>
    <col collapsed="false" customWidth="true" hidden="false" outlineLevel="0" max="36" min="36" style="0" width="20"/>
    <col collapsed="false" customWidth="true" hidden="false" outlineLevel="0" max="37" min="37" style="0" width="30"/>
    <col collapsed="false" customWidth="true" hidden="false" outlineLevel="0" max="38" min="38" style="0" width="14"/>
    <col collapsed="false" customWidth="true" hidden="false" outlineLevel="0" max="39" min="39" style="0" width="12"/>
    <col collapsed="false" customWidth="true" hidden="false" outlineLevel="0" max="40" min="40" style="0" width="20"/>
    <col collapsed="false" customWidth="true" hidden="false" outlineLevel="0" max="41" min="41" style="0" width="30"/>
    <col collapsed="false" customWidth="true" hidden="false" outlineLevel="0" max="42" min="42" style="0" width="14"/>
    <col collapsed="false" customWidth="true" hidden="false" outlineLevel="0" max="43" min="43" style="0" width="12"/>
    <col collapsed="false" customWidth="true" hidden="false" outlineLevel="0" max="44" min="44" style="0" width="20"/>
    <col collapsed="false" customWidth="true" hidden="false" outlineLevel="0" max="45" min="45" style="0" width="30"/>
    <col collapsed="false" customWidth="true" hidden="false" outlineLevel="0" max="46" min="46" style="0" width="14"/>
    <col collapsed="false" customWidth="true" hidden="false" outlineLevel="0" max="47" min="47" style="0" width="12"/>
    <col collapsed="false" customWidth="true" hidden="false" outlineLevel="0" max="48" min="48" style="0" width="20"/>
    <col collapsed="false" customWidth="true" hidden="false" outlineLevel="0" max="49" min="49" style="0" width="30"/>
    <col collapsed="false" customWidth="true" hidden="false" outlineLevel="0" max="50" min="50" style="0" width="14"/>
    <col collapsed="false" customWidth="true" hidden="false" outlineLevel="0" max="51" min="51" style="0" width="12"/>
    <col collapsed="false" customWidth="true" hidden="false" outlineLevel="0" max="52" min="52" style="0" width="20"/>
    <col collapsed="false" customWidth="true" hidden="false" outlineLevel="0" max="53" min="53" style="0" width="30"/>
    <col collapsed="false" customWidth="true" hidden="false" outlineLevel="0" max="54" min="54" style="0" width="14"/>
    <col collapsed="false" customWidth="true" hidden="false" outlineLevel="0" max="55" min="55" style="0" width="12"/>
    <col collapsed="false" customWidth="true" hidden="false" outlineLevel="0" max="56" min="56" style="0" width="20"/>
    <col collapsed="false" customWidth="true" hidden="false" outlineLevel="0" max="57" min="57" style="0" width="30"/>
    <col collapsed="false" customWidth="true" hidden="false" outlineLevel="0" max="58" min="58" style="0" width="14"/>
    <col collapsed="false" customWidth="true" hidden="false" outlineLevel="0" max="59" min="59" style="0" width="12"/>
    <col collapsed="false" customWidth="true" hidden="false" outlineLevel="0" max="60" min="60" style="0" width="20"/>
    <col collapsed="false" customWidth="true" hidden="false" outlineLevel="0" max="61" min="61" style="0" width="30"/>
    <col collapsed="false" customWidth="true" hidden="false" outlineLevel="0" max="62" min="62" style="0" width="14"/>
    <col collapsed="false" customWidth="true" hidden="false" outlineLevel="0" max="63" min="63" style="0" width="12"/>
    <col collapsed="false" customWidth="true" hidden="false" outlineLevel="0" max="64" min="64" style="0" width="20"/>
    <col collapsed="false" customWidth="true" hidden="false" outlineLevel="0" max="65" min="65" style="0" width="30"/>
  </cols>
  <sheetData>
    <row r="1" customFormat="false" ht="30" hidden="false" customHeight="true" outlineLevel="0" collapsed="false">
      <c r="A1" s="1" t="s">
        <v>394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customFormat="false" ht="15.75" hidden="false" customHeight="true" outlineLevel="0" collapsed="false">
      <c r="A2" s="2" t="s">
        <v>395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row>
    <row r="3" customFormat="false" ht="30" hidden="false" customHeight="true" outlineLevel="0" collapsed="false">
      <c r="A3" s="37" t="s">
        <v>396</v>
      </c>
      <c r="B3" s="37"/>
      <c r="C3" s="37"/>
      <c r="D3" s="37"/>
      <c r="E3" s="37"/>
      <c r="F3" s="37"/>
      <c r="G3" s="37"/>
      <c r="H3" s="37"/>
      <c r="I3" s="37"/>
      <c r="J3" s="37" t="s">
        <v>397</v>
      </c>
      <c r="K3" s="37"/>
      <c r="L3" s="37"/>
      <c r="M3" s="37"/>
      <c r="N3" s="38" t="s">
        <v>398</v>
      </c>
      <c r="O3" s="38"/>
      <c r="P3" s="38"/>
      <c r="Q3" s="38"/>
      <c r="R3" s="37" t="s">
        <v>399</v>
      </c>
      <c r="S3" s="37"/>
      <c r="T3" s="37"/>
      <c r="U3" s="37"/>
      <c r="V3" s="38" t="s">
        <v>400</v>
      </c>
      <c r="W3" s="38"/>
      <c r="X3" s="38"/>
      <c r="Y3" s="38"/>
      <c r="Z3" s="37" t="s">
        <v>401</v>
      </c>
      <c r="AA3" s="37"/>
      <c r="AB3" s="37"/>
      <c r="AC3" s="37"/>
      <c r="AD3" s="38" t="s">
        <v>402</v>
      </c>
      <c r="AE3" s="38"/>
      <c r="AF3" s="38"/>
      <c r="AG3" s="38"/>
      <c r="AH3" s="37" t="s">
        <v>403</v>
      </c>
      <c r="AI3" s="37"/>
      <c r="AJ3" s="37"/>
      <c r="AK3" s="37"/>
      <c r="AL3" s="38" t="s">
        <v>404</v>
      </c>
      <c r="AM3" s="38"/>
      <c r="AN3" s="38"/>
      <c r="AO3" s="38"/>
      <c r="AP3" s="37" t="s">
        <v>405</v>
      </c>
      <c r="AQ3" s="37"/>
      <c r="AR3" s="37"/>
      <c r="AS3" s="37"/>
      <c r="AT3" s="38" t="s">
        <v>406</v>
      </c>
      <c r="AU3" s="38"/>
      <c r="AV3" s="38"/>
      <c r="AW3" s="38"/>
      <c r="AX3" s="37" t="s">
        <v>407</v>
      </c>
      <c r="AY3" s="37"/>
      <c r="AZ3" s="37"/>
      <c r="BA3" s="37"/>
      <c r="BB3" s="38" t="s">
        <v>408</v>
      </c>
      <c r="BC3" s="38"/>
      <c r="BD3" s="38"/>
      <c r="BE3" s="38"/>
      <c r="BF3" s="37" t="s">
        <v>409</v>
      </c>
      <c r="BG3" s="37"/>
      <c r="BH3" s="37"/>
      <c r="BI3" s="37"/>
      <c r="BJ3" s="38" t="s">
        <v>410</v>
      </c>
      <c r="BK3" s="38"/>
      <c r="BL3" s="38"/>
      <c r="BM3" s="38"/>
    </row>
    <row r="4" customFormat="false" ht="24" hidden="false" customHeight="true" outlineLevel="0" collapsed="false">
      <c r="A4" s="26" t="s">
        <v>328</v>
      </c>
      <c r="B4" s="26" t="s">
        <v>32</v>
      </c>
      <c r="C4" s="26" t="s">
        <v>329</v>
      </c>
      <c r="D4" s="26" t="s">
        <v>334</v>
      </c>
      <c r="E4" s="26" t="s">
        <v>339</v>
      </c>
      <c r="F4" s="26" t="s">
        <v>411</v>
      </c>
      <c r="G4" s="26" t="s">
        <v>412</v>
      </c>
      <c r="H4" s="26" t="s">
        <v>413</v>
      </c>
      <c r="I4" s="26" t="s">
        <v>414</v>
      </c>
      <c r="J4" s="26" t="s">
        <v>415</v>
      </c>
      <c r="K4" s="26" t="s">
        <v>416</v>
      </c>
      <c r="L4" s="26" t="s">
        <v>417</v>
      </c>
      <c r="M4" s="26" t="s">
        <v>418</v>
      </c>
      <c r="N4" s="26" t="s">
        <v>415</v>
      </c>
      <c r="O4" s="26" t="s">
        <v>416</v>
      </c>
      <c r="P4" s="26" t="s">
        <v>417</v>
      </c>
      <c r="Q4" s="26" t="s">
        <v>418</v>
      </c>
      <c r="R4" s="26" t="s">
        <v>415</v>
      </c>
      <c r="S4" s="26" t="s">
        <v>416</v>
      </c>
      <c r="T4" s="26" t="s">
        <v>417</v>
      </c>
      <c r="U4" s="26" t="s">
        <v>418</v>
      </c>
      <c r="V4" s="26" t="s">
        <v>415</v>
      </c>
      <c r="W4" s="26" t="s">
        <v>416</v>
      </c>
      <c r="X4" s="26" t="s">
        <v>417</v>
      </c>
      <c r="Y4" s="26" t="s">
        <v>418</v>
      </c>
      <c r="Z4" s="26" t="s">
        <v>415</v>
      </c>
      <c r="AA4" s="26" t="s">
        <v>416</v>
      </c>
      <c r="AB4" s="26" t="s">
        <v>417</v>
      </c>
      <c r="AC4" s="26" t="s">
        <v>418</v>
      </c>
      <c r="AD4" s="26" t="s">
        <v>415</v>
      </c>
      <c r="AE4" s="26" t="s">
        <v>416</v>
      </c>
      <c r="AF4" s="26" t="s">
        <v>417</v>
      </c>
      <c r="AG4" s="26" t="s">
        <v>418</v>
      </c>
      <c r="AH4" s="26" t="s">
        <v>415</v>
      </c>
      <c r="AI4" s="26" t="s">
        <v>416</v>
      </c>
      <c r="AJ4" s="26" t="s">
        <v>417</v>
      </c>
      <c r="AK4" s="26" t="s">
        <v>418</v>
      </c>
      <c r="AL4" s="26" t="s">
        <v>415</v>
      </c>
      <c r="AM4" s="26" t="s">
        <v>416</v>
      </c>
      <c r="AN4" s="26" t="s">
        <v>417</v>
      </c>
      <c r="AO4" s="26" t="s">
        <v>418</v>
      </c>
      <c r="AP4" s="26" t="s">
        <v>415</v>
      </c>
      <c r="AQ4" s="26" t="s">
        <v>416</v>
      </c>
      <c r="AR4" s="26" t="s">
        <v>417</v>
      </c>
      <c r="AS4" s="26" t="s">
        <v>418</v>
      </c>
      <c r="AT4" s="26" t="s">
        <v>415</v>
      </c>
      <c r="AU4" s="26" t="s">
        <v>416</v>
      </c>
      <c r="AV4" s="26" t="s">
        <v>417</v>
      </c>
      <c r="AW4" s="26" t="s">
        <v>418</v>
      </c>
      <c r="AX4" s="26" t="s">
        <v>415</v>
      </c>
      <c r="AY4" s="26" t="s">
        <v>416</v>
      </c>
      <c r="AZ4" s="26" t="s">
        <v>417</v>
      </c>
      <c r="BA4" s="26" t="s">
        <v>418</v>
      </c>
      <c r="BB4" s="26" t="s">
        <v>415</v>
      </c>
      <c r="BC4" s="26" t="s">
        <v>416</v>
      </c>
      <c r="BD4" s="26" t="s">
        <v>417</v>
      </c>
      <c r="BE4" s="26" t="s">
        <v>418</v>
      </c>
      <c r="BF4" s="26" t="s">
        <v>415</v>
      </c>
      <c r="BG4" s="26" t="s">
        <v>416</v>
      </c>
      <c r="BH4" s="26" t="s">
        <v>417</v>
      </c>
      <c r="BI4" s="26" t="s">
        <v>418</v>
      </c>
      <c r="BJ4" s="26" t="s">
        <v>415</v>
      </c>
      <c r="BK4" s="26" t="s">
        <v>416</v>
      </c>
      <c r="BL4" s="26" t="s">
        <v>417</v>
      </c>
      <c r="BM4" s="26" t="s">
        <v>418</v>
      </c>
    </row>
    <row r="5" customFormat="false" ht="15.75" hidden="false" customHeight="true" outlineLevel="0" collapsed="false">
      <c r="A5" s="27" t="s">
        <v>342</v>
      </c>
      <c r="B5" s="39" t="str">
        <f aca="false">IFERROR(INDEX(Customers!$C$4:$C$1003,MATCH($A5,Customers!$A$4:$A$1003,0)),"")</f>
        <v>Firdavs Rahmonov</v>
      </c>
      <c r="C5" s="31" t="str">
        <f aca="false">IFERROR(INDEX(Customers!$F$4:$F$1003,MATCH($A5,Customers!$A$4:$A$1003,0)),"")</f>
        <v>Poland</v>
      </c>
      <c r="D5" s="33" t="str">
        <f aca="false">IFERROR(INDEX(Customers!$K$4:$K$1003,MATCH($A5,Customers!$A$4:$A$1003,0)),"")</f>
        <v>Nilufar Karimova</v>
      </c>
      <c r="E5" s="33" t="str">
        <f aca="false">IF($A5="","",IF($F5=0,"Not Started",IF($BJ5="Completed",Settings!$U$45,IF($BF5="Completed",Settings!$U$44,IF($BB5="Completed",Settings!$U$43,IF($AX5="Completed",Settings!$U$42,IF($AT5="Completed",Settings!$U$41,IF($AP5="Completed",Settings!$U$40,IF($AL5="Completed",Settings!$U$39,IF($AH5="Completed",Settings!$U$38,IF($AD5="Completed",Settings!$U$37,IF($Z5="Completed",Settings!$U$36,IF($V5="Completed",Settings!$U$35,IF($R5="Completed",Settings!$U$34,IF($N5="Completed",Settings!$U$33,IF($J5="Completed",Settings!$U$32,""))))))))))))))))</f>
        <v>Case Completed</v>
      </c>
      <c r="F5" s="30" t="n">
        <f aca="false">IF($A5="","",COUNTIF($J5:$BM5,"Completed"))</f>
        <v>13</v>
      </c>
      <c r="G5" s="35" t="n">
        <f aca="false">IF($A5="","",MIN($F5/13,1))</f>
        <v>1</v>
      </c>
      <c r="H5" s="31" t="str">
        <f aca="false">IF($A5="","",IF($BJ5="Completed","Case Completed",IF($AX5="Completed","Visa Rejected",IF($BF5="Completed","Departed to Europe",IF($F5=0,"Not Started","In Progress")))))</f>
        <v>Case Completed</v>
      </c>
      <c r="I5" s="30" t="n">
        <f aca="true">IF($K5="","",IF($BK5&lt;&gt;"",$BK5-$K5,IF($AY5&lt;&gt;"",$AY5-$K5,TODAY()-$K5)))</f>
        <v>115</v>
      </c>
      <c r="J5" s="27" t="s">
        <v>275</v>
      </c>
      <c r="K5" s="29" t="n">
        <v>46039</v>
      </c>
      <c r="L5" s="28" t="s">
        <v>67</v>
      </c>
      <c r="M5" s="32" t="s">
        <v>419</v>
      </c>
      <c r="N5" s="27" t="s">
        <v>275</v>
      </c>
      <c r="O5" s="29" t="n">
        <v>46044</v>
      </c>
      <c r="P5" s="28" t="s">
        <v>101</v>
      </c>
      <c r="Q5" s="32"/>
      <c r="R5" s="27" t="s">
        <v>275</v>
      </c>
      <c r="S5" s="29" t="n">
        <v>46059</v>
      </c>
      <c r="T5" s="28" t="s">
        <v>101</v>
      </c>
      <c r="U5" s="32"/>
      <c r="V5" s="27" t="s">
        <v>275</v>
      </c>
      <c r="W5" s="29" t="n">
        <v>46064</v>
      </c>
      <c r="X5" s="28" t="s">
        <v>101</v>
      </c>
      <c r="Y5" s="32"/>
      <c r="Z5" s="27" t="s">
        <v>275</v>
      </c>
      <c r="AA5" s="29" t="n">
        <v>46084</v>
      </c>
      <c r="AB5" s="28" t="s">
        <v>90</v>
      </c>
      <c r="AC5" s="32" t="s">
        <v>420</v>
      </c>
      <c r="AD5" s="27" t="s">
        <v>275</v>
      </c>
      <c r="AE5" s="29" t="n">
        <v>46091</v>
      </c>
      <c r="AF5" s="28" t="s">
        <v>90</v>
      </c>
      <c r="AG5" s="32"/>
      <c r="AH5" s="27" t="s">
        <v>275</v>
      </c>
      <c r="AI5" s="29" t="n">
        <v>46099</v>
      </c>
      <c r="AJ5" s="28" t="s">
        <v>101</v>
      </c>
      <c r="AK5" s="32"/>
      <c r="AL5" s="27" t="s">
        <v>275</v>
      </c>
      <c r="AM5" s="29" t="n">
        <v>46109</v>
      </c>
      <c r="AN5" s="28" t="s">
        <v>101</v>
      </c>
      <c r="AO5" s="32" t="s">
        <v>421</v>
      </c>
      <c r="AP5" s="27" t="s">
        <v>275</v>
      </c>
      <c r="AQ5" s="29" t="n">
        <v>46114</v>
      </c>
      <c r="AR5" s="28" t="s">
        <v>101</v>
      </c>
      <c r="AS5" s="32"/>
      <c r="AT5" s="27" t="s">
        <v>275</v>
      </c>
      <c r="AU5" s="29" t="n">
        <v>46134</v>
      </c>
      <c r="AV5" s="28" t="s">
        <v>101</v>
      </c>
      <c r="AW5" s="32" t="s">
        <v>422</v>
      </c>
      <c r="AX5" s="27" t="s">
        <v>423</v>
      </c>
      <c r="AY5" s="29"/>
      <c r="AZ5" s="28"/>
      <c r="BA5" s="32"/>
      <c r="BB5" s="27" t="s">
        <v>275</v>
      </c>
      <c r="BC5" s="29" t="n">
        <v>46139</v>
      </c>
      <c r="BD5" s="28" t="s">
        <v>90</v>
      </c>
      <c r="BE5" s="32"/>
      <c r="BF5" s="27" t="s">
        <v>275</v>
      </c>
      <c r="BG5" s="29" t="n">
        <v>46146</v>
      </c>
      <c r="BH5" s="28" t="s">
        <v>90</v>
      </c>
      <c r="BI5" s="32" t="s">
        <v>424</v>
      </c>
      <c r="BJ5" s="27" t="s">
        <v>275</v>
      </c>
      <c r="BK5" s="29" t="n">
        <v>46154</v>
      </c>
      <c r="BL5" s="28" t="s">
        <v>390</v>
      </c>
      <c r="BM5" s="32" t="s">
        <v>425</v>
      </c>
    </row>
    <row r="6" customFormat="false" ht="15.75" hidden="false" customHeight="true" outlineLevel="0" collapsed="false">
      <c r="A6" s="27" t="s">
        <v>345</v>
      </c>
      <c r="B6" s="39" t="str">
        <f aca="false">IFERROR(INDEX(Customers!$C$4:$C$1003,MATCH($A6,Customers!$A$4:$A$1003,0)),"")</f>
        <v>Nilufar Sharipova</v>
      </c>
      <c r="C6" s="31" t="str">
        <f aca="false">IFERROR(INDEX(Customers!$F$4:$F$1003,MATCH($A6,Customers!$A$4:$A$1003,0)),"")</f>
        <v>Germany</v>
      </c>
      <c r="D6" s="33" t="str">
        <f aca="false">IFERROR(INDEX(Customers!$K$4:$K$1003,MATCH($A6,Customers!$A$4:$A$1003,0)),"")</f>
        <v>Jamshed Sattorov</v>
      </c>
      <c r="E6" s="33" t="str">
        <f aca="false">IF($A6="","",IF($F6=0,"Not Started",IF($BJ6="Completed",Settings!$U$45,IF($BF6="Completed",Settings!$U$44,IF($BB6="Completed",Settings!$U$43,IF($AX6="Completed",Settings!$U$42,IF($AT6="Completed",Settings!$U$41,IF($AP6="Completed",Settings!$U$40,IF($AL6="Completed",Settings!$U$39,IF($AH6="Completed",Settings!$U$38,IF($AD6="Completed",Settings!$U$37,IF($Z6="Completed",Settings!$U$36,IF($V6="Completed",Settings!$U$35,IF($R6="Completed",Settings!$U$34,IF($N6="Completed",Settings!$U$33,IF($J6="Completed",Settings!$U$32,""))))))))))))))))</f>
        <v>Case Completed</v>
      </c>
      <c r="F6" s="30" t="n">
        <f aca="false">IF($A6="","",COUNTIF($J6:$BM6,"Completed"))</f>
        <v>13</v>
      </c>
      <c r="G6" s="35" t="n">
        <f aca="false">IF($A6="","",MIN($F6/13,1))</f>
        <v>1</v>
      </c>
      <c r="H6" s="31" t="str">
        <f aca="false">IF($A6="","",IF($BJ6="Completed","Case Completed",IF($AX6="Completed","Visa Rejected",IF($BF6="Completed","Departed to Europe",IF($F6=0,"Not Started","In Progress")))))</f>
        <v>Case Completed</v>
      </c>
      <c r="I6" s="30" t="n">
        <f aca="true">IF($K6="","",IF($BK6&lt;&gt;"",$BK6-$K6,IF($AY6&lt;&gt;"",$AY6-$K6,TODAY()-$K6)))</f>
        <v>115</v>
      </c>
      <c r="J6" s="27" t="s">
        <v>275</v>
      </c>
      <c r="K6" s="29" t="n">
        <v>46046</v>
      </c>
      <c r="L6" s="28" t="s">
        <v>79</v>
      </c>
      <c r="M6" s="32" t="s">
        <v>419</v>
      </c>
      <c r="N6" s="27" t="s">
        <v>275</v>
      </c>
      <c r="O6" s="29" t="n">
        <v>46051</v>
      </c>
      <c r="P6" s="28" t="s">
        <v>101</v>
      </c>
      <c r="Q6" s="32"/>
      <c r="R6" s="27" t="s">
        <v>275</v>
      </c>
      <c r="S6" s="29" t="n">
        <v>46066</v>
      </c>
      <c r="T6" s="28" t="s">
        <v>101</v>
      </c>
      <c r="U6" s="32"/>
      <c r="V6" s="27" t="s">
        <v>275</v>
      </c>
      <c r="W6" s="29" t="n">
        <v>46071</v>
      </c>
      <c r="X6" s="28" t="s">
        <v>101</v>
      </c>
      <c r="Y6" s="32"/>
      <c r="Z6" s="27" t="s">
        <v>275</v>
      </c>
      <c r="AA6" s="29" t="n">
        <v>46091</v>
      </c>
      <c r="AB6" s="28" t="s">
        <v>90</v>
      </c>
      <c r="AC6" s="32" t="s">
        <v>420</v>
      </c>
      <c r="AD6" s="27" t="s">
        <v>275</v>
      </c>
      <c r="AE6" s="29" t="n">
        <v>46098</v>
      </c>
      <c r="AF6" s="28" t="s">
        <v>90</v>
      </c>
      <c r="AG6" s="32"/>
      <c r="AH6" s="27" t="s">
        <v>275</v>
      </c>
      <c r="AI6" s="29" t="n">
        <v>46106</v>
      </c>
      <c r="AJ6" s="28" t="s">
        <v>101</v>
      </c>
      <c r="AK6" s="32"/>
      <c r="AL6" s="27" t="s">
        <v>275</v>
      </c>
      <c r="AM6" s="29" t="n">
        <v>46116</v>
      </c>
      <c r="AN6" s="28" t="s">
        <v>101</v>
      </c>
      <c r="AO6" s="32" t="s">
        <v>421</v>
      </c>
      <c r="AP6" s="27" t="s">
        <v>275</v>
      </c>
      <c r="AQ6" s="29" t="n">
        <v>46121</v>
      </c>
      <c r="AR6" s="28" t="s">
        <v>101</v>
      </c>
      <c r="AS6" s="32"/>
      <c r="AT6" s="27" t="s">
        <v>275</v>
      </c>
      <c r="AU6" s="29" t="n">
        <v>46141</v>
      </c>
      <c r="AV6" s="28" t="s">
        <v>101</v>
      </c>
      <c r="AW6" s="32" t="s">
        <v>422</v>
      </c>
      <c r="AX6" s="27" t="s">
        <v>423</v>
      </c>
      <c r="AY6" s="29"/>
      <c r="AZ6" s="28"/>
      <c r="BA6" s="32"/>
      <c r="BB6" s="27" t="s">
        <v>275</v>
      </c>
      <c r="BC6" s="29" t="n">
        <v>46146</v>
      </c>
      <c r="BD6" s="28" t="s">
        <v>90</v>
      </c>
      <c r="BE6" s="32"/>
      <c r="BF6" s="27" t="s">
        <v>275</v>
      </c>
      <c r="BG6" s="29" t="n">
        <v>46153</v>
      </c>
      <c r="BH6" s="28" t="s">
        <v>90</v>
      </c>
      <c r="BI6" s="32" t="s">
        <v>424</v>
      </c>
      <c r="BJ6" s="27" t="s">
        <v>275</v>
      </c>
      <c r="BK6" s="29" t="n">
        <v>46161</v>
      </c>
      <c r="BL6" s="28" t="s">
        <v>390</v>
      </c>
      <c r="BM6" s="32" t="s">
        <v>425</v>
      </c>
    </row>
    <row r="7" customFormat="false" ht="15.75" hidden="false" customHeight="true" outlineLevel="0" collapsed="false">
      <c r="A7" s="27" t="s">
        <v>348</v>
      </c>
      <c r="B7" s="39" t="str">
        <f aca="false">IFERROR(INDEX(Customers!$C$4:$C$1003,MATCH($A7,Customers!$A$4:$A$1003,0)),"")</f>
        <v>Jamshed Karimov</v>
      </c>
      <c r="C7" s="31" t="str">
        <f aca="false">IFERROR(INDEX(Customers!$F$4:$F$1003,MATCH($A7,Customers!$A$4:$A$1003,0)),"")</f>
        <v>Czech Republic</v>
      </c>
      <c r="D7" s="33" t="str">
        <f aca="false">IFERROR(INDEX(Customers!$K$4:$K$1003,MATCH($A7,Customers!$A$4:$A$1003,0)),"")</f>
        <v>Dilnoza Aliyeva</v>
      </c>
      <c r="E7" s="33" t="str">
        <f aca="false">IF($A7="","",IF($F7=0,"Not Started",IF($BJ7="Completed",Settings!$U$45,IF($BF7="Completed",Settings!$U$44,IF($BB7="Completed",Settings!$U$43,IF($AX7="Completed",Settings!$U$42,IF($AT7="Completed",Settings!$U$41,IF($AP7="Completed",Settings!$U$40,IF($AL7="Completed",Settings!$U$39,IF($AH7="Completed",Settings!$U$38,IF($AD7="Completed",Settings!$U$37,IF($Z7="Completed",Settings!$U$36,IF($V7="Completed",Settings!$U$35,IF($R7="Completed",Settings!$U$34,IF($N7="Completed",Settings!$U$33,IF($J7="Completed",Settings!$U$32,""))))))))))))))))</f>
        <v>Customer Departed to Europe</v>
      </c>
      <c r="F7" s="30" t="n">
        <f aca="false">IF($A7="","",COUNTIF($J7:$BM7,"Completed"))</f>
        <v>12</v>
      </c>
      <c r="G7" s="35" t="n">
        <f aca="false">IF($A7="","",MIN($F7/13,1))</f>
        <v>0.923076923076923</v>
      </c>
      <c r="H7" s="31" t="str">
        <f aca="false">IF($A7="","",IF($BJ7="Completed","Case Completed",IF($AX7="Completed","Visa Rejected",IF($BF7="Completed","Departed to Europe",IF($F7=0,"Not Started","In Progress")))))</f>
        <v>Departed to Europe</v>
      </c>
      <c r="I7" s="30" t="n">
        <f aca="true">IF($K7="","",IF($BK7&lt;&gt;"",$BK7-$K7,IF($AY7&lt;&gt;"",$AY7-$K7,TODAY()-$K7)))</f>
        <v>166</v>
      </c>
      <c r="J7" s="27" t="s">
        <v>275</v>
      </c>
      <c r="K7" s="29" t="n">
        <v>46067</v>
      </c>
      <c r="L7" s="28" t="s">
        <v>90</v>
      </c>
      <c r="M7" s="32" t="s">
        <v>419</v>
      </c>
      <c r="N7" s="27" t="s">
        <v>275</v>
      </c>
      <c r="O7" s="29" t="n">
        <v>46072</v>
      </c>
      <c r="P7" s="28" t="s">
        <v>101</v>
      </c>
      <c r="Q7" s="32"/>
      <c r="R7" s="27" t="s">
        <v>275</v>
      </c>
      <c r="S7" s="29" t="n">
        <v>46087</v>
      </c>
      <c r="T7" s="28" t="s">
        <v>101</v>
      </c>
      <c r="U7" s="32"/>
      <c r="V7" s="27" t="s">
        <v>275</v>
      </c>
      <c r="W7" s="29" t="n">
        <v>46092</v>
      </c>
      <c r="X7" s="28" t="s">
        <v>101</v>
      </c>
      <c r="Y7" s="32"/>
      <c r="Z7" s="27" t="s">
        <v>275</v>
      </c>
      <c r="AA7" s="29" t="n">
        <v>46112</v>
      </c>
      <c r="AB7" s="28" t="s">
        <v>90</v>
      </c>
      <c r="AC7" s="32" t="s">
        <v>420</v>
      </c>
      <c r="AD7" s="27" t="s">
        <v>275</v>
      </c>
      <c r="AE7" s="29" t="n">
        <v>46119</v>
      </c>
      <c r="AF7" s="28" t="s">
        <v>90</v>
      </c>
      <c r="AG7" s="32"/>
      <c r="AH7" s="27" t="s">
        <v>275</v>
      </c>
      <c r="AI7" s="29" t="n">
        <v>46127</v>
      </c>
      <c r="AJ7" s="28" t="s">
        <v>101</v>
      </c>
      <c r="AK7" s="32"/>
      <c r="AL7" s="27" t="s">
        <v>275</v>
      </c>
      <c r="AM7" s="29" t="n">
        <v>46137</v>
      </c>
      <c r="AN7" s="28" t="s">
        <v>101</v>
      </c>
      <c r="AO7" s="32" t="s">
        <v>421</v>
      </c>
      <c r="AP7" s="27" t="s">
        <v>275</v>
      </c>
      <c r="AQ7" s="29" t="n">
        <v>46142</v>
      </c>
      <c r="AR7" s="28" t="s">
        <v>101</v>
      </c>
      <c r="AS7" s="32"/>
      <c r="AT7" s="27" t="s">
        <v>275</v>
      </c>
      <c r="AU7" s="29" t="n">
        <v>46162</v>
      </c>
      <c r="AV7" s="28" t="s">
        <v>101</v>
      </c>
      <c r="AW7" s="32" t="s">
        <v>422</v>
      </c>
      <c r="AX7" s="27" t="s">
        <v>423</v>
      </c>
      <c r="AY7" s="29"/>
      <c r="AZ7" s="28"/>
      <c r="BA7" s="32"/>
      <c r="BB7" s="27" t="s">
        <v>275</v>
      </c>
      <c r="BC7" s="29" t="n">
        <v>46167</v>
      </c>
      <c r="BD7" s="28" t="s">
        <v>90</v>
      </c>
      <c r="BE7" s="32"/>
      <c r="BF7" s="27" t="s">
        <v>275</v>
      </c>
      <c r="BG7" s="29" t="n">
        <v>46174</v>
      </c>
      <c r="BH7" s="28" t="s">
        <v>90</v>
      </c>
      <c r="BI7" s="32" t="s">
        <v>424</v>
      </c>
      <c r="BJ7" s="27" t="s">
        <v>426</v>
      </c>
      <c r="BK7" s="29"/>
      <c r="BL7" s="28" t="s">
        <v>390</v>
      </c>
      <c r="BM7" s="32" t="s">
        <v>427</v>
      </c>
    </row>
    <row r="8" customFormat="false" ht="15.75" hidden="false" customHeight="true" outlineLevel="0" collapsed="false">
      <c r="A8" s="27" t="s">
        <v>352</v>
      </c>
      <c r="B8" s="39" t="str">
        <f aca="false">IFERROR(INDEX(Customers!$C$4:$C$1003,MATCH($A8,Customers!$A$4:$A$1003,0)),"")</f>
        <v>Zarina Nazriyeva</v>
      </c>
      <c r="C8" s="31" t="str">
        <f aca="false">IFERROR(INDEX(Customers!$F$4:$F$1003,MATCH($A8,Customers!$A$4:$A$1003,0)),"")</f>
        <v>Poland</v>
      </c>
      <c r="D8" s="33" t="str">
        <f aca="false">IFERROR(INDEX(Customers!$K$4:$K$1003,MATCH($A8,Customers!$A$4:$A$1003,0)),"")</f>
        <v>Nilufar Karimova</v>
      </c>
      <c r="E8" s="33" t="str">
        <f aca="false">IF($A8="","",IF($F8=0,"Not Started",IF($BJ8="Completed",Settings!$U$45,IF($BF8="Completed",Settings!$U$44,IF($BB8="Completed",Settings!$U$43,IF($AX8="Completed",Settings!$U$42,IF($AT8="Completed",Settings!$U$41,IF($AP8="Completed",Settings!$U$40,IF($AL8="Completed",Settings!$U$39,IF($AH8="Completed",Settings!$U$38,IF($AD8="Completed",Settings!$U$37,IF($Z8="Completed",Settings!$U$36,IF($V8="Completed",Settings!$U$35,IF($R8="Completed",Settings!$U$34,IF($N8="Completed",Settings!$U$33,IF($J8="Completed",Settings!$U$32,""))))))))))))))))</f>
        <v>Flight Ticket Prepared</v>
      </c>
      <c r="F8" s="30" t="n">
        <f aca="false">IF($A8="","",COUNTIF($J8:$BM8,"Completed"))</f>
        <v>11</v>
      </c>
      <c r="G8" s="35" t="n">
        <f aca="false">IF($A8="","",MIN($F8/13,1))</f>
        <v>0.846153846153846</v>
      </c>
      <c r="H8" s="31" t="str">
        <f aca="false">IF($A8="","",IF($BJ8="Completed","Case Completed",IF($AX8="Completed","Visa Rejected",IF($BF8="Completed","Departed to Europe",IF($F8=0,"Not Started","In Progress")))))</f>
        <v>In Progress</v>
      </c>
      <c r="I8" s="30" t="n">
        <f aca="true">IF($K8="","",IF($BK8&lt;&gt;"",$BK8-$K8,IF($AY8&lt;&gt;"",$AY8-$K8,TODAY()-$K8)))</f>
        <v>159</v>
      </c>
      <c r="J8" s="27" t="s">
        <v>275</v>
      </c>
      <c r="K8" s="29" t="n">
        <v>46074</v>
      </c>
      <c r="L8" s="28" t="s">
        <v>67</v>
      </c>
      <c r="M8" s="32" t="s">
        <v>419</v>
      </c>
      <c r="N8" s="27" t="s">
        <v>275</v>
      </c>
      <c r="O8" s="29" t="n">
        <v>46079</v>
      </c>
      <c r="P8" s="28" t="s">
        <v>101</v>
      </c>
      <c r="Q8" s="32"/>
      <c r="R8" s="27" t="s">
        <v>275</v>
      </c>
      <c r="S8" s="29" t="n">
        <v>46094</v>
      </c>
      <c r="T8" s="28" t="s">
        <v>101</v>
      </c>
      <c r="U8" s="32"/>
      <c r="V8" s="27" t="s">
        <v>275</v>
      </c>
      <c r="W8" s="29" t="n">
        <v>46099</v>
      </c>
      <c r="X8" s="28" t="s">
        <v>101</v>
      </c>
      <c r="Y8" s="32"/>
      <c r="Z8" s="27" t="s">
        <v>275</v>
      </c>
      <c r="AA8" s="29" t="n">
        <v>46119</v>
      </c>
      <c r="AB8" s="28" t="s">
        <v>90</v>
      </c>
      <c r="AC8" s="32" t="s">
        <v>420</v>
      </c>
      <c r="AD8" s="27" t="s">
        <v>275</v>
      </c>
      <c r="AE8" s="29" t="n">
        <v>46126</v>
      </c>
      <c r="AF8" s="28" t="s">
        <v>90</v>
      </c>
      <c r="AG8" s="32"/>
      <c r="AH8" s="27" t="s">
        <v>275</v>
      </c>
      <c r="AI8" s="29" t="n">
        <v>46134</v>
      </c>
      <c r="AJ8" s="28" t="s">
        <v>101</v>
      </c>
      <c r="AK8" s="32"/>
      <c r="AL8" s="27" t="s">
        <v>275</v>
      </c>
      <c r="AM8" s="29" t="n">
        <v>46144</v>
      </c>
      <c r="AN8" s="28" t="s">
        <v>101</v>
      </c>
      <c r="AO8" s="32" t="s">
        <v>421</v>
      </c>
      <c r="AP8" s="27" t="s">
        <v>275</v>
      </c>
      <c r="AQ8" s="29" t="n">
        <v>46149</v>
      </c>
      <c r="AR8" s="28" t="s">
        <v>101</v>
      </c>
      <c r="AS8" s="32"/>
      <c r="AT8" s="27" t="s">
        <v>275</v>
      </c>
      <c r="AU8" s="29" t="n">
        <v>46169</v>
      </c>
      <c r="AV8" s="28" t="s">
        <v>101</v>
      </c>
      <c r="AW8" s="32" t="s">
        <v>422</v>
      </c>
      <c r="AX8" s="27" t="s">
        <v>423</v>
      </c>
      <c r="AY8" s="29"/>
      <c r="AZ8" s="28"/>
      <c r="BA8" s="32"/>
      <c r="BB8" s="27" t="s">
        <v>275</v>
      </c>
      <c r="BC8" s="29" t="n">
        <v>46174</v>
      </c>
      <c r="BD8" s="28" t="s">
        <v>90</v>
      </c>
      <c r="BE8" s="32"/>
      <c r="BF8" s="27" t="s">
        <v>426</v>
      </c>
      <c r="BG8" s="29"/>
      <c r="BH8" s="28" t="s">
        <v>90</v>
      </c>
      <c r="BI8" s="32" t="s">
        <v>427</v>
      </c>
      <c r="BJ8" s="27" t="s">
        <v>315</v>
      </c>
      <c r="BK8" s="29"/>
      <c r="BL8" s="28"/>
      <c r="BM8" s="32"/>
    </row>
    <row r="9" customFormat="false" ht="15.75" hidden="false" customHeight="true" outlineLevel="0" collapsed="false">
      <c r="A9" s="27" t="s">
        <v>354</v>
      </c>
      <c r="B9" s="39" t="str">
        <f aca="false">IFERROR(INDEX(Customers!$C$4:$C$1003,MATCH($A9,Customers!$A$4:$A$1003,0)),"")</f>
        <v>Bakhtiyor Umarov</v>
      </c>
      <c r="C9" s="31" t="str">
        <f aca="false">IFERROR(INDEX(Customers!$F$4:$F$1003,MATCH($A9,Customers!$A$4:$A$1003,0)),"")</f>
        <v>Slovakia</v>
      </c>
      <c r="D9" s="33" t="str">
        <f aca="false">IFERROR(INDEX(Customers!$K$4:$K$1003,MATCH($A9,Customers!$A$4:$A$1003,0)),"")</f>
        <v>Jamshed Sattorov</v>
      </c>
      <c r="E9" s="33" t="str">
        <f aca="false">IF($A9="","",IF($F9=0,"Not Started",IF($BJ9="Completed",Settings!$U$45,IF($BF9="Completed",Settings!$U$44,IF($BB9="Completed",Settings!$U$43,IF($AX9="Completed",Settings!$U$42,IF($AT9="Completed",Settings!$U$41,IF($AP9="Completed",Settings!$U$40,IF($AL9="Completed",Settings!$U$39,IF($AH9="Completed",Settings!$U$38,IF($AD9="Completed",Settings!$U$37,IF($Z9="Completed",Settings!$U$36,IF($V9="Completed",Settings!$U$35,IF($R9="Completed",Settings!$U$34,IF($N9="Completed",Settings!$U$33,IF($J9="Completed",Settings!$U$32,""))))))))))))))))</f>
        <v>Visa Approved</v>
      </c>
      <c r="F9" s="30" t="n">
        <f aca="false">IF($A9="","",COUNTIF($J9:$BM9,"Completed"))</f>
        <v>10</v>
      </c>
      <c r="G9" s="35" t="n">
        <f aca="false">IF($A9="","",MIN($F9/13,1))</f>
        <v>0.769230769230769</v>
      </c>
      <c r="H9" s="31" t="str">
        <f aca="false">IF($A9="","",IF($BJ9="Completed","Case Completed",IF($AX9="Completed","Visa Rejected",IF($BF9="Completed","Departed to Europe",IF($F9=0,"Not Started","In Progress")))))</f>
        <v>In Progress</v>
      </c>
      <c r="I9" s="30" t="n">
        <f aca="true">IF($K9="","",IF($BK9&lt;&gt;"",$BK9-$K9,IF($AY9&lt;&gt;"",$AY9-$K9,TODAY()-$K9)))</f>
        <v>180</v>
      </c>
      <c r="J9" s="27" t="s">
        <v>275</v>
      </c>
      <c r="K9" s="29" t="n">
        <v>46053</v>
      </c>
      <c r="L9" s="28" t="s">
        <v>79</v>
      </c>
      <c r="M9" s="32" t="s">
        <v>419</v>
      </c>
      <c r="N9" s="27" t="s">
        <v>275</v>
      </c>
      <c r="O9" s="29" t="n">
        <v>46058</v>
      </c>
      <c r="P9" s="28" t="s">
        <v>101</v>
      </c>
      <c r="Q9" s="32"/>
      <c r="R9" s="27" t="s">
        <v>275</v>
      </c>
      <c r="S9" s="29" t="n">
        <v>46073</v>
      </c>
      <c r="T9" s="28" t="s">
        <v>101</v>
      </c>
      <c r="U9" s="32"/>
      <c r="V9" s="27" t="s">
        <v>275</v>
      </c>
      <c r="W9" s="29" t="n">
        <v>46078</v>
      </c>
      <c r="X9" s="28" t="s">
        <v>101</v>
      </c>
      <c r="Y9" s="32"/>
      <c r="Z9" s="27" t="s">
        <v>275</v>
      </c>
      <c r="AA9" s="29" t="n">
        <v>46098</v>
      </c>
      <c r="AB9" s="28" t="s">
        <v>90</v>
      </c>
      <c r="AC9" s="32" t="s">
        <v>420</v>
      </c>
      <c r="AD9" s="27" t="s">
        <v>275</v>
      </c>
      <c r="AE9" s="29" t="n">
        <v>46105</v>
      </c>
      <c r="AF9" s="28" t="s">
        <v>90</v>
      </c>
      <c r="AG9" s="32"/>
      <c r="AH9" s="27" t="s">
        <v>275</v>
      </c>
      <c r="AI9" s="29" t="n">
        <v>46113</v>
      </c>
      <c r="AJ9" s="28" t="s">
        <v>101</v>
      </c>
      <c r="AK9" s="32"/>
      <c r="AL9" s="27" t="s">
        <v>275</v>
      </c>
      <c r="AM9" s="29" t="n">
        <v>46123</v>
      </c>
      <c r="AN9" s="28" t="s">
        <v>101</v>
      </c>
      <c r="AO9" s="32" t="s">
        <v>421</v>
      </c>
      <c r="AP9" s="27" t="s">
        <v>275</v>
      </c>
      <c r="AQ9" s="29" t="n">
        <v>46128</v>
      </c>
      <c r="AR9" s="28" t="s">
        <v>101</v>
      </c>
      <c r="AS9" s="32"/>
      <c r="AT9" s="27" t="s">
        <v>275</v>
      </c>
      <c r="AU9" s="29" t="n">
        <v>46148</v>
      </c>
      <c r="AV9" s="28" t="s">
        <v>101</v>
      </c>
      <c r="AW9" s="32" t="s">
        <v>422</v>
      </c>
      <c r="AX9" s="27" t="s">
        <v>423</v>
      </c>
      <c r="AY9" s="29"/>
      <c r="AZ9" s="28"/>
      <c r="BA9" s="32"/>
      <c r="BB9" s="27" t="s">
        <v>426</v>
      </c>
      <c r="BC9" s="29"/>
      <c r="BD9" s="28" t="s">
        <v>90</v>
      </c>
      <c r="BE9" s="32" t="s">
        <v>427</v>
      </c>
      <c r="BF9" s="27" t="s">
        <v>315</v>
      </c>
      <c r="BG9" s="29"/>
      <c r="BH9" s="28"/>
      <c r="BI9" s="32"/>
      <c r="BJ9" s="27" t="s">
        <v>315</v>
      </c>
      <c r="BK9" s="29"/>
      <c r="BL9" s="28"/>
      <c r="BM9" s="32"/>
    </row>
    <row r="10" customFormat="false" ht="15.75" hidden="false" customHeight="true" outlineLevel="0" collapsed="false">
      <c r="A10" s="27" t="s">
        <v>357</v>
      </c>
      <c r="B10" s="39" t="str">
        <f aca="false">IFERROR(INDEX(Customers!$C$4:$C$1003,MATCH($A10,Customers!$A$4:$A$1003,0)),"")</f>
        <v>Manizha Qodirova</v>
      </c>
      <c r="C10" s="31" t="str">
        <f aca="false">IFERROR(INDEX(Customers!$F$4:$F$1003,MATCH($A10,Customers!$A$4:$A$1003,0)),"")</f>
        <v>Germany</v>
      </c>
      <c r="D10" s="33" t="str">
        <f aca="false">IFERROR(INDEX(Customers!$K$4:$K$1003,MATCH($A10,Customers!$A$4:$A$1003,0)),"")</f>
        <v>Dilnoza Aliyeva</v>
      </c>
      <c r="E10" s="33" t="str">
        <f aca="false">IF($A10="","",IF($F10=0,"Not Started",IF($BJ10="Completed",Settings!$U$45,IF($BF10="Completed",Settings!$U$44,IF($BB10="Completed",Settings!$U$43,IF($AX10="Completed",Settings!$U$42,IF($AT10="Completed",Settings!$U$41,IF($AP10="Completed",Settings!$U$40,IF($AL10="Completed",Settings!$U$39,IF($AH10="Completed",Settings!$U$38,IF($AD10="Completed",Settings!$U$37,IF($Z10="Completed",Settings!$U$36,IF($V10="Completed",Settings!$U$35,IF($R10="Completed",Settings!$U$34,IF($N10="Completed",Settings!$U$33,IF($J10="Completed",Settings!$U$32,""))))))))))))))))</f>
        <v>Visa Rejected</v>
      </c>
      <c r="F10" s="30" t="n">
        <f aca="false">IF($A10="","",COUNTIF($J10:$BM10,"Completed"))</f>
        <v>10</v>
      </c>
      <c r="G10" s="35" t="n">
        <f aca="false">IF($A10="","",MIN($F10/13,1))</f>
        <v>0.769230769230769</v>
      </c>
      <c r="H10" s="31" t="str">
        <f aca="false">IF($A10="","",IF($BJ10="Completed","Case Completed",IF($AX10="Completed","Visa Rejected",IF($BF10="Completed","Departed to Europe",IF($F10=0,"Not Started","In Progress")))))</f>
        <v>Visa Rejected</v>
      </c>
      <c r="I10" s="30" t="n">
        <f aca="true">IF($K10="","",IF($BK10&lt;&gt;"",$BK10-$K10,IF($AY10&lt;&gt;"",$AY10-$K10,TODAY()-$K10)))</f>
        <v>95</v>
      </c>
      <c r="J10" s="27" t="s">
        <v>275</v>
      </c>
      <c r="K10" s="29" t="n">
        <v>46080</v>
      </c>
      <c r="L10" s="28" t="s">
        <v>90</v>
      </c>
      <c r="M10" s="32" t="s">
        <v>419</v>
      </c>
      <c r="N10" s="27" t="s">
        <v>275</v>
      </c>
      <c r="O10" s="29" t="n">
        <v>46085</v>
      </c>
      <c r="P10" s="28" t="s">
        <v>101</v>
      </c>
      <c r="Q10" s="32"/>
      <c r="R10" s="27" t="s">
        <v>275</v>
      </c>
      <c r="S10" s="29" t="n">
        <v>46100</v>
      </c>
      <c r="T10" s="28" t="s">
        <v>101</v>
      </c>
      <c r="U10" s="32"/>
      <c r="V10" s="27" t="s">
        <v>275</v>
      </c>
      <c r="W10" s="29" t="n">
        <v>46105</v>
      </c>
      <c r="X10" s="28" t="s">
        <v>101</v>
      </c>
      <c r="Y10" s="32"/>
      <c r="Z10" s="27" t="s">
        <v>275</v>
      </c>
      <c r="AA10" s="29" t="n">
        <v>46125</v>
      </c>
      <c r="AB10" s="28" t="s">
        <v>90</v>
      </c>
      <c r="AC10" s="32" t="s">
        <v>420</v>
      </c>
      <c r="AD10" s="27" t="s">
        <v>275</v>
      </c>
      <c r="AE10" s="29" t="n">
        <v>46132</v>
      </c>
      <c r="AF10" s="28" t="s">
        <v>90</v>
      </c>
      <c r="AG10" s="32"/>
      <c r="AH10" s="27" t="s">
        <v>275</v>
      </c>
      <c r="AI10" s="29" t="n">
        <v>46140</v>
      </c>
      <c r="AJ10" s="28" t="s">
        <v>101</v>
      </c>
      <c r="AK10" s="32"/>
      <c r="AL10" s="27" t="s">
        <v>275</v>
      </c>
      <c r="AM10" s="29" t="n">
        <v>46150</v>
      </c>
      <c r="AN10" s="28" t="s">
        <v>101</v>
      </c>
      <c r="AO10" s="32" t="s">
        <v>421</v>
      </c>
      <c r="AP10" s="27" t="s">
        <v>275</v>
      </c>
      <c r="AQ10" s="29" t="n">
        <v>46155</v>
      </c>
      <c r="AR10" s="28" t="s">
        <v>101</v>
      </c>
      <c r="AS10" s="32"/>
      <c r="AT10" s="27" t="s">
        <v>423</v>
      </c>
      <c r="AU10" s="29"/>
      <c r="AV10" s="28"/>
      <c r="AW10" s="32"/>
      <c r="AX10" s="27" t="s">
        <v>275</v>
      </c>
      <c r="AY10" s="29" t="n">
        <v>46175</v>
      </c>
      <c r="AZ10" s="28" t="s">
        <v>101</v>
      </c>
      <c r="BA10" s="32" t="s">
        <v>428</v>
      </c>
      <c r="BB10" s="27" t="s">
        <v>423</v>
      </c>
      <c r="BC10" s="29"/>
      <c r="BD10" s="28"/>
      <c r="BE10" s="32"/>
      <c r="BF10" s="27" t="s">
        <v>423</v>
      </c>
      <c r="BG10" s="29"/>
      <c r="BH10" s="28"/>
      <c r="BI10" s="32"/>
      <c r="BJ10" s="27" t="s">
        <v>423</v>
      </c>
      <c r="BK10" s="29"/>
      <c r="BL10" s="28"/>
      <c r="BM10" s="32"/>
    </row>
    <row r="11" customFormat="false" ht="15.75" hidden="false" customHeight="true" outlineLevel="0" collapsed="false">
      <c r="A11" s="27" t="s">
        <v>360</v>
      </c>
      <c r="B11" s="39" t="str">
        <f aca="false">IFERROR(INDEX(Customers!$C$4:$C$1003,MATCH($A11,Customers!$A$4:$A$1003,0)),"")</f>
        <v>Rustam Sattorov</v>
      </c>
      <c r="C11" s="31" t="str">
        <f aca="false">IFERROR(INDEX(Customers!$F$4:$F$1003,MATCH($A11,Customers!$A$4:$A$1003,0)),"")</f>
        <v>Poland</v>
      </c>
      <c r="D11" s="33" t="str">
        <f aca="false">IFERROR(INDEX(Customers!$K$4:$K$1003,MATCH($A11,Customers!$A$4:$A$1003,0)),"")</f>
        <v>Nilufar Karimova</v>
      </c>
      <c r="E11" s="33" t="str">
        <f aca="false">IF($A11="","",IF($F11=0,"Not Started",IF($BJ11="Completed",Settings!$U$45,IF($BF11="Completed",Settings!$U$44,IF($BB11="Completed",Settings!$U$43,IF($AX11="Completed",Settings!$U$42,IF($AT11="Completed",Settings!$U$41,IF($AP11="Completed",Settings!$U$40,IF($AL11="Completed",Settings!$U$39,IF($AH11="Completed",Settings!$U$38,IF($AD11="Completed",Settings!$U$37,IF($Z11="Completed",Settings!$U$36,IF($V11="Completed",Settings!$U$35,IF($R11="Completed",Settings!$U$34,IF($N11="Completed",Settings!$U$33,IF($J11="Completed",Settings!$U$32,""))))))))))))))))</f>
        <v>Visa Decision Pending</v>
      </c>
      <c r="F11" s="30" t="n">
        <f aca="false">IF($A11="","",COUNTIF($J11:$BM11,"Completed"))</f>
        <v>9</v>
      </c>
      <c r="G11" s="35" t="n">
        <f aca="false">IF($A11="","",MIN($F11/13,1))</f>
        <v>0.692307692307692</v>
      </c>
      <c r="H11" s="31" t="str">
        <f aca="false">IF($A11="","",IF($BJ11="Completed","Case Completed",IF($AX11="Completed","Visa Rejected",IF($BF11="Completed","Departed to Europe",IF($F11=0,"Not Started","In Progress")))))</f>
        <v>In Progress</v>
      </c>
      <c r="I11" s="30" t="n">
        <f aca="true">IF($K11="","",IF($BK11&lt;&gt;"",$BK11-$K11,IF($AY11&lt;&gt;"",$AY11-$K11,TODAY()-$K11)))</f>
        <v>139</v>
      </c>
      <c r="J11" s="27" t="s">
        <v>275</v>
      </c>
      <c r="K11" s="29" t="n">
        <v>46094</v>
      </c>
      <c r="L11" s="28" t="s">
        <v>67</v>
      </c>
      <c r="M11" s="32" t="s">
        <v>419</v>
      </c>
      <c r="N11" s="27" t="s">
        <v>275</v>
      </c>
      <c r="O11" s="29" t="n">
        <v>46099</v>
      </c>
      <c r="P11" s="28" t="s">
        <v>101</v>
      </c>
      <c r="Q11" s="32"/>
      <c r="R11" s="27" t="s">
        <v>275</v>
      </c>
      <c r="S11" s="29" t="n">
        <v>46114</v>
      </c>
      <c r="T11" s="28" t="s">
        <v>101</v>
      </c>
      <c r="U11" s="32"/>
      <c r="V11" s="27" t="s">
        <v>275</v>
      </c>
      <c r="W11" s="29" t="n">
        <v>46119</v>
      </c>
      <c r="X11" s="28" t="s">
        <v>101</v>
      </c>
      <c r="Y11" s="32"/>
      <c r="Z11" s="27" t="s">
        <v>275</v>
      </c>
      <c r="AA11" s="29" t="n">
        <v>46139</v>
      </c>
      <c r="AB11" s="28" t="s">
        <v>90</v>
      </c>
      <c r="AC11" s="32" t="s">
        <v>420</v>
      </c>
      <c r="AD11" s="27" t="s">
        <v>275</v>
      </c>
      <c r="AE11" s="29" t="n">
        <v>46146</v>
      </c>
      <c r="AF11" s="28" t="s">
        <v>90</v>
      </c>
      <c r="AG11" s="32"/>
      <c r="AH11" s="27" t="s">
        <v>275</v>
      </c>
      <c r="AI11" s="29" t="n">
        <v>46154</v>
      </c>
      <c r="AJ11" s="28" t="s">
        <v>101</v>
      </c>
      <c r="AK11" s="32"/>
      <c r="AL11" s="27" t="s">
        <v>275</v>
      </c>
      <c r="AM11" s="29" t="n">
        <v>46164</v>
      </c>
      <c r="AN11" s="28" t="s">
        <v>101</v>
      </c>
      <c r="AO11" s="32" t="s">
        <v>421</v>
      </c>
      <c r="AP11" s="27" t="s">
        <v>275</v>
      </c>
      <c r="AQ11" s="29" t="n">
        <v>46169</v>
      </c>
      <c r="AR11" s="28" t="s">
        <v>101</v>
      </c>
      <c r="AS11" s="32"/>
      <c r="AT11" s="27" t="s">
        <v>426</v>
      </c>
      <c r="AU11" s="29"/>
      <c r="AV11" s="28" t="s">
        <v>101</v>
      </c>
      <c r="AW11" s="32" t="s">
        <v>427</v>
      </c>
      <c r="AX11" s="27" t="s">
        <v>315</v>
      </c>
      <c r="AY11" s="29"/>
      <c r="AZ11" s="28"/>
      <c r="BA11" s="32"/>
      <c r="BB11" s="27" t="s">
        <v>315</v>
      </c>
      <c r="BC11" s="29"/>
      <c r="BD11" s="28"/>
      <c r="BE11" s="32"/>
      <c r="BF11" s="27" t="s">
        <v>315</v>
      </c>
      <c r="BG11" s="29"/>
      <c r="BH11" s="28"/>
      <c r="BI11" s="32"/>
      <c r="BJ11" s="27" t="s">
        <v>315</v>
      </c>
      <c r="BK11" s="29"/>
      <c r="BL11" s="28"/>
      <c r="BM11" s="32"/>
    </row>
    <row r="12" customFormat="false" ht="15.75" hidden="false" customHeight="true" outlineLevel="0" collapsed="false">
      <c r="A12" s="27" t="s">
        <v>362</v>
      </c>
      <c r="B12" s="39" t="str">
        <f aca="false">IFERROR(INDEX(Customers!$C$4:$C$1003,MATCH($A12,Customers!$A$4:$A$1003,0)),"")</f>
        <v>Dilnoza Aliyeva</v>
      </c>
      <c r="C12" s="31" t="str">
        <f aca="false">IFERROR(INDEX(Customers!$F$4:$F$1003,MATCH($A12,Customers!$A$4:$A$1003,0)),"")</f>
        <v>Lithuania</v>
      </c>
      <c r="D12" s="33" t="str">
        <f aca="false">IFERROR(INDEX(Customers!$K$4:$K$1003,MATCH($A12,Customers!$A$4:$A$1003,0)),"")</f>
        <v>Jamshed Sattorov</v>
      </c>
      <c r="E12" s="33" t="str">
        <f aca="false">IF($A12="","",IF($F12=0,"Not Started",IF($BJ12="Completed",Settings!$U$45,IF($BF12="Completed",Settings!$U$44,IF($BB12="Completed",Settings!$U$43,IF($AX12="Completed",Settings!$U$42,IF($AT12="Completed",Settings!$U$41,IF($AP12="Completed",Settings!$U$40,IF($AL12="Completed",Settings!$U$39,IF($AH12="Completed",Settings!$U$38,IF($AD12="Completed",Settings!$U$37,IF($Z12="Completed",Settings!$U$36,IF($V12="Completed",Settings!$U$35,IF($R12="Completed",Settings!$U$34,IF($N12="Completed",Settings!$U$33,IF($J12="Completed",Settings!$U$32,""))))))))))))))))</f>
        <v>Visa Application Submitted</v>
      </c>
      <c r="F12" s="30" t="n">
        <f aca="false">IF($A12="","",COUNTIF($J12:$BM12,"Completed"))</f>
        <v>8</v>
      </c>
      <c r="G12" s="35" t="n">
        <f aca="false">IF($A12="","",MIN($F12/13,1))</f>
        <v>0.615384615384615</v>
      </c>
      <c r="H12" s="31" t="str">
        <f aca="false">IF($A12="","",IF($BJ12="Completed","Case Completed",IF($AX12="Completed","Visa Rejected",IF($BF12="Completed","Departed to Europe",IF($F12=0,"Not Started","In Progress")))))</f>
        <v>In Progress</v>
      </c>
      <c r="I12" s="30" t="n">
        <f aca="true">IF($K12="","",IF($BK12&lt;&gt;"",$BK12-$K12,IF($AY12&lt;&gt;"",$AY12-$K12,TODAY()-$K12)))</f>
        <v>132</v>
      </c>
      <c r="J12" s="27" t="s">
        <v>275</v>
      </c>
      <c r="K12" s="29" t="n">
        <v>46101</v>
      </c>
      <c r="L12" s="28" t="s">
        <v>79</v>
      </c>
      <c r="M12" s="32" t="s">
        <v>419</v>
      </c>
      <c r="N12" s="27" t="s">
        <v>275</v>
      </c>
      <c r="O12" s="29" t="n">
        <v>46106</v>
      </c>
      <c r="P12" s="28" t="s">
        <v>101</v>
      </c>
      <c r="Q12" s="32"/>
      <c r="R12" s="27" t="s">
        <v>275</v>
      </c>
      <c r="S12" s="29" t="n">
        <v>46121</v>
      </c>
      <c r="T12" s="28" t="s">
        <v>101</v>
      </c>
      <c r="U12" s="32"/>
      <c r="V12" s="27" t="s">
        <v>275</v>
      </c>
      <c r="W12" s="29" t="n">
        <v>46126</v>
      </c>
      <c r="X12" s="28" t="s">
        <v>101</v>
      </c>
      <c r="Y12" s="32"/>
      <c r="Z12" s="27" t="s">
        <v>275</v>
      </c>
      <c r="AA12" s="29" t="n">
        <v>46146</v>
      </c>
      <c r="AB12" s="28" t="s">
        <v>90</v>
      </c>
      <c r="AC12" s="32" t="s">
        <v>420</v>
      </c>
      <c r="AD12" s="27" t="s">
        <v>275</v>
      </c>
      <c r="AE12" s="29" t="n">
        <v>46153</v>
      </c>
      <c r="AF12" s="28" t="s">
        <v>90</v>
      </c>
      <c r="AG12" s="32"/>
      <c r="AH12" s="27" t="s">
        <v>275</v>
      </c>
      <c r="AI12" s="29" t="n">
        <v>46161</v>
      </c>
      <c r="AJ12" s="28" t="s">
        <v>101</v>
      </c>
      <c r="AK12" s="32"/>
      <c r="AL12" s="27" t="s">
        <v>275</v>
      </c>
      <c r="AM12" s="29" t="n">
        <v>46171</v>
      </c>
      <c r="AN12" s="28" t="s">
        <v>101</v>
      </c>
      <c r="AO12" s="32" t="s">
        <v>421</v>
      </c>
      <c r="AP12" s="27" t="s">
        <v>426</v>
      </c>
      <c r="AQ12" s="29"/>
      <c r="AR12" s="28" t="s">
        <v>101</v>
      </c>
      <c r="AS12" s="32" t="s">
        <v>427</v>
      </c>
      <c r="AT12" s="27" t="s">
        <v>315</v>
      </c>
      <c r="AU12" s="29"/>
      <c r="AV12" s="28"/>
      <c r="AW12" s="32"/>
      <c r="AX12" s="27" t="s">
        <v>315</v>
      </c>
      <c r="AY12" s="29"/>
      <c r="AZ12" s="28"/>
      <c r="BA12" s="32"/>
      <c r="BB12" s="27" t="s">
        <v>315</v>
      </c>
      <c r="BC12" s="29"/>
      <c r="BD12" s="28"/>
      <c r="BE12" s="32"/>
      <c r="BF12" s="27" t="s">
        <v>315</v>
      </c>
      <c r="BG12" s="29"/>
      <c r="BH12" s="28"/>
      <c r="BI12" s="32"/>
      <c r="BJ12" s="27" t="s">
        <v>315</v>
      </c>
      <c r="BK12" s="29"/>
      <c r="BL12" s="28"/>
      <c r="BM12" s="32"/>
    </row>
    <row r="13" customFormat="false" ht="15.75" hidden="false" customHeight="true" outlineLevel="0" collapsed="false">
      <c r="A13" s="27" t="s">
        <v>365</v>
      </c>
      <c r="B13" s="39" t="str">
        <f aca="false">IFERROR(INDEX(Customers!$C$4:$C$1003,MATCH($A13,Customers!$A$4:$A$1003,0)),"")</f>
        <v>Sherali Yusupov</v>
      </c>
      <c r="C13" s="31" t="str">
        <f aca="false">IFERROR(INDEX(Customers!$F$4:$F$1003,MATCH($A13,Customers!$A$4:$A$1003,0)),"")</f>
        <v>Czech Republic</v>
      </c>
      <c r="D13" s="33" t="str">
        <f aca="false">IFERROR(INDEX(Customers!$K$4:$K$1003,MATCH($A13,Customers!$A$4:$A$1003,0)),"")</f>
        <v>Dilnoza Aliyeva</v>
      </c>
      <c r="E13" s="33" t="str">
        <f aca="false">IF($A13="","",IF($F13=0,"Not Started",IF($BJ13="Completed",Settings!$U$45,IF($BF13="Completed",Settings!$U$44,IF($BB13="Completed",Settings!$U$43,IF($AX13="Completed",Settings!$U$42,IF($AT13="Completed",Settings!$U$41,IF($AP13="Completed",Settings!$U$40,IF($AL13="Completed",Settings!$U$39,IF($AH13="Completed",Settings!$U$38,IF($AD13="Completed",Settings!$U$37,IF($Z13="Completed",Settings!$U$36,IF($V13="Completed",Settings!$U$35,IF($R13="Completed",Settings!$U$34,IF($N13="Completed",Settings!$U$33,IF($J13="Completed",Settings!$U$32,""))))))))))))))))</f>
        <v>Embassy Appointment Booked</v>
      </c>
      <c r="F13" s="30" t="n">
        <f aca="false">IF($A13="","",COUNTIF($J13:$BM13,"Completed"))</f>
        <v>7</v>
      </c>
      <c r="G13" s="35" t="n">
        <f aca="false">IF($A13="","",MIN($F13/13,1))</f>
        <v>0.538461538461538</v>
      </c>
      <c r="H13" s="31" t="str">
        <f aca="false">IF($A13="","",IF($BJ13="Completed","Case Completed",IF($AX13="Completed","Visa Rejected",IF($BF13="Completed","Departed to Europe",IF($F13=0,"Not Started","In Progress")))))</f>
        <v>In Progress</v>
      </c>
      <c r="I13" s="30" t="n">
        <f aca="true">IF($K13="","",IF($BK13&lt;&gt;"",$BK13-$K13,IF($AY13&lt;&gt;"",$AY13-$K13,TODAY()-$K13)))</f>
        <v>125</v>
      </c>
      <c r="J13" s="27" t="s">
        <v>275</v>
      </c>
      <c r="K13" s="29" t="n">
        <v>46108</v>
      </c>
      <c r="L13" s="28" t="s">
        <v>90</v>
      </c>
      <c r="M13" s="32" t="s">
        <v>419</v>
      </c>
      <c r="N13" s="27" t="s">
        <v>275</v>
      </c>
      <c r="O13" s="29" t="n">
        <v>46113</v>
      </c>
      <c r="P13" s="28" t="s">
        <v>101</v>
      </c>
      <c r="Q13" s="32"/>
      <c r="R13" s="27" t="s">
        <v>275</v>
      </c>
      <c r="S13" s="29" t="n">
        <v>46128</v>
      </c>
      <c r="T13" s="28" t="s">
        <v>101</v>
      </c>
      <c r="U13" s="32"/>
      <c r="V13" s="27" t="s">
        <v>275</v>
      </c>
      <c r="W13" s="29" t="n">
        <v>46133</v>
      </c>
      <c r="X13" s="28" t="s">
        <v>101</v>
      </c>
      <c r="Y13" s="32"/>
      <c r="Z13" s="27" t="s">
        <v>275</v>
      </c>
      <c r="AA13" s="29" t="n">
        <v>46153</v>
      </c>
      <c r="AB13" s="28" t="s">
        <v>90</v>
      </c>
      <c r="AC13" s="32" t="s">
        <v>420</v>
      </c>
      <c r="AD13" s="27" t="s">
        <v>275</v>
      </c>
      <c r="AE13" s="29" t="n">
        <v>46160</v>
      </c>
      <c r="AF13" s="28" t="s">
        <v>90</v>
      </c>
      <c r="AG13" s="32"/>
      <c r="AH13" s="27" t="s">
        <v>275</v>
      </c>
      <c r="AI13" s="29" t="n">
        <v>46168</v>
      </c>
      <c r="AJ13" s="28" t="s">
        <v>101</v>
      </c>
      <c r="AK13" s="32"/>
      <c r="AL13" s="27" t="s">
        <v>426</v>
      </c>
      <c r="AM13" s="29"/>
      <c r="AN13" s="28" t="s">
        <v>101</v>
      </c>
      <c r="AO13" s="32" t="s">
        <v>427</v>
      </c>
      <c r="AP13" s="27" t="s">
        <v>315</v>
      </c>
      <c r="AQ13" s="29"/>
      <c r="AR13" s="28"/>
      <c r="AS13" s="32"/>
      <c r="AT13" s="27" t="s">
        <v>315</v>
      </c>
      <c r="AU13" s="29"/>
      <c r="AV13" s="28"/>
      <c r="AW13" s="32"/>
      <c r="AX13" s="27" t="s">
        <v>315</v>
      </c>
      <c r="AY13" s="29"/>
      <c r="AZ13" s="28"/>
      <c r="BA13" s="32"/>
      <c r="BB13" s="27" t="s">
        <v>315</v>
      </c>
      <c r="BC13" s="29"/>
      <c r="BD13" s="28"/>
      <c r="BE13" s="32"/>
      <c r="BF13" s="27" t="s">
        <v>315</v>
      </c>
      <c r="BG13" s="29"/>
      <c r="BH13" s="28"/>
      <c r="BI13" s="32"/>
      <c r="BJ13" s="27" t="s">
        <v>315</v>
      </c>
      <c r="BK13" s="29"/>
      <c r="BL13" s="28"/>
      <c r="BM13" s="32"/>
    </row>
    <row r="14" customFormat="false" ht="15.75" hidden="false" customHeight="true" outlineLevel="0" collapsed="false">
      <c r="A14" s="27" t="s">
        <v>368</v>
      </c>
      <c r="B14" s="39" t="str">
        <f aca="false">IFERROR(INDEX(Customers!$C$4:$C$1003,MATCH($A14,Customers!$A$4:$A$1003,0)),"")</f>
        <v>Malika Ismoilova</v>
      </c>
      <c r="C14" s="31" t="str">
        <f aca="false">IFERROR(INDEX(Customers!$F$4:$F$1003,MATCH($A14,Customers!$A$4:$A$1003,0)),"")</f>
        <v>Poland</v>
      </c>
      <c r="D14" s="33" t="str">
        <f aca="false">IFERROR(INDEX(Customers!$K$4:$K$1003,MATCH($A14,Customers!$A$4:$A$1003,0)),"")</f>
        <v>Nilufar Karimova</v>
      </c>
      <c r="E14" s="33" t="str">
        <f aca="false">IF($A14="","",IF($F14=0,"Not Started",IF($BJ14="Completed",Settings!$U$45,IF($BF14="Completed",Settings!$U$44,IF($BB14="Completed",Settings!$U$43,IF($AX14="Completed",Settings!$U$42,IF($AT14="Completed",Settings!$U$41,IF($AP14="Completed",Settings!$U$40,IF($AL14="Completed",Settings!$U$39,IF($AH14="Completed",Settings!$U$38,IF($AD14="Completed",Settings!$U$37,IF($Z14="Completed",Settings!$U$36,IF($V14="Completed",Settings!$U$35,IF($R14="Completed",Settings!$U$34,IF($N14="Completed",Settings!$U$33,IF($J14="Completed",Settings!$U$32,""))))))))))))))))</f>
        <v>Employment Contract Issued</v>
      </c>
      <c r="F14" s="30" t="n">
        <f aca="false">IF($A14="","",COUNTIF($J14:$BM14,"Completed"))</f>
        <v>6</v>
      </c>
      <c r="G14" s="35" t="n">
        <f aca="false">IF($A14="","",MIN($F14/13,1))</f>
        <v>0.461538461538462</v>
      </c>
      <c r="H14" s="31" t="str">
        <f aca="false">IF($A14="","",IF($BJ14="Completed","Case Completed",IF($AX14="Completed","Visa Rejected",IF($BF14="Completed","Departed to Europe",IF($F14=0,"Not Started","In Progress")))))</f>
        <v>In Progress</v>
      </c>
      <c r="I14" s="30" t="n">
        <f aca="true">IF($K14="","",IF($BK14&lt;&gt;"",$BK14-$K14,IF($AY14&lt;&gt;"",$AY14-$K14,TODAY()-$K14)))</f>
        <v>110</v>
      </c>
      <c r="J14" s="27" t="s">
        <v>275</v>
      </c>
      <c r="K14" s="29" t="n">
        <v>46123</v>
      </c>
      <c r="L14" s="28" t="s">
        <v>67</v>
      </c>
      <c r="M14" s="32" t="s">
        <v>419</v>
      </c>
      <c r="N14" s="27" t="s">
        <v>275</v>
      </c>
      <c r="O14" s="29" t="n">
        <v>46128</v>
      </c>
      <c r="P14" s="28" t="s">
        <v>101</v>
      </c>
      <c r="Q14" s="32"/>
      <c r="R14" s="27" t="s">
        <v>275</v>
      </c>
      <c r="S14" s="29" t="n">
        <v>46143</v>
      </c>
      <c r="T14" s="28" t="s">
        <v>101</v>
      </c>
      <c r="U14" s="32"/>
      <c r="V14" s="27" t="s">
        <v>275</v>
      </c>
      <c r="W14" s="29" t="n">
        <v>46148</v>
      </c>
      <c r="X14" s="28" t="s">
        <v>101</v>
      </c>
      <c r="Y14" s="32"/>
      <c r="Z14" s="27" t="s">
        <v>275</v>
      </c>
      <c r="AA14" s="29" t="n">
        <v>46168</v>
      </c>
      <c r="AB14" s="28" t="s">
        <v>90</v>
      </c>
      <c r="AC14" s="32" t="s">
        <v>420</v>
      </c>
      <c r="AD14" s="27" t="s">
        <v>275</v>
      </c>
      <c r="AE14" s="29" t="n">
        <v>46175</v>
      </c>
      <c r="AF14" s="28" t="s">
        <v>90</v>
      </c>
      <c r="AG14" s="32"/>
      <c r="AH14" s="27" t="s">
        <v>426</v>
      </c>
      <c r="AI14" s="29"/>
      <c r="AJ14" s="28" t="s">
        <v>101</v>
      </c>
      <c r="AK14" s="32" t="s">
        <v>427</v>
      </c>
      <c r="AL14" s="27" t="s">
        <v>315</v>
      </c>
      <c r="AM14" s="29"/>
      <c r="AN14" s="28"/>
      <c r="AO14" s="32"/>
      <c r="AP14" s="27" t="s">
        <v>315</v>
      </c>
      <c r="AQ14" s="29"/>
      <c r="AR14" s="28"/>
      <c r="AS14" s="32"/>
      <c r="AT14" s="27" t="s">
        <v>315</v>
      </c>
      <c r="AU14" s="29"/>
      <c r="AV14" s="28"/>
      <c r="AW14" s="32"/>
      <c r="AX14" s="27" t="s">
        <v>315</v>
      </c>
      <c r="AY14" s="29"/>
      <c r="AZ14" s="28"/>
      <c r="BA14" s="32"/>
      <c r="BB14" s="27" t="s">
        <v>315</v>
      </c>
      <c r="BC14" s="29"/>
      <c r="BD14" s="28"/>
      <c r="BE14" s="32"/>
      <c r="BF14" s="27" t="s">
        <v>315</v>
      </c>
      <c r="BG14" s="29"/>
      <c r="BH14" s="28"/>
      <c r="BI14" s="32"/>
      <c r="BJ14" s="27" t="s">
        <v>315</v>
      </c>
      <c r="BK14" s="29"/>
      <c r="BL14" s="28"/>
      <c r="BM14" s="32"/>
    </row>
    <row r="15" customFormat="false" ht="15.75" hidden="false" customHeight="true" outlineLevel="0" collapsed="false">
      <c r="A15" s="27" t="s">
        <v>370</v>
      </c>
      <c r="B15" s="39" t="str">
        <f aca="false">IFERROR(INDEX(Customers!$C$4:$C$1003,MATCH($A15,Customers!$A$4:$A$1003,0)),"")</f>
        <v>Farrukh Davlatov</v>
      </c>
      <c r="C15" s="31" t="str">
        <f aca="false">IFERROR(INDEX(Customers!$F$4:$F$1003,MATCH($A15,Customers!$A$4:$A$1003,0)),"")</f>
        <v>Hungary</v>
      </c>
      <c r="D15" s="33" t="str">
        <f aca="false">IFERROR(INDEX(Customers!$K$4:$K$1003,MATCH($A15,Customers!$A$4:$A$1003,0)),"")</f>
        <v>Jamshed Sattorov</v>
      </c>
      <c r="E15" s="33" t="str">
        <f aca="false">IF($A15="","",IF($F15=0,"Not Started",IF($BJ15="Completed",Settings!$U$45,IF($BF15="Completed",Settings!$U$44,IF($BB15="Completed",Settings!$U$43,IF($AX15="Completed",Settings!$U$42,IF($AT15="Completed",Settings!$U$41,IF($AP15="Completed",Settings!$U$40,IF($AL15="Completed",Settings!$U$39,IF($AH15="Completed",Settings!$U$38,IF($AD15="Completed",Settings!$U$37,IF($Z15="Completed",Settings!$U$36,IF($V15="Completed",Settings!$U$35,IF($R15="Completed",Settings!$U$34,IF($N15="Completed",Settings!$U$33,IF($J15="Completed",Settings!$U$32,""))))))))))))))))</f>
        <v>Documents Sent to Employer</v>
      </c>
      <c r="F15" s="30" t="n">
        <f aca="false">IF($A15="","",COUNTIF($J15:$BM15,"Completed"))</f>
        <v>4</v>
      </c>
      <c r="G15" s="35" t="n">
        <f aca="false">IF($A15="","",MIN($F15/13,1))</f>
        <v>0.307692307692308</v>
      </c>
      <c r="H15" s="31" t="str">
        <f aca="false">IF($A15="","",IF($BJ15="Completed","Case Completed",IF($AX15="Completed","Visa Rejected",IF($BF15="Completed","Departed to Europe",IF($F15=0,"Not Started","In Progress")))))</f>
        <v>In Progress</v>
      </c>
      <c r="I15" s="30" t="n">
        <f aca="true">IF($K15="","",IF($BK15&lt;&gt;"",$BK15-$K15,IF($AY15&lt;&gt;"",$AY15-$K15,TODAY()-$K15)))</f>
        <v>118</v>
      </c>
      <c r="J15" s="27" t="s">
        <v>275</v>
      </c>
      <c r="K15" s="29" t="n">
        <v>46115</v>
      </c>
      <c r="L15" s="28" t="s">
        <v>79</v>
      </c>
      <c r="M15" s="32" t="s">
        <v>419</v>
      </c>
      <c r="N15" s="27" t="s">
        <v>275</v>
      </c>
      <c r="O15" s="29" t="n">
        <v>46120</v>
      </c>
      <c r="P15" s="28" t="s">
        <v>101</v>
      </c>
      <c r="Q15" s="32"/>
      <c r="R15" s="27" t="s">
        <v>275</v>
      </c>
      <c r="S15" s="29" t="n">
        <v>46135</v>
      </c>
      <c r="T15" s="28" t="s">
        <v>101</v>
      </c>
      <c r="U15" s="32"/>
      <c r="V15" s="27" t="s">
        <v>275</v>
      </c>
      <c r="W15" s="29" t="n">
        <v>46140</v>
      </c>
      <c r="X15" s="28" t="s">
        <v>101</v>
      </c>
      <c r="Y15" s="32"/>
      <c r="Z15" s="27" t="s">
        <v>426</v>
      </c>
      <c r="AA15" s="29"/>
      <c r="AB15" s="28" t="s">
        <v>90</v>
      </c>
      <c r="AC15" s="32" t="s">
        <v>427</v>
      </c>
      <c r="AD15" s="27" t="s">
        <v>315</v>
      </c>
      <c r="AE15" s="29"/>
      <c r="AF15" s="28"/>
      <c r="AG15" s="32"/>
      <c r="AH15" s="27" t="s">
        <v>315</v>
      </c>
      <c r="AI15" s="29"/>
      <c r="AJ15" s="28"/>
      <c r="AK15" s="32"/>
      <c r="AL15" s="27" t="s">
        <v>315</v>
      </c>
      <c r="AM15" s="29"/>
      <c r="AN15" s="28"/>
      <c r="AO15" s="32"/>
      <c r="AP15" s="27" t="s">
        <v>315</v>
      </c>
      <c r="AQ15" s="29"/>
      <c r="AR15" s="28"/>
      <c r="AS15" s="32"/>
      <c r="AT15" s="27" t="s">
        <v>315</v>
      </c>
      <c r="AU15" s="29"/>
      <c r="AV15" s="28"/>
      <c r="AW15" s="32"/>
      <c r="AX15" s="27" t="s">
        <v>315</v>
      </c>
      <c r="AY15" s="29"/>
      <c r="AZ15" s="28"/>
      <c r="BA15" s="32"/>
      <c r="BB15" s="27" t="s">
        <v>315</v>
      </c>
      <c r="BC15" s="29"/>
      <c r="BD15" s="28"/>
      <c r="BE15" s="32"/>
      <c r="BF15" s="27" t="s">
        <v>315</v>
      </c>
      <c r="BG15" s="29"/>
      <c r="BH15" s="28"/>
      <c r="BI15" s="32"/>
      <c r="BJ15" s="27" t="s">
        <v>315</v>
      </c>
      <c r="BK15" s="29"/>
      <c r="BL15" s="28"/>
      <c r="BM15" s="32"/>
    </row>
    <row r="16" customFormat="false" ht="15.75" hidden="false" customHeight="true" outlineLevel="0" collapsed="false">
      <c r="A16" s="27" t="s">
        <v>374</v>
      </c>
      <c r="B16" s="39" t="str">
        <f aca="false">IFERROR(INDEX(Customers!$C$4:$C$1003,MATCH($A16,Customers!$A$4:$A$1003,0)),"")</f>
        <v>Gulnora Safarova</v>
      </c>
      <c r="C16" s="31" t="str">
        <f aca="false">IFERROR(INDEX(Customers!$F$4:$F$1003,MATCH($A16,Customers!$A$4:$A$1003,0)),"")</f>
        <v>Romania</v>
      </c>
      <c r="D16" s="33" t="str">
        <f aca="false">IFERROR(INDEX(Customers!$K$4:$K$1003,MATCH($A16,Customers!$A$4:$A$1003,0)),"")</f>
        <v>Dilnoza Aliyeva</v>
      </c>
      <c r="E16" s="33" t="str">
        <f aca="false">IF($A16="","",IF($F16=0,"Not Started",IF($BJ16="Completed",Settings!$U$45,IF($BF16="Completed",Settings!$U$44,IF($BB16="Completed",Settings!$U$43,IF($AX16="Completed",Settings!$U$42,IF($AT16="Completed",Settings!$U$41,IF($AP16="Completed",Settings!$U$40,IF($AL16="Completed",Settings!$U$39,IF($AH16="Completed",Settings!$U$38,IF($AD16="Completed",Settings!$U$37,IF($Z16="Completed",Settings!$U$36,IF($V16="Completed",Settings!$U$35,IF($R16="Completed",Settings!$U$34,IF($N16="Completed",Settings!$U$33,IF($J16="Completed",Settings!$U$32,""))))))))))))))))</f>
        <v>Documents Being Prepared</v>
      </c>
      <c r="F16" s="30" t="n">
        <f aca="false">IF($A16="","",COUNTIF($J16:$BM16,"Completed"))</f>
        <v>2</v>
      </c>
      <c r="G16" s="35" t="n">
        <f aca="false">IF($A16="","",MIN($F16/13,1))</f>
        <v>0.153846153846154</v>
      </c>
      <c r="H16" s="31" t="str">
        <f aca="false">IF($A16="","",IF($BJ16="Completed","Case Completed",IF($AX16="Completed","Visa Rejected",IF($BF16="Completed","Departed to Europe",IF($F16=0,"Not Started","In Progress")))))</f>
        <v>In Progress</v>
      </c>
      <c r="I16" s="30" t="n">
        <f aca="true">IF($K16="","",IF($BK16&lt;&gt;"",$BK16-$K16,IF($AY16&lt;&gt;"",$AY16-$K16,TODAY()-$K16)))</f>
        <v>103</v>
      </c>
      <c r="J16" s="27" t="s">
        <v>275</v>
      </c>
      <c r="K16" s="29" t="n">
        <v>46130</v>
      </c>
      <c r="L16" s="28" t="s">
        <v>90</v>
      </c>
      <c r="M16" s="32" t="s">
        <v>419</v>
      </c>
      <c r="N16" s="27" t="s">
        <v>275</v>
      </c>
      <c r="O16" s="29" t="n">
        <v>46135</v>
      </c>
      <c r="P16" s="28" t="s">
        <v>101</v>
      </c>
      <c r="Q16" s="32"/>
      <c r="R16" s="27" t="s">
        <v>426</v>
      </c>
      <c r="S16" s="29"/>
      <c r="T16" s="28" t="s">
        <v>101</v>
      </c>
      <c r="U16" s="32" t="s">
        <v>427</v>
      </c>
      <c r="V16" s="27" t="s">
        <v>315</v>
      </c>
      <c r="W16" s="29"/>
      <c r="X16" s="28"/>
      <c r="Y16" s="32"/>
      <c r="Z16" s="27" t="s">
        <v>315</v>
      </c>
      <c r="AA16" s="29"/>
      <c r="AB16" s="28"/>
      <c r="AC16" s="32"/>
      <c r="AD16" s="27" t="s">
        <v>315</v>
      </c>
      <c r="AE16" s="29"/>
      <c r="AF16" s="28"/>
      <c r="AG16" s="32"/>
      <c r="AH16" s="27" t="s">
        <v>315</v>
      </c>
      <c r="AI16" s="29"/>
      <c r="AJ16" s="28"/>
      <c r="AK16" s="32"/>
      <c r="AL16" s="27" t="s">
        <v>315</v>
      </c>
      <c r="AM16" s="29"/>
      <c r="AN16" s="28"/>
      <c r="AO16" s="32"/>
      <c r="AP16" s="27" t="s">
        <v>315</v>
      </c>
      <c r="AQ16" s="29"/>
      <c r="AR16" s="28"/>
      <c r="AS16" s="32"/>
      <c r="AT16" s="27" t="s">
        <v>315</v>
      </c>
      <c r="AU16" s="29"/>
      <c r="AV16" s="28"/>
      <c r="AW16" s="32"/>
      <c r="AX16" s="27" t="s">
        <v>315</v>
      </c>
      <c r="AY16" s="29"/>
      <c r="AZ16" s="28"/>
      <c r="BA16" s="32"/>
      <c r="BB16" s="27" t="s">
        <v>315</v>
      </c>
      <c r="BC16" s="29"/>
      <c r="BD16" s="28"/>
      <c r="BE16" s="32"/>
      <c r="BF16" s="27" t="s">
        <v>315</v>
      </c>
      <c r="BG16" s="29"/>
      <c r="BH16" s="28"/>
      <c r="BI16" s="32"/>
      <c r="BJ16" s="27" t="s">
        <v>315</v>
      </c>
      <c r="BK16" s="29"/>
      <c r="BL16" s="28"/>
      <c r="BM16" s="32"/>
    </row>
    <row r="17" customFormat="false" ht="15.75" hidden="false" customHeight="true" outlineLevel="0" collapsed="false">
      <c r="A17" s="27"/>
      <c r="B17" s="39" t="str">
        <f aca="false">IFERROR(INDEX(Customers!$C$4:$C$1003,MATCH($A17,Customers!$A$4:$A$1003,0)),"")</f>
        <v/>
      </c>
      <c r="C17" s="31" t="str">
        <f aca="false">IFERROR(INDEX(Customers!$F$4:$F$1003,MATCH($A17,Customers!$A$4:$A$1003,0)),"")</f>
        <v/>
      </c>
      <c r="D17" s="33" t="str">
        <f aca="false">IFERROR(INDEX(Customers!$K$4:$K$1003,MATCH($A17,Customers!$A$4:$A$1003,0)),"")</f>
        <v/>
      </c>
      <c r="E17" s="33" t="str">
        <f aca="false">IF($A17="","",IF($F17=0,"Not Started",IF($BJ17="Completed",Settings!$U$45,IF($BF17="Completed",Settings!$U$44,IF($BB17="Completed",Settings!$U$43,IF($AX17="Completed",Settings!$U$42,IF($AT17="Completed",Settings!$U$41,IF($AP17="Completed",Settings!$U$40,IF($AL17="Completed",Settings!$U$39,IF($AH17="Completed",Settings!$U$38,IF($AD17="Completed",Settings!$U$37,IF($Z17="Completed",Settings!$U$36,IF($V17="Completed",Settings!$U$35,IF($R17="Completed",Settings!$U$34,IF($N17="Completed",Settings!$U$33,IF($J17="Completed",Settings!$U$32,""))))))))))))))))</f>
        <v/>
      </c>
      <c r="F17" s="30" t="str">
        <f aca="false">IF($A17="","",COUNTIF($J17:$BM17,"Completed"))</f>
        <v/>
      </c>
      <c r="G17" s="35" t="str">
        <f aca="false">IF($A17="","",MIN($F17/13,1))</f>
        <v/>
      </c>
      <c r="H17" s="31" t="str">
        <f aca="false">IF($A17="","",IF($BJ17="Completed","Case Completed",IF($AX17="Completed","Visa Rejected",IF($BF17="Completed","Departed to Europe",IF($F17=0,"Not Started","In Progress")))))</f>
        <v/>
      </c>
      <c r="I17" s="30" t="str">
        <f aca="true">IF($K17="","",IF($BK17&lt;&gt;"",$BK17-$K17,IF($AY17&lt;&gt;"",$AY17-$K17,TODAY()-$K17)))</f>
        <v/>
      </c>
      <c r="J17" s="27"/>
      <c r="K17" s="29"/>
      <c r="L17" s="28"/>
      <c r="M17" s="32"/>
      <c r="N17" s="27"/>
      <c r="O17" s="29"/>
      <c r="P17" s="28"/>
      <c r="Q17" s="32"/>
      <c r="R17" s="27"/>
      <c r="S17" s="29"/>
      <c r="T17" s="28"/>
      <c r="U17" s="32"/>
      <c r="V17" s="27"/>
      <c r="W17" s="29"/>
      <c r="X17" s="28"/>
      <c r="Y17" s="32"/>
      <c r="Z17" s="27"/>
      <c r="AA17" s="29"/>
      <c r="AB17" s="28"/>
      <c r="AC17" s="32"/>
      <c r="AD17" s="27"/>
      <c r="AE17" s="29"/>
      <c r="AF17" s="28"/>
      <c r="AG17" s="32"/>
      <c r="AH17" s="27"/>
      <c r="AI17" s="29"/>
      <c r="AJ17" s="28"/>
      <c r="AK17" s="32"/>
      <c r="AL17" s="27"/>
      <c r="AM17" s="29"/>
      <c r="AN17" s="28"/>
      <c r="AO17" s="32"/>
      <c r="AP17" s="27"/>
      <c r="AQ17" s="29"/>
      <c r="AR17" s="28"/>
      <c r="AS17" s="32"/>
      <c r="AT17" s="27"/>
      <c r="AU17" s="29"/>
      <c r="AV17" s="28"/>
      <c r="AW17" s="32"/>
      <c r="AX17" s="27"/>
      <c r="AY17" s="29"/>
      <c r="AZ17" s="28"/>
      <c r="BA17" s="32"/>
      <c r="BB17" s="27"/>
      <c r="BC17" s="29"/>
      <c r="BD17" s="28"/>
      <c r="BE17" s="32"/>
      <c r="BF17" s="27"/>
      <c r="BG17" s="29"/>
      <c r="BH17" s="28"/>
      <c r="BI17" s="32"/>
      <c r="BJ17" s="27"/>
      <c r="BK17" s="29"/>
      <c r="BL17" s="28"/>
      <c r="BM17" s="32"/>
    </row>
    <row r="18" customFormat="false" ht="15.75" hidden="false" customHeight="true" outlineLevel="0" collapsed="false">
      <c r="A18" s="27"/>
      <c r="B18" s="39" t="str">
        <f aca="false">IFERROR(INDEX(Customers!$C$4:$C$1003,MATCH($A18,Customers!$A$4:$A$1003,0)),"")</f>
        <v/>
      </c>
      <c r="C18" s="31" t="str">
        <f aca="false">IFERROR(INDEX(Customers!$F$4:$F$1003,MATCH($A18,Customers!$A$4:$A$1003,0)),"")</f>
        <v/>
      </c>
      <c r="D18" s="33" t="str">
        <f aca="false">IFERROR(INDEX(Customers!$K$4:$K$1003,MATCH($A18,Customers!$A$4:$A$1003,0)),"")</f>
        <v/>
      </c>
      <c r="E18" s="33" t="str">
        <f aca="false">IF($A18="","",IF($F18=0,"Not Started",IF($BJ18="Completed",Settings!$U$45,IF($BF18="Completed",Settings!$U$44,IF($BB18="Completed",Settings!$U$43,IF($AX18="Completed",Settings!$U$42,IF($AT18="Completed",Settings!$U$41,IF($AP18="Completed",Settings!$U$40,IF($AL18="Completed",Settings!$U$39,IF($AH18="Completed",Settings!$U$38,IF($AD18="Completed",Settings!$U$37,IF($Z18="Completed",Settings!$U$36,IF($V18="Completed",Settings!$U$35,IF($R18="Completed",Settings!$U$34,IF($N18="Completed",Settings!$U$33,IF($J18="Completed",Settings!$U$32,""))))))))))))))))</f>
        <v/>
      </c>
      <c r="F18" s="30" t="str">
        <f aca="false">IF($A18="","",COUNTIF($J18:$BM18,"Completed"))</f>
        <v/>
      </c>
      <c r="G18" s="35" t="str">
        <f aca="false">IF($A18="","",MIN($F18/13,1))</f>
        <v/>
      </c>
      <c r="H18" s="31" t="str">
        <f aca="false">IF($A18="","",IF($BJ18="Completed","Case Completed",IF($AX18="Completed","Visa Rejected",IF($BF18="Completed","Departed to Europe",IF($F18=0,"Not Started","In Progress")))))</f>
        <v/>
      </c>
      <c r="I18" s="30" t="str">
        <f aca="true">IF($K18="","",IF($BK18&lt;&gt;"",$BK18-$K18,IF($AY18&lt;&gt;"",$AY18-$K18,TODAY()-$K18)))</f>
        <v/>
      </c>
      <c r="J18" s="27"/>
      <c r="K18" s="29"/>
      <c r="L18" s="28"/>
      <c r="M18" s="32"/>
      <c r="N18" s="27"/>
      <c r="O18" s="29"/>
      <c r="P18" s="28"/>
      <c r="Q18" s="32"/>
      <c r="R18" s="27"/>
      <c r="S18" s="29"/>
      <c r="T18" s="28"/>
      <c r="U18" s="32"/>
      <c r="V18" s="27"/>
      <c r="W18" s="29"/>
      <c r="X18" s="28"/>
      <c r="Y18" s="32"/>
      <c r="Z18" s="27"/>
      <c r="AA18" s="29"/>
      <c r="AB18" s="28"/>
      <c r="AC18" s="32"/>
      <c r="AD18" s="27"/>
      <c r="AE18" s="29"/>
      <c r="AF18" s="28"/>
      <c r="AG18" s="32"/>
      <c r="AH18" s="27"/>
      <c r="AI18" s="29"/>
      <c r="AJ18" s="28"/>
      <c r="AK18" s="32"/>
      <c r="AL18" s="27"/>
      <c r="AM18" s="29"/>
      <c r="AN18" s="28"/>
      <c r="AO18" s="32"/>
      <c r="AP18" s="27"/>
      <c r="AQ18" s="29"/>
      <c r="AR18" s="28"/>
      <c r="AS18" s="32"/>
      <c r="AT18" s="27"/>
      <c r="AU18" s="29"/>
      <c r="AV18" s="28"/>
      <c r="AW18" s="32"/>
      <c r="AX18" s="27"/>
      <c r="AY18" s="29"/>
      <c r="AZ18" s="28"/>
      <c r="BA18" s="32"/>
      <c r="BB18" s="27"/>
      <c r="BC18" s="29"/>
      <c r="BD18" s="28"/>
      <c r="BE18" s="32"/>
      <c r="BF18" s="27"/>
      <c r="BG18" s="29"/>
      <c r="BH18" s="28"/>
      <c r="BI18" s="32"/>
      <c r="BJ18" s="27"/>
      <c r="BK18" s="29"/>
      <c r="BL18" s="28"/>
      <c r="BM18" s="32"/>
    </row>
    <row r="19" customFormat="false" ht="15.75" hidden="false" customHeight="true" outlineLevel="0" collapsed="false">
      <c r="A19" s="27"/>
      <c r="B19" s="39" t="str">
        <f aca="false">IFERROR(INDEX(Customers!$C$4:$C$1003,MATCH($A19,Customers!$A$4:$A$1003,0)),"")</f>
        <v/>
      </c>
      <c r="C19" s="31" t="str">
        <f aca="false">IFERROR(INDEX(Customers!$F$4:$F$1003,MATCH($A19,Customers!$A$4:$A$1003,0)),"")</f>
        <v/>
      </c>
      <c r="D19" s="33" t="str">
        <f aca="false">IFERROR(INDEX(Customers!$K$4:$K$1003,MATCH($A19,Customers!$A$4:$A$1003,0)),"")</f>
        <v/>
      </c>
      <c r="E19" s="33" t="str">
        <f aca="false">IF($A19="","",IF($F19=0,"Not Started",IF($BJ19="Completed",Settings!$U$45,IF($BF19="Completed",Settings!$U$44,IF($BB19="Completed",Settings!$U$43,IF($AX19="Completed",Settings!$U$42,IF($AT19="Completed",Settings!$U$41,IF($AP19="Completed",Settings!$U$40,IF($AL19="Completed",Settings!$U$39,IF($AH19="Completed",Settings!$U$38,IF($AD19="Completed",Settings!$U$37,IF($Z19="Completed",Settings!$U$36,IF($V19="Completed",Settings!$U$35,IF($R19="Completed",Settings!$U$34,IF($N19="Completed",Settings!$U$33,IF($J19="Completed",Settings!$U$32,""))))))))))))))))</f>
        <v/>
      </c>
      <c r="F19" s="30" t="str">
        <f aca="false">IF($A19="","",COUNTIF($J19:$BM19,"Completed"))</f>
        <v/>
      </c>
      <c r="G19" s="35" t="str">
        <f aca="false">IF($A19="","",MIN($F19/13,1))</f>
        <v/>
      </c>
      <c r="H19" s="31" t="str">
        <f aca="false">IF($A19="","",IF($BJ19="Completed","Case Completed",IF($AX19="Completed","Visa Rejected",IF($BF19="Completed","Departed to Europe",IF($F19=0,"Not Started","In Progress")))))</f>
        <v/>
      </c>
      <c r="I19" s="30" t="str">
        <f aca="true">IF($K19="","",IF($BK19&lt;&gt;"",$BK19-$K19,IF($AY19&lt;&gt;"",$AY19-$K19,TODAY()-$K19)))</f>
        <v/>
      </c>
      <c r="J19" s="27"/>
      <c r="K19" s="29"/>
      <c r="L19" s="28"/>
      <c r="M19" s="32"/>
      <c r="N19" s="27"/>
      <c r="O19" s="29"/>
      <c r="P19" s="28"/>
      <c r="Q19" s="32"/>
      <c r="R19" s="27"/>
      <c r="S19" s="29"/>
      <c r="T19" s="28"/>
      <c r="U19" s="32"/>
      <c r="V19" s="27"/>
      <c r="W19" s="29"/>
      <c r="X19" s="28"/>
      <c r="Y19" s="32"/>
      <c r="Z19" s="27"/>
      <c r="AA19" s="29"/>
      <c r="AB19" s="28"/>
      <c r="AC19" s="32"/>
      <c r="AD19" s="27"/>
      <c r="AE19" s="29"/>
      <c r="AF19" s="28"/>
      <c r="AG19" s="32"/>
      <c r="AH19" s="27"/>
      <c r="AI19" s="29"/>
      <c r="AJ19" s="28"/>
      <c r="AK19" s="32"/>
      <c r="AL19" s="27"/>
      <c r="AM19" s="29"/>
      <c r="AN19" s="28"/>
      <c r="AO19" s="32"/>
      <c r="AP19" s="27"/>
      <c r="AQ19" s="29"/>
      <c r="AR19" s="28"/>
      <c r="AS19" s="32"/>
      <c r="AT19" s="27"/>
      <c r="AU19" s="29"/>
      <c r="AV19" s="28"/>
      <c r="AW19" s="32"/>
      <c r="AX19" s="27"/>
      <c r="AY19" s="29"/>
      <c r="AZ19" s="28"/>
      <c r="BA19" s="32"/>
      <c r="BB19" s="27"/>
      <c r="BC19" s="29"/>
      <c r="BD19" s="28"/>
      <c r="BE19" s="32"/>
      <c r="BF19" s="27"/>
      <c r="BG19" s="29"/>
      <c r="BH19" s="28"/>
      <c r="BI19" s="32"/>
      <c r="BJ19" s="27"/>
      <c r="BK19" s="29"/>
      <c r="BL19" s="28"/>
      <c r="BM19" s="32"/>
    </row>
    <row r="20" customFormat="false" ht="15.75" hidden="false" customHeight="true" outlineLevel="0" collapsed="false">
      <c r="A20" s="27"/>
      <c r="B20" s="39" t="str">
        <f aca="false">IFERROR(INDEX(Customers!$C$4:$C$1003,MATCH($A20,Customers!$A$4:$A$1003,0)),"")</f>
        <v/>
      </c>
      <c r="C20" s="31" t="str">
        <f aca="false">IFERROR(INDEX(Customers!$F$4:$F$1003,MATCH($A20,Customers!$A$4:$A$1003,0)),"")</f>
        <v/>
      </c>
      <c r="D20" s="33" t="str">
        <f aca="false">IFERROR(INDEX(Customers!$K$4:$K$1003,MATCH($A20,Customers!$A$4:$A$1003,0)),"")</f>
        <v/>
      </c>
      <c r="E20" s="33" t="str">
        <f aca="false">IF($A20="","",IF($F20=0,"Not Started",IF($BJ20="Completed",Settings!$U$45,IF($BF20="Completed",Settings!$U$44,IF($BB20="Completed",Settings!$U$43,IF($AX20="Completed",Settings!$U$42,IF($AT20="Completed",Settings!$U$41,IF($AP20="Completed",Settings!$U$40,IF($AL20="Completed",Settings!$U$39,IF($AH20="Completed",Settings!$U$38,IF($AD20="Completed",Settings!$U$37,IF($Z20="Completed",Settings!$U$36,IF($V20="Completed",Settings!$U$35,IF($R20="Completed",Settings!$U$34,IF($N20="Completed",Settings!$U$33,IF($J20="Completed",Settings!$U$32,""))))))))))))))))</f>
        <v/>
      </c>
      <c r="F20" s="30" t="str">
        <f aca="false">IF($A20="","",COUNTIF($J20:$BM20,"Completed"))</f>
        <v/>
      </c>
      <c r="G20" s="35" t="str">
        <f aca="false">IF($A20="","",MIN($F20/13,1))</f>
        <v/>
      </c>
      <c r="H20" s="31" t="str">
        <f aca="false">IF($A20="","",IF($BJ20="Completed","Case Completed",IF($AX20="Completed","Visa Rejected",IF($BF20="Completed","Departed to Europe",IF($F20=0,"Not Started","In Progress")))))</f>
        <v/>
      </c>
      <c r="I20" s="30" t="str">
        <f aca="true">IF($K20="","",IF($BK20&lt;&gt;"",$BK20-$K20,IF($AY20&lt;&gt;"",$AY20-$K20,TODAY()-$K20)))</f>
        <v/>
      </c>
      <c r="J20" s="27"/>
      <c r="K20" s="29"/>
      <c r="L20" s="28"/>
      <c r="M20" s="32"/>
      <c r="N20" s="27"/>
      <c r="O20" s="29"/>
      <c r="P20" s="28"/>
      <c r="Q20" s="32"/>
      <c r="R20" s="27"/>
      <c r="S20" s="29"/>
      <c r="T20" s="28"/>
      <c r="U20" s="32"/>
      <c r="V20" s="27"/>
      <c r="W20" s="29"/>
      <c r="X20" s="28"/>
      <c r="Y20" s="32"/>
      <c r="Z20" s="27"/>
      <c r="AA20" s="29"/>
      <c r="AB20" s="28"/>
      <c r="AC20" s="32"/>
      <c r="AD20" s="27"/>
      <c r="AE20" s="29"/>
      <c r="AF20" s="28"/>
      <c r="AG20" s="32"/>
      <c r="AH20" s="27"/>
      <c r="AI20" s="29"/>
      <c r="AJ20" s="28"/>
      <c r="AK20" s="32"/>
      <c r="AL20" s="27"/>
      <c r="AM20" s="29"/>
      <c r="AN20" s="28"/>
      <c r="AO20" s="32"/>
      <c r="AP20" s="27"/>
      <c r="AQ20" s="29"/>
      <c r="AR20" s="28"/>
      <c r="AS20" s="32"/>
      <c r="AT20" s="27"/>
      <c r="AU20" s="29"/>
      <c r="AV20" s="28"/>
      <c r="AW20" s="32"/>
      <c r="AX20" s="27"/>
      <c r="AY20" s="29"/>
      <c r="AZ20" s="28"/>
      <c r="BA20" s="32"/>
      <c r="BB20" s="27"/>
      <c r="BC20" s="29"/>
      <c r="BD20" s="28"/>
      <c r="BE20" s="32"/>
      <c r="BF20" s="27"/>
      <c r="BG20" s="29"/>
      <c r="BH20" s="28"/>
      <c r="BI20" s="32"/>
      <c r="BJ20" s="27"/>
      <c r="BK20" s="29"/>
      <c r="BL20" s="28"/>
      <c r="BM20" s="32"/>
    </row>
    <row r="21" customFormat="false" ht="15.75" hidden="false" customHeight="true" outlineLevel="0" collapsed="false">
      <c r="A21" s="27"/>
      <c r="B21" s="39" t="str">
        <f aca="false">IFERROR(INDEX(Customers!$C$4:$C$1003,MATCH($A21,Customers!$A$4:$A$1003,0)),"")</f>
        <v/>
      </c>
      <c r="C21" s="31" t="str">
        <f aca="false">IFERROR(INDEX(Customers!$F$4:$F$1003,MATCH($A21,Customers!$A$4:$A$1003,0)),"")</f>
        <v/>
      </c>
      <c r="D21" s="33" t="str">
        <f aca="false">IFERROR(INDEX(Customers!$K$4:$K$1003,MATCH($A21,Customers!$A$4:$A$1003,0)),"")</f>
        <v/>
      </c>
      <c r="E21" s="33" t="str">
        <f aca="false">IF($A21="","",IF($F21=0,"Not Started",IF($BJ21="Completed",Settings!$U$45,IF($BF21="Completed",Settings!$U$44,IF($BB21="Completed",Settings!$U$43,IF($AX21="Completed",Settings!$U$42,IF($AT21="Completed",Settings!$U$41,IF($AP21="Completed",Settings!$U$40,IF($AL21="Completed",Settings!$U$39,IF($AH21="Completed",Settings!$U$38,IF($AD21="Completed",Settings!$U$37,IF($Z21="Completed",Settings!$U$36,IF($V21="Completed",Settings!$U$35,IF($R21="Completed",Settings!$U$34,IF($N21="Completed",Settings!$U$33,IF($J21="Completed",Settings!$U$32,""))))))))))))))))</f>
        <v/>
      </c>
      <c r="F21" s="30" t="str">
        <f aca="false">IF($A21="","",COUNTIF($J21:$BM21,"Completed"))</f>
        <v/>
      </c>
      <c r="G21" s="35" t="str">
        <f aca="false">IF($A21="","",MIN($F21/13,1))</f>
        <v/>
      </c>
      <c r="H21" s="31" t="str">
        <f aca="false">IF($A21="","",IF($BJ21="Completed","Case Completed",IF($AX21="Completed","Visa Rejected",IF($BF21="Completed","Departed to Europe",IF($F21=0,"Not Started","In Progress")))))</f>
        <v/>
      </c>
      <c r="I21" s="30" t="str">
        <f aca="true">IF($K21="","",IF($BK21&lt;&gt;"",$BK21-$K21,IF($AY21&lt;&gt;"",$AY21-$K21,TODAY()-$K21)))</f>
        <v/>
      </c>
      <c r="J21" s="27"/>
      <c r="K21" s="29"/>
      <c r="L21" s="28"/>
      <c r="M21" s="32"/>
      <c r="N21" s="27"/>
      <c r="O21" s="29"/>
      <c r="P21" s="28"/>
      <c r="Q21" s="32"/>
      <c r="R21" s="27"/>
      <c r="S21" s="29"/>
      <c r="T21" s="28"/>
      <c r="U21" s="32"/>
      <c r="V21" s="27"/>
      <c r="W21" s="29"/>
      <c r="X21" s="28"/>
      <c r="Y21" s="32"/>
      <c r="Z21" s="27"/>
      <c r="AA21" s="29"/>
      <c r="AB21" s="28"/>
      <c r="AC21" s="32"/>
      <c r="AD21" s="27"/>
      <c r="AE21" s="29"/>
      <c r="AF21" s="28"/>
      <c r="AG21" s="32"/>
      <c r="AH21" s="27"/>
      <c r="AI21" s="29"/>
      <c r="AJ21" s="28"/>
      <c r="AK21" s="32"/>
      <c r="AL21" s="27"/>
      <c r="AM21" s="29"/>
      <c r="AN21" s="28"/>
      <c r="AO21" s="32"/>
      <c r="AP21" s="27"/>
      <c r="AQ21" s="29"/>
      <c r="AR21" s="28"/>
      <c r="AS21" s="32"/>
      <c r="AT21" s="27"/>
      <c r="AU21" s="29"/>
      <c r="AV21" s="28"/>
      <c r="AW21" s="32"/>
      <c r="AX21" s="27"/>
      <c r="AY21" s="29"/>
      <c r="AZ21" s="28"/>
      <c r="BA21" s="32"/>
      <c r="BB21" s="27"/>
      <c r="BC21" s="29"/>
      <c r="BD21" s="28"/>
      <c r="BE21" s="32"/>
      <c r="BF21" s="27"/>
      <c r="BG21" s="29"/>
      <c r="BH21" s="28"/>
      <c r="BI21" s="32"/>
      <c r="BJ21" s="27"/>
      <c r="BK21" s="29"/>
      <c r="BL21" s="28"/>
      <c r="BM21" s="32"/>
    </row>
    <row r="22" customFormat="false" ht="15.75" hidden="false" customHeight="true" outlineLevel="0" collapsed="false">
      <c r="A22" s="27"/>
      <c r="B22" s="39" t="str">
        <f aca="false">IFERROR(INDEX(Customers!$C$4:$C$1003,MATCH($A22,Customers!$A$4:$A$1003,0)),"")</f>
        <v/>
      </c>
      <c r="C22" s="31" t="str">
        <f aca="false">IFERROR(INDEX(Customers!$F$4:$F$1003,MATCH($A22,Customers!$A$4:$A$1003,0)),"")</f>
        <v/>
      </c>
      <c r="D22" s="33" t="str">
        <f aca="false">IFERROR(INDEX(Customers!$K$4:$K$1003,MATCH($A22,Customers!$A$4:$A$1003,0)),"")</f>
        <v/>
      </c>
      <c r="E22" s="33" t="str">
        <f aca="false">IF($A22="","",IF($F22=0,"Not Started",IF($BJ22="Completed",Settings!$U$45,IF($BF22="Completed",Settings!$U$44,IF($BB22="Completed",Settings!$U$43,IF($AX22="Completed",Settings!$U$42,IF($AT22="Completed",Settings!$U$41,IF($AP22="Completed",Settings!$U$40,IF($AL22="Completed",Settings!$U$39,IF($AH22="Completed",Settings!$U$38,IF($AD22="Completed",Settings!$U$37,IF($Z22="Completed",Settings!$U$36,IF($V22="Completed",Settings!$U$35,IF($R22="Completed",Settings!$U$34,IF($N22="Completed",Settings!$U$33,IF($J22="Completed",Settings!$U$32,""))))))))))))))))</f>
        <v/>
      </c>
      <c r="F22" s="30" t="str">
        <f aca="false">IF($A22="","",COUNTIF($J22:$BM22,"Completed"))</f>
        <v/>
      </c>
      <c r="G22" s="35" t="str">
        <f aca="false">IF($A22="","",MIN($F22/13,1))</f>
        <v/>
      </c>
      <c r="H22" s="31" t="str">
        <f aca="false">IF($A22="","",IF($BJ22="Completed","Case Completed",IF($AX22="Completed","Visa Rejected",IF($BF22="Completed","Departed to Europe",IF($F22=0,"Not Started","In Progress")))))</f>
        <v/>
      </c>
      <c r="I22" s="30" t="str">
        <f aca="true">IF($K22="","",IF($BK22&lt;&gt;"",$BK22-$K22,IF($AY22&lt;&gt;"",$AY22-$K22,TODAY()-$K22)))</f>
        <v/>
      </c>
      <c r="J22" s="27"/>
      <c r="K22" s="29"/>
      <c r="L22" s="28"/>
      <c r="M22" s="32"/>
      <c r="N22" s="27"/>
      <c r="O22" s="29"/>
      <c r="P22" s="28"/>
      <c r="Q22" s="32"/>
      <c r="R22" s="27"/>
      <c r="S22" s="29"/>
      <c r="T22" s="28"/>
      <c r="U22" s="32"/>
      <c r="V22" s="27"/>
      <c r="W22" s="29"/>
      <c r="X22" s="28"/>
      <c r="Y22" s="32"/>
      <c r="Z22" s="27"/>
      <c r="AA22" s="29"/>
      <c r="AB22" s="28"/>
      <c r="AC22" s="32"/>
      <c r="AD22" s="27"/>
      <c r="AE22" s="29"/>
      <c r="AF22" s="28"/>
      <c r="AG22" s="32"/>
      <c r="AH22" s="27"/>
      <c r="AI22" s="29"/>
      <c r="AJ22" s="28"/>
      <c r="AK22" s="32"/>
      <c r="AL22" s="27"/>
      <c r="AM22" s="29"/>
      <c r="AN22" s="28"/>
      <c r="AO22" s="32"/>
      <c r="AP22" s="27"/>
      <c r="AQ22" s="29"/>
      <c r="AR22" s="28"/>
      <c r="AS22" s="32"/>
      <c r="AT22" s="27"/>
      <c r="AU22" s="29"/>
      <c r="AV22" s="28"/>
      <c r="AW22" s="32"/>
      <c r="AX22" s="27"/>
      <c r="AY22" s="29"/>
      <c r="AZ22" s="28"/>
      <c r="BA22" s="32"/>
      <c r="BB22" s="27"/>
      <c r="BC22" s="29"/>
      <c r="BD22" s="28"/>
      <c r="BE22" s="32"/>
      <c r="BF22" s="27"/>
      <c r="BG22" s="29"/>
      <c r="BH22" s="28"/>
      <c r="BI22" s="32"/>
      <c r="BJ22" s="27"/>
      <c r="BK22" s="29"/>
      <c r="BL22" s="28"/>
      <c r="BM22" s="32"/>
    </row>
    <row r="23" customFormat="false" ht="15.75" hidden="false" customHeight="true" outlineLevel="0" collapsed="false">
      <c r="A23" s="27"/>
      <c r="B23" s="39" t="str">
        <f aca="false">IFERROR(INDEX(Customers!$C$4:$C$1003,MATCH($A23,Customers!$A$4:$A$1003,0)),"")</f>
        <v/>
      </c>
      <c r="C23" s="31" t="str">
        <f aca="false">IFERROR(INDEX(Customers!$F$4:$F$1003,MATCH($A23,Customers!$A$4:$A$1003,0)),"")</f>
        <v/>
      </c>
      <c r="D23" s="33" t="str">
        <f aca="false">IFERROR(INDEX(Customers!$K$4:$K$1003,MATCH($A23,Customers!$A$4:$A$1003,0)),"")</f>
        <v/>
      </c>
      <c r="E23" s="33" t="str">
        <f aca="false">IF($A23="","",IF($F23=0,"Not Started",IF($BJ23="Completed",Settings!$U$45,IF($BF23="Completed",Settings!$U$44,IF($BB23="Completed",Settings!$U$43,IF($AX23="Completed",Settings!$U$42,IF($AT23="Completed",Settings!$U$41,IF($AP23="Completed",Settings!$U$40,IF($AL23="Completed",Settings!$U$39,IF($AH23="Completed",Settings!$U$38,IF($AD23="Completed",Settings!$U$37,IF($Z23="Completed",Settings!$U$36,IF($V23="Completed",Settings!$U$35,IF($R23="Completed",Settings!$U$34,IF($N23="Completed",Settings!$U$33,IF($J23="Completed",Settings!$U$32,""))))))))))))))))</f>
        <v/>
      </c>
      <c r="F23" s="30" t="str">
        <f aca="false">IF($A23="","",COUNTIF($J23:$BM23,"Completed"))</f>
        <v/>
      </c>
      <c r="G23" s="35" t="str">
        <f aca="false">IF($A23="","",MIN($F23/13,1))</f>
        <v/>
      </c>
      <c r="H23" s="31" t="str">
        <f aca="false">IF($A23="","",IF($BJ23="Completed","Case Completed",IF($AX23="Completed","Visa Rejected",IF($BF23="Completed","Departed to Europe",IF($F23=0,"Not Started","In Progress")))))</f>
        <v/>
      </c>
      <c r="I23" s="30" t="str">
        <f aca="true">IF($K23="","",IF($BK23&lt;&gt;"",$BK23-$K23,IF($AY23&lt;&gt;"",$AY23-$K23,TODAY()-$K23)))</f>
        <v/>
      </c>
      <c r="J23" s="27"/>
      <c r="K23" s="29"/>
      <c r="L23" s="28"/>
      <c r="M23" s="32"/>
      <c r="N23" s="27"/>
      <c r="O23" s="29"/>
      <c r="P23" s="28"/>
      <c r="Q23" s="32"/>
      <c r="R23" s="27"/>
      <c r="S23" s="29"/>
      <c r="T23" s="28"/>
      <c r="U23" s="32"/>
      <c r="V23" s="27"/>
      <c r="W23" s="29"/>
      <c r="X23" s="28"/>
      <c r="Y23" s="32"/>
      <c r="Z23" s="27"/>
      <c r="AA23" s="29"/>
      <c r="AB23" s="28"/>
      <c r="AC23" s="32"/>
      <c r="AD23" s="27"/>
      <c r="AE23" s="29"/>
      <c r="AF23" s="28"/>
      <c r="AG23" s="32"/>
      <c r="AH23" s="27"/>
      <c r="AI23" s="29"/>
      <c r="AJ23" s="28"/>
      <c r="AK23" s="32"/>
      <c r="AL23" s="27"/>
      <c r="AM23" s="29"/>
      <c r="AN23" s="28"/>
      <c r="AO23" s="32"/>
      <c r="AP23" s="27"/>
      <c r="AQ23" s="29"/>
      <c r="AR23" s="28"/>
      <c r="AS23" s="32"/>
      <c r="AT23" s="27"/>
      <c r="AU23" s="29"/>
      <c r="AV23" s="28"/>
      <c r="AW23" s="32"/>
      <c r="AX23" s="27"/>
      <c r="AY23" s="29"/>
      <c r="AZ23" s="28"/>
      <c r="BA23" s="32"/>
      <c r="BB23" s="27"/>
      <c r="BC23" s="29"/>
      <c r="BD23" s="28"/>
      <c r="BE23" s="32"/>
      <c r="BF23" s="27"/>
      <c r="BG23" s="29"/>
      <c r="BH23" s="28"/>
      <c r="BI23" s="32"/>
      <c r="BJ23" s="27"/>
      <c r="BK23" s="29"/>
      <c r="BL23" s="28"/>
      <c r="BM23" s="32"/>
    </row>
    <row r="24" customFormat="false" ht="15.75" hidden="false" customHeight="true" outlineLevel="0" collapsed="false">
      <c r="A24" s="27"/>
      <c r="B24" s="39" t="str">
        <f aca="false">IFERROR(INDEX(Customers!$C$4:$C$1003,MATCH($A24,Customers!$A$4:$A$1003,0)),"")</f>
        <v/>
      </c>
      <c r="C24" s="31" t="str">
        <f aca="false">IFERROR(INDEX(Customers!$F$4:$F$1003,MATCH($A24,Customers!$A$4:$A$1003,0)),"")</f>
        <v/>
      </c>
      <c r="D24" s="33" t="str">
        <f aca="false">IFERROR(INDEX(Customers!$K$4:$K$1003,MATCH($A24,Customers!$A$4:$A$1003,0)),"")</f>
        <v/>
      </c>
      <c r="E24" s="33" t="str">
        <f aca="false">IF($A24="","",IF($F24=0,"Not Started",IF($BJ24="Completed",Settings!$U$45,IF($BF24="Completed",Settings!$U$44,IF($BB24="Completed",Settings!$U$43,IF($AX24="Completed",Settings!$U$42,IF($AT24="Completed",Settings!$U$41,IF($AP24="Completed",Settings!$U$40,IF($AL24="Completed",Settings!$U$39,IF($AH24="Completed",Settings!$U$38,IF($AD24="Completed",Settings!$U$37,IF($Z24="Completed",Settings!$U$36,IF($V24="Completed",Settings!$U$35,IF($R24="Completed",Settings!$U$34,IF($N24="Completed",Settings!$U$33,IF($J24="Completed",Settings!$U$32,""))))))))))))))))</f>
        <v/>
      </c>
      <c r="F24" s="30" t="str">
        <f aca="false">IF($A24="","",COUNTIF($J24:$BM24,"Completed"))</f>
        <v/>
      </c>
      <c r="G24" s="35" t="str">
        <f aca="false">IF($A24="","",MIN($F24/13,1))</f>
        <v/>
      </c>
      <c r="H24" s="31" t="str">
        <f aca="false">IF($A24="","",IF($BJ24="Completed","Case Completed",IF($AX24="Completed","Visa Rejected",IF($BF24="Completed","Departed to Europe",IF($F24=0,"Not Started","In Progress")))))</f>
        <v/>
      </c>
      <c r="I24" s="30" t="str">
        <f aca="true">IF($K24="","",IF($BK24&lt;&gt;"",$BK24-$K24,IF($AY24&lt;&gt;"",$AY24-$K24,TODAY()-$K24)))</f>
        <v/>
      </c>
      <c r="J24" s="27"/>
      <c r="K24" s="29"/>
      <c r="L24" s="28"/>
      <c r="M24" s="32"/>
      <c r="N24" s="27"/>
      <c r="O24" s="29"/>
      <c r="P24" s="28"/>
      <c r="Q24" s="32"/>
      <c r="R24" s="27"/>
      <c r="S24" s="29"/>
      <c r="T24" s="28"/>
      <c r="U24" s="32"/>
      <c r="V24" s="27"/>
      <c r="W24" s="29"/>
      <c r="X24" s="28"/>
      <c r="Y24" s="32"/>
      <c r="Z24" s="27"/>
      <c r="AA24" s="29"/>
      <c r="AB24" s="28"/>
      <c r="AC24" s="32"/>
      <c r="AD24" s="27"/>
      <c r="AE24" s="29"/>
      <c r="AF24" s="28"/>
      <c r="AG24" s="32"/>
      <c r="AH24" s="27"/>
      <c r="AI24" s="29"/>
      <c r="AJ24" s="28"/>
      <c r="AK24" s="32"/>
      <c r="AL24" s="27"/>
      <c r="AM24" s="29"/>
      <c r="AN24" s="28"/>
      <c r="AO24" s="32"/>
      <c r="AP24" s="27"/>
      <c r="AQ24" s="29"/>
      <c r="AR24" s="28"/>
      <c r="AS24" s="32"/>
      <c r="AT24" s="27"/>
      <c r="AU24" s="29"/>
      <c r="AV24" s="28"/>
      <c r="AW24" s="32"/>
      <c r="AX24" s="27"/>
      <c r="AY24" s="29"/>
      <c r="AZ24" s="28"/>
      <c r="BA24" s="32"/>
      <c r="BB24" s="27"/>
      <c r="BC24" s="29"/>
      <c r="BD24" s="28"/>
      <c r="BE24" s="32"/>
      <c r="BF24" s="27"/>
      <c r="BG24" s="29"/>
      <c r="BH24" s="28"/>
      <c r="BI24" s="32"/>
      <c r="BJ24" s="27"/>
      <c r="BK24" s="29"/>
      <c r="BL24" s="28"/>
      <c r="BM24" s="32"/>
    </row>
    <row r="25" customFormat="false" ht="15.75" hidden="false" customHeight="true" outlineLevel="0" collapsed="false">
      <c r="A25" s="27"/>
      <c r="B25" s="39" t="str">
        <f aca="false">IFERROR(INDEX(Customers!$C$4:$C$1003,MATCH($A25,Customers!$A$4:$A$1003,0)),"")</f>
        <v/>
      </c>
      <c r="C25" s="31" t="str">
        <f aca="false">IFERROR(INDEX(Customers!$F$4:$F$1003,MATCH($A25,Customers!$A$4:$A$1003,0)),"")</f>
        <v/>
      </c>
      <c r="D25" s="33" t="str">
        <f aca="false">IFERROR(INDEX(Customers!$K$4:$K$1003,MATCH($A25,Customers!$A$4:$A$1003,0)),"")</f>
        <v/>
      </c>
      <c r="E25" s="33" t="str">
        <f aca="false">IF($A25="","",IF($F25=0,"Not Started",IF($BJ25="Completed",Settings!$U$45,IF($BF25="Completed",Settings!$U$44,IF($BB25="Completed",Settings!$U$43,IF($AX25="Completed",Settings!$U$42,IF($AT25="Completed",Settings!$U$41,IF($AP25="Completed",Settings!$U$40,IF($AL25="Completed",Settings!$U$39,IF($AH25="Completed",Settings!$U$38,IF($AD25="Completed",Settings!$U$37,IF($Z25="Completed",Settings!$U$36,IF($V25="Completed",Settings!$U$35,IF($R25="Completed",Settings!$U$34,IF($N25="Completed",Settings!$U$33,IF($J25="Completed",Settings!$U$32,""))))))))))))))))</f>
        <v/>
      </c>
      <c r="F25" s="30" t="str">
        <f aca="false">IF($A25="","",COUNTIF($J25:$BM25,"Completed"))</f>
        <v/>
      </c>
      <c r="G25" s="35" t="str">
        <f aca="false">IF($A25="","",MIN($F25/13,1))</f>
        <v/>
      </c>
      <c r="H25" s="31" t="str">
        <f aca="false">IF($A25="","",IF($BJ25="Completed","Case Completed",IF($AX25="Completed","Visa Rejected",IF($BF25="Completed","Departed to Europe",IF($F25=0,"Not Started","In Progress")))))</f>
        <v/>
      </c>
      <c r="I25" s="30" t="str">
        <f aca="true">IF($K25="","",IF($BK25&lt;&gt;"",$BK25-$K25,IF($AY25&lt;&gt;"",$AY25-$K25,TODAY()-$K25)))</f>
        <v/>
      </c>
      <c r="J25" s="27"/>
      <c r="K25" s="29"/>
      <c r="L25" s="28"/>
      <c r="M25" s="32"/>
      <c r="N25" s="27"/>
      <c r="O25" s="29"/>
      <c r="P25" s="28"/>
      <c r="Q25" s="32"/>
      <c r="R25" s="27"/>
      <c r="S25" s="29"/>
      <c r="T25" s="28"/>
      <c r="U25" s="32"/>
      <c r="V25" s="27"/>
      <c r="W25" s="29"/>
      <c r="X25" s="28"/>
      <c r="Y25" s="32"/>
      <c r="Z25" s="27"/>
      <c r="AA25" s="29"/>
      <c r="AB25" s="28"/>
      <c r="AC25" s="32"/>
      <c r="AD25" s="27"/>
      <c r="AE25" s="29"/>
      <c r="AF25" s="28"/>
      <c r="AG25" s="32"/>
      <c r="AH25" s="27"/>
      <c r="AI25" s="29"/>
      <c r="AJ25" s="28"/>
      <c r="AK25" s="32"/>
      <c r="AL25" s="27"/>
      <c r="AM25" s="29"/>
      <c r="AN25" s="28"/>
      <c r="AO25" s="32"/>
      <c r="AP25" s="27"/>
      <c r="AQ25" s="29"/>
      <c r="AR25" s="28"/>
      <c r="AS25" s="32"/>
      <c r="AT25" s="27"/>
      <c r="AU25" s="29"/>
      <c r="AV25" s="28"/>
      <c r="AW25" s="32"/>
      <c r="AX25" s="27"/>
      <c r="AY25" s="29"/>
      <c r="AZ25" s="28"/>
      <c r="BA25" s="32"/>
      <c r="BB25" s="27"/>
      <c r="BC25" s="29"/>
      <c r="BD25" s="28"/>
      <c r="BE25" s="32"/>
      <c r="BF25" s="27"/>
      <c r="BG25" s="29"/>
      <c r="BH25" s="28"/>
      <c r="BI25" s="32"/>
      <c r="BJ25" s="27"/>
      <c r="BK25" s="29"/>
      <c r="BL25" s="28"/>
      <c r="BM25" s="32"/>
    </row>
    <row r="26" customFormat="false" ht="15.75" hidden="false" customHeight="true" outlineLevel="0" collapsed="false">
      <c r="A26" s="27"/>
      <c r="B26" s="39" t="str">
        <f aca="false">IFERROR(INDEX(Customers!$C$4:$C$1003,MATCH($A26,Customers!$A$4:$A$1003,0)),"")</f>
        <v/>
      </c>
      <c r="C26" s="31" t="str">
        <f aca="false">IFERROR(INDEX(Customers!$F$4:$F$1003,MATCH($A26,Customers!$A$4:$A$1003,0)),"")</f>
        <v/>
      </c>
      <c r="D26" s="33" t="str">
        <f aca="false">IFERROR(INDEX(Customers!$K$4:$K$1003,MATCH($A26,Customers!$A$4:$A$1003,0)),"")</f>
        <v/>
      </c>
      <c r="E26" s="33" t="str">
        <f aca="false">IF($A26="","",IF($F26=0,"Not Started",IF($BJ26="Completed",Settings!$U$45,IF($BF26="Completed",Settings!$U$44,IF($BB26="Completed",Settings!$U$43,IF($AX26="Completed",Settings!$U$42,IF($AT26="Completed",Settings!$U$41,IF($AP26="Completed",Settings!$U$40,IF($AL26="Completed",Settings!$U$39,IF($AH26="Completed",Settings!$U$38,IF($AD26="Completed",Settings!$U$37,IF($Z26="Completed",Settings!$U$36,IF($V26="Completed",Settings!$U$35,IF($R26="Completed",Settings!$U$34,IF($N26="Completed",Settings!$U$33,IF($J26="Completed",Settings!$U$32,""))))))))))))))))</f>
        <v/>
      </c>
      <c r="F26" s="30" t="str">
        <f aca="false">IF($A26="","",COUNTIF($J26:$BM26,"Completed"))</f>
        <v/>
      </c>
      <c r="G26" s="35" t="str">
        <f aca="false">IF($A26="","",MIN($F26/13,1))</f>
        <v/>
      </c>
      <c r="H26" s="31" t="str">
        <f aca="false">IF($A26="","",IF($BJ26="Completed","Case Completed",IF($AX26="Completed","Visa Rejected",IF($BF26="Completed","Departed to Europe",IF($F26=0,"Not Started","In Progress")))))</f>
        <v/>
      </c>
      <c r="I26" s="30" t="str">
        <f aca="true">IF($K26="","",IF($BK26&lt;&gt;"",$BK26-$K26,IF($AY26&lt;&gt;"",$AY26-$K26,TODAY()-$K26)))</f>
        <v/>
      </c>
      <c r="J26" s="27"/>
      <c r="K26" s="29"/>
      <c r="L26" s="28"/>
      <c r="M26" s="32"/>
      <c r="N26" s="27"/>
      <c r="O26" s="29"/>
      <c r="P26" s="28"/>
      <c r="Q26" s="32"/>
      <c r="R26" s="27"/>
      <c r="S26" s="29"/>
      <c r="T26" s="28"/>
      <c r="U26" s="32"/>
      <c r="V26" s="27"/>
      <c r="W26" s="29"/>
      <c r="X26" s="28"/>
      <c r="Y26" s="32"/>
      <c r="Z26" s="27"/>
      <c r="AA26" s="29"/>
      <c r="AB26" s="28"/>
      <c r="AC26" s="32"/>
      <c r="AD26" s="27"/>
      <c r="AE26" s="29"/>
      <c r="AF26" s="28"/>
      <c r="AG26" s="32"/>
      <c r="AH26" s="27"/>
      <c r="AI26" s="29"/>
      <c r="AJ26" s="28"/>
      <c r="AK26" s="32"/>
      <c r="AL26" s="27"/>
      <c r="AM26" s="29"/>
      <c r="AN26" s="28"/>
      <c r="AO26" s="32"/>
      <c r="AP26" s="27"/>
      <c r="AQ26" s="29"/>
      <c r="AR26" s="28"/>
      <c r="AS26" s="32"/>
      <c r="AT26" s="27"/>
      <c r="AU26" s="29"/>
      <c r="AV26" s="28"/>
      <c r="AW26" s="32"/>
      <c r="AX26" s="27"/>
      <c r="AY26" s="29"/>
      <c r="AZ26" s="28"/>
      <c r="BA26" s="32"/>
      <c r="BB26" s="27"/>
      <c r="BC26" s="29"/>
      <c r="BD26" s="28"/>
      <c r="BE26" s="32"/>
      <c r="BF26" s="27"/>
      <c r="BG26" s="29"/>
      <c r="BH26" s="28"/>
      <c r="BI26" s="32"/>
      <c r="BJ26" s="27"/>
      <c r="BK26" s="29"/>
      <c r="BL26" s="28"/>
      <c r="BM26" s="32"/>
    </row>
    <row r="27" customFormat="false" ht="15.75" hidden="false" customHeight="true" outlineLevel="0" collapsed="false">
      <c r="A27" s="27"/>
      <c r="B27" s="39" t="str">
        <f aca="false">IFERROR(INDEX(Customers!$C$4:$C$1003,MATCH($A27,Customers!$A$4:$A$1003,0)),"")</f>
        <v/>
      </c>
      <c r="C27" s="31" t="str">
        <f aca="false">IFERROR(INDEX(Customers!$F$4:$F$1003,MATCH($A27,Customers!$A$4:$A$1003,0)),"")</f>
        <v/>
      </c>
      <c r="D27" s="33" t="str">
        <f aca="false">IFERROR(INDEX(Customers!$K$4:$K$1003,MATCH($A27,Customers!$A$4:$A$1003,0)),"")</f>
        <v/>
      </c>
      <c r="E27" s="33" t="str">
        <f aca="false">IF($A27="","",IF($F27=0,"Not Started",IF($BJ27="Completed",Settings!$U$45,IF($BF27="Completed",Settings!$U$44,IF($BB27="Completed",Settings!$U$43,IF($AX27="Completed",Settings!$U$42,IF($AT27="Completed",Settings!$U$41,IF($AP27="Completed",Settings!$U$40,IF($AL27="Completed",Settings!$U$39,IF($AH27="Completed",Settings!$U$38,IF($AD27="Completed",Settings!$U$37,IF($Z27="Completed",Settings!$U$36,IF($V27="Completed",Settings!$U$35,IF($R27="Completed",Settings!$U$34,IF($N27="Completed",Settings!$U$33,IF($J27="Completed",Settings!$U$32,""))))))))))))))))</f>
        <v/>
      </c>
      <c r="F27" s="30" t="str">
        <f aca="false">IF($A27="","",COUNTIF($J27:$BM27,"Completed"))</f>
        <v/>
      </c>
      <c r="G27" s="35" t="str">
        <f aca="false">IF($A27="","",MIN($F27/13,1))</f>
        <v/>
      </c>
      <c r="H27" s="31" t="str">
        <f aca="false">IF($A27="","",IF($BJ27="Completed","Case Completed",IF($AX27="Completed","Visa Rejected",IF($BF27="Completed","Departed to Europe",IF($F27=0,"Not Started","In Progress")))))</f>
        <v/>
      </c>
      <c r="I27" s="30" t="str">
        <f aca="true">IF($K27="","",IF($BK27&lt;&gt;"",$BK27-$K27,IF($AY27&lt;&gt;"",$AY27-$K27,TODAY()-$K27)))</f>
        <v/>
      </c>
      <c r="J27" s="27"/>
      <c r="K27" s="29"/>
      <c r="L27" s="28"/>
      <c r="M27" s="32"/>
      <c r="N27" s="27"/>
      <c r="O27" s="29"/>
      <c r="P27" s="28"/>
      <c r="Q27" s="32"/>
      <c r="R27" s="27"/>
      <c r="S27" s="29"/>
      <c r="T27" s="28"/>
      <c r="U27" s="32"/>
      <c r="V27" s="27"/>
      <c r="W27" s="29"/>
      <c r="X27" s="28"/>
      <c r="Y27" s="32"/>
      <c r="Z27" s="27"/>
      <c r="AA27" s="29"/>
      <c r="AB27" s="28"/>
      <c r="AC27" s="32"/>
      <c r="AD27" s="27"/>
      <c r="AE27" s="29"/>
      <c r="AF27" s="28"/>
      <c r="AG27" s="32"/>
      <c r="AH27" s="27"/>
      <c r="AI27" s="29"/>
      <c r="AJ27" s="28"/>
      <c r="AK27" s="32"/>
      <c r="AL27" s="27"/>
      <c r="AM27" s="29"/>
      <c r="AN27" s="28"/>
      <c r="AO27" s="32"/>
      <c r="AP27" s="27"/>
      <c r="AQ27" s="29"/>
      <c r="AR27" s="28"/>
      <c r="AS27" s="32"/>
      <c r="AT27" s="27"/>
      <c r="AU27" s="29"/>
      <c r="AV27" s="28"/>
      <c r="AW27" s="32"/>
      <c r="AX27" s="27"/>
      <c r="AY27" s="29"/>
      <c r="AZ27" s="28"/>
      <c r="BA27" s="32"/>
      <c r="BB27" s="27"/>
      <c r="BC27" s="29"/>
      <c r="BD27" s="28"/>
      <c r="BE27" s="32"/>
      <c r="BF27" s="27"/>
      <c r="BG27" s="29"/>
      <c r="BH27" s="28"/>
      <c r="BI27" s="32"/>
      <c r="BJ27" s="27"/>
      <c r="BK27" s="29"/>
      <c r="BL27" s="28"/>
      <c r="BM27" s="32"/>
    </row>
    <row r="28" customFormat="false" ht="15.75" hidden="false" customHeight="true" outlineLevel="0" collapsed="false">
      <c r="A28" s="27"/>
      <c r="B28" s="39" t="str">
        <f aca="false">IFERROR(INDEX(Customers!$C$4:$C$1003,MATCH($A28,Customers!$A$4:$A$1003,0)),"")</f>
        <v/>
      </c>
      <c r="C28" s="31" t="str">
        <f aca="false">IFERROR(INDEX(Customers!$F$4:$F$1003,MATCH($A28,Customers!$A$4:$A$1003,0)),"")</f>
        <v/>
      </c>
      <c r="D28" s="33" t="str">
        <f aca="false">IFERROR(INDEX(Customers!$K$4:$K$1003,MATCH($A28,Customers!$A$4:$A$1003,0)),"")</f>
        <v/>
      </c>
      <c r="E28" s="33" t="str">
        <f aca="false">IF($A28="","",IF($F28=0,"Not Started",IF($BJ28="Completed",Settings!$U$45,IF($BF28="Completed",Settings!$U$44,IF($BB28="Completed",Settings!$U$43,IF($AX28="Completed",Settings!$U$42,IF($AT28="Completed",Settings!$U$41,IF($AP28="Completed",Settings!$U$40,IF($AL28="Completed",Settings!$U$39,IF($AH28="Completed",Settings!$U$38,IF($AD28="Completed",Settings!$U$37,IF($Z28="Completed",Settings!$U$36,IF($V28="Completed",Settings!$U$35,IF($R28="Completed",Settings!$U$34,IF($N28="Completed",Settings!$U$33,IF($J28="Completed",Settings!$U$32,""))))))))))))))))</f>
        <v/>
      </c>
      <c r="F28" s="30" t="str">
        <f aca="false">IF($A28="","",COUNTIF($J28:$BM28,"Completed"))</f>
        <v/>
      </c>
      <c r="G28" s="35" t="str">
        <f aca="false">IF($A28="","",MIN($F28/13,1))</f>
        <v/>
      </c>
      <c r="H28" s="31" t="str">
        <f aca="false">IF($A28="","",IF($BJ28="Completed","Case Completed",IF($AX28="Completed","Visa Rejected",IF($BF28="Completed","Departed to Europe",IF($F28=0,"Not Started","In Progress")))))</f>
        <v/>
      </c>
      <c r="I28" s="30" t="str">
        <f aca="true">IF($K28="","",IF($BK28&lt;&gt;"",$BK28-$K28,IF($AY28&lt;&gt;"",$AY28-$K28,TODAY()-$K28)))</f>
        <v/>
      </c>
      <c r="J28" s="27"/>
      <c r="K28" s="29"/>
      <c r="L28" s="28"/>
      <c r="M28" s="32"/>
      <c r="N28" s="27"/>
      <c r="O28" s="29"/>
      <c r="P28" s="28"/>
      <c r="Q28" s="32"/>
      <c r="R28" s="27"/>
      <c r="S28" s="29"/>
      <c r="T28" s="28"/>
      <c r="U28" s="32"/>
      <c r="V28" s="27"/>
      <c r="W28" s="29"/>
      <c r="X28" s="28"/>
      <c r="Y28" s="32"/>
      <c r="Z28" s="27"/>
      <c r="AA28" s="29"/>
      <c r="AB28" s="28"/>
      <c r="AC28" s="32"/>
      <c r="AD28" s="27"/>
      <c r="AE28" s="29"/>
      <c r="AF28" s="28"/>
      <c r="AG28" s="32"/>
      <c r="AH28" s="27"/>
      <c r="AI28" s="29"/>
      <c r="AJ28" s="28"/>
      <c r="AK28" s="32"/>
      <c r="AL28" s="27"/>
      <c r="AM28" s="29"/>
      <c r="AN28" s="28"/>
      <c r="AO28" s="32"/>
      <c r="AP28" s="27"/>
      <c r="AQ28" s="29"/>
      <c r="AR28" s="28"/>
      <c r="AS28" s="32"/>
      <c r="AT28" s="27"/>
      <c r="AU28" s="29"/>
      <c r="AV28" s="28"/>
      <c r="AW28" s="32"/>
      <c r="AX28" s="27"/>
      <c r="AY28" s="29"/>
      <c r="AZ28" s="28"/>
      <c r="BA28" s="32"/>
      <c r="BB28" s="27"/>
      <c r="BC28" s="29"/>
      <c r="BD28" s="28"/>
      <c r="BE28" s="32"/>
      <c r="BF28" s="27"/>
      <c r="BG28" s="29"/>
      <c r="BH28" s="28"/>
      <c r="BI28" s="32"/>
      <c r="BJ28" s="27"/>
      <c r="BK28" s="29"/>
      <c r="BL28" s="28"/>
      <c r="BM28" s="32"/>
    </row>
    <row r="29" customFormat="false" ht="15.75" hidden="false" customHeight="true" outlineLevel="0" collapsed="false">
      <c r="A29" s="27"/>
      <c r="B29" s="39" t="str">
        <f aca="false">IFERROR(INDEX(Customers!$C$4:$C$1003,MATCH($A29,Customers!$A$4:$A$1003,0)),"")</f>
        <v/>
      </c>
      <c r="C29" s="31" t="str">
        <f aca="false">IFERROR(INDEX(Customers!$F$4:$F$1003,MATCH($A29,Customers!$A$4:$A$1003,0)),"")</f>
        <v/>
      </c>
      <c r="D29" s="33" t="str">
        <f aca="false">IFERROR(INDEX(Customers!$K$4:$K$1003,MATCH($A29,Customers!$A$4:$A$1003,0)),"")</f>
        <v/>
      </c>
      <c r="E29" s="33" t="str">
        <f aca="false">IF($A29="","",IF($F29=0,"Not Started",IF($BJ29="Completed",Settings!$U$45,IF($BF29="Completed",Settings!$U$44,IF($BB29="Completed",Settings!$U$43,IF($AX29="Completed",Settings!$U$42,IF($AT29="Completed",Settings!$U$41,IF($AP29="Completed",Settings!$U$40,IF($AL29="Completed",Settings!$U$39,IF($AH29="Completed",Settings!$U$38,IF($AD29="Completed",Settings!$U$37,IF($Z29="Completed",Settings!$U$36,IF($V29="Completed",Settings!$U$35,IF($R29="Completed",Settings!$U$34,IF($N29="Completed",Settings!$U$33,IF($J29="Completed",Settings!$U$32,""))))))))))))))))</f>
        <v/>
      </c>
      <c r="F29" s="30" t="str">
        <f aca="false">IF($A29="","",COUNTIF($J29:$BM29,"Completed"))</f>
        <v/>
      </c>
      <c r="G29" s="35" t="str">
        <f aca="false">IF($A29="","",MIN($F29/13,1))</f>
        <v/>
      </c>
      <c r="H29" s="31" t="str">
        <f aca="false">IF($A29="","",IF($BJ29="Completed","Case Completed",IF($AX29="Completed","Visa Rejected",IF($BF29="Completed","Departed to Europe",IF($F29=0,"Not Started","In Progress")))))</f>
        <v/>
      </c>
      <c r="I29" s="30" t="str">
        <f aca="true">IF($K29="","",IF($BK29&lt;&gt;"",$BK29-$K29,IF($AY29&lt;&gt;"",$AY29-$K29,TODAY()-$K29)))</f>
        <v/>
      </c>
      <c r="J29" s="27"/>
      <c r="K29" s="29"/>
      <c r="L29" s="28"/>
      <c r="M29" s="32"/>
      <c r="N29" s="27"/>
      <c r="O29" s="29"/>
      <c r="P29" s="28"/>
      <c r="Q29" s="32"/>
      <c r="R29" s="27"/>
      <c r="S29" s="29"/>
      <c r="T29" s="28"/>
      <c r="U29" s="32"/>
      <c r="V29" s="27"/>
      <c r="W29" s="29"/>
      <c r="X29" s="28"/>
      <c r="Y29" s="32"/>
      <c r="Z29" s="27"/>
      <c r="AA29" s="29"/>
      <c r="AB29" s="28"/>
      <c r="AC29" s="32"/>
      <c r="AD29" s="27"/>
      <c r="AE29" s="29"/>
      <c r="AF29" s="28"/>
      <c r="AG29" s="32"/>
      <c r="AH29" s="27"/>
      <c r="AI29" s="29"/>
      <c r="AJ29" s="28"/>
      <c r="AK29" s="32"/>
      <c r="AL29" s="27"/>
      <c r="AM29" s="29"/>
      <c r="AN29" s="28"/>
      <c r="AO29" s="32"/>
      <c r="AP29" s="27"/>
      <c r="AQ29" s="29"/>
      <c r="AR29" s="28"/>
      <c r="AS29" s="32"/>
      <c r="AT29" s="27"/>
      <c r="AU29" s="29"/>
      <c r="AV29" s="28"/>
      <c r="AW29" s="32"/>
      <c r="AX29" s="27"/>
      <c r="AY29" s="29"/>
      <c r="AZ29" s="28"/>
      <c r="BA29" s="32"/>
      <c r="BB29" s="27"/>
      <c r="BC29" s="29"/>
      <c r="BD29" s="28"/>
      <c r="BE29" s="32"/>
      <c r="BF29" s="27"/>
      <c r="BG29" s="29"/>
      <c r="BH29" s="28"/>
      <c r="BI29" s="32"/>
      <c r="BJ29" s="27"/>
      <c r="BK29" s="29"/>
      <c r="BL29" s="28"/>
      <c r="BM29" s="32"/>
    </row>
    <row r="30" customFormat="false" ht="15.75" hidden="false" customHeight="true" outlineLevel="0" collapsed="false">
      <c r="A30" s="27"/>
      <c r="B30" s="39" t="str">
        <f aca="false">IFERROR(INDEX(Customers!$C$4:$C$1003,MATCH($A30,Customers!$A$4:$A$1003,0)),"")</f>
        <v/>
      </c>
      <c r="C30" s="31" t="str">
        <f aca="false">IFERROR(INDEX(Customers!$F$4:$F$1003,MATCH($A30,Customers!$A$4:$A$1003,0)),"")</f>
        <v/>
      </c>
      <c r="D30" s="33" t="str">
        <f aca="false">IFERROR(INDEX(Customers!$K$4:$K$1003,MATCH($A30,Customers!$A$4:$A$1003,0)),"")</f>
        <v/>
      </c>
      <c r="E30" s="33" t="str">
        <f aca="false">IF($A30="","",IF($F30=0,"Not Started",IF($BJ30="Completed",Settings!$U$45,IF($BF30="Completed",Settings!$U$44,IF($BB30="Completed",Settings!$U$43,IF($AX30="Completed",Settings!$U$42,IF($AT30="Completed",Settings!$U$41,IF($AP30="Completed",Settings!$U$40,IF($AL30="Completed",Settings!$U$39,IF($AH30="Completed",Settings!$U$38,IF($AD30="Completed",Settings!$U$37,IF($Z30="Completed",Settings!$U$36,IF($V30="Completed",Settings!$U$35,IF($R30="Completed",Settings!$U$34,IF($N30="Completed",Settings!$U$33,IF($J30="Completed",Settings!$U$32,""))))))))))))))))</f>
        <v/>
      </c>
      <c r="F30" s="30" t="str">
        <f aca="false">IF($A30="","",COUNTIF($J30:$BM30,"Completed"))</f>
        <v/>
      </c>
      <c r="G30" s="35" t="str">
        <f aca="false">IF($A30="","",MIN($F30/13,1))</f>
        <v/>
      </c>
      <c r="H30" s="31" t="str">
        <f aca="false">IF($A30="","",IF($BJ30="Completed","Case Completed",IF($AX30="Completed","Visa Rejected",IF($BF30="Completed","Departed to Europe",IF($F30=0,"Not Started","In Progress")))))</f>
        <v/>
      </c>
      <c r="I30" s="30" t="str">
        <f aca="true">IF($K30="","",IF($BK30&lt;&gt;"",$BK30-$K30,IF($AY30&lt;&gt;"",$AY30-$K30,TODAY()-$K30)))</f>
        <v/>
      </c>
      <c r="J30" s="27"/>
      <c r="K30" s="29"/>
      <c r="L30" s="28"/>
      <c r="M30" s="32"/>
      <c r="N30" s="27"/>
      <c r="O30" s="29"/>
      <c r="P30" s="28"/>
      <c r="Q30" s="32"/>
      <c r="R30" s="27"/>
      <c r="S30" s="29"/>
      <c r="T30" s="28"/>
      <c r="U30" s="32"/>
      <c r="V30" s="27"/>
      <c r="W30" s="29"/>
      <c r="X30" s="28"/>
      <c r="Y30" s="32"/>
      <c r="Z30" s="27"/>
      <c r="AA30" s="29"/>
      <c r="AB30" s="28"/>
      <c r="AC30" s="32"/>
      <c r="AD30" s="27"/>
      <c r="AE30" s="29"/>
      <c r="AF30" s="28"/>
      <c r="AG30" s="32"/>
      <c r="AH30" s="27"/>
      <c r="AI30" s="29"/>
      <c r="AJ30" s="28"/>
      <c r="AK30" s="32"/>
      <c r="AL30" s="27"/>
      <c r="AM30" s="29"/>
      <c r="AN30" s="28"/>
      <c r="AO30" s="32"/>
      <c r="AP30" s="27"/>
      <c r="AQ30" s="29"/>
      <c r="AR30" s="28"/>
      <c r="AS30" s="32"/>
      <c r="AT30" s="27"/>
      <c r="AU30" s="29"/>
      <c r="AV30" s="28"/>
      <c r="AW30" s="32"/>
      <c r="AX30" s="27"/>
      <c r="AY30" s="29"/>
      <c r="AZ30" s="28"/>
      <c r="BA30" s="32"/>
      <c r="BB30" s="27"/>
      <c r="BC30" s="29"/>
      <c r="BD30" s="28"/>
      <c r="BE30" s="32"/>
      <c r="BF30" s="27"/>
      <c r="BG30" s="29"/>
      <c r="BH30" s="28"/>
      <c r="BI30" s="32"/>
      <c r="BJ30" s="27"/>
      <c r="BK30" s="29"/>
      <c r="BL30" s="28"/>
      <c r="BM30" s="32"/>
    </row>
    <row r="31" customFormat="false" ht="15.75" hidden="false" customHeight="true" outlineLevel="0" collapsed="false">
      <c r="A31" s="27"/>
      <c r="B31" s="39" t="str">
        <f aca="false">IFERROR(INDEX(Customers!$C$4:$C$1003,MATCH($A31,Customers!$A$4:$A$1003,0)),"")</f>
        <v/>
      </c>
      <c r="C31" s="31" t="str">
        <f aca="false">IFERROR(INDEX(Customers!$F$4:$F$1003,MATCH($A31,Customers!$A$4:$A$1003,0)),"")</f>
        <v/>
      </c>
      <c r="D31" s="33" t="str">
        <f aca="false">IFERROR(INDEX(Customers!$K$4:$K$1003,MATCH($A31,Customers!$A$4:$A$1003,0)),"")</f>
        <v/>
      </c>
      <c r="E31" s="33" t="str">
        <f aca="false">IF($A31="","",IF($F31=0,"Not Started",IF($BJ31="Completed",Settings!$U$45,IF($BF31="Completed",Settings!$U$44,IF($BB31="Completed",Settings!$U$43,IF($AX31="Completed",Settings!$U$42,IF($AT31="Completed",Settings!$U$41,IF($AP31="Completed",Settings!$U$40,IF($AL31="Completed",Settings!$U$39,IF($AH31="Completed",Settings!$U$38,IF($AD31="Completed",Settings!$U$37,IF($Z31="Completed",Settings!$U$36,IF($V31="Completed",Settings!$U$35,IF($R31="Completed",Settings!$U$34,IF($N31="Completed",Settings!$U$33,IF($J31="Completed",Settings!$U$32,""))))))))))))))))</f>
        <v/>
      </c>
      <c r="F31" s="30" t="str">
        <f aca="false">IF($A31="","",COUNTIF($J31:$BM31,"Completed"))</f>
        <v/>
      </c>
      <c r="G31" s="35" t="str">
        <f aca="false">IF($A31="","",MIN($F31/13,1))</f>
        <v/>
      </c>
      <c r="H31" s="31" t="str">
        <f aca="false">IF($A31="","",IF($BJ31="Completed","Case Completed",IF($AX31="Completed","Visa Rejected",IF($BF31="Completed","Departed to Europe",IF($F31=0,"Not Started","In Progress")))))</f>
        <v/>
      </c>
      <c r="I31" s="30" t="str">
        <f aca="true">IF($K31="","",IF($BK31&lt;&gt;"",$BK31-$K31,IF($AY31&lt;&gt;"",$AY31-$K31,TODAY()-$K31)))</f>
        <v/>
      </c>
      <c r="J31" s="27"/>
      <c r="K31" s="29"/>
      <c r="L31" s="28"/>
      <c r="M31" s="32"/>
      <c r="N31" s="27"/>
      <c r="O31" s="29"/>
      <c r="P31" s="28"/>
      <c r="Q31" s="32"/>
      <c r="R31" s="27"/>
      <c r="S31" s="29"/>
      <c r="T31" s="28"/>
      <c r="U31" s="32"/>
      <c r="V31" s="27"/>
      <c r="W31" s="29"/>
      <c r="X31" s="28"/>
      <c r="Y31" s="32"/>
      <c r="Z31" s="27"/>
      <c r="AA31" s="29"/>
      <c r="AB31" s="28"/>
      <c r="AC31" s="32"/>
      <c r="AD31" s="27"/>
      <c r="AE31" s="29"/>
      <c r="AF31" s="28"/>
      <c r="AG31" s="32"/>
      <c r="AH31" s="27"/>
      <c r="AI31" s="29"/>
      <c r="AJ31" s="28"/>
      <c r="AK31" s="32"/>
      <c r="AL31" s="27"/>
      <c r="AM31" s="29"/>
      <c r="AN31" s="28"/>
      <c r="AO31" s="32"/>
      <c r="AP31" s="27"/>
      <c r="AQ31" s="29"/>
      <c r="AR31" s="28"/>
      <c r="AS31" s="32"/>
      <c r="AT31" s="27"/>
      <c r="AU31" s="29"/>
      <c r="AV31" s="28"/>
      <c r="AW31" s="32"/>
      <c r="AX31" s="27"/>
      <c r="AY31" s="29"/>
      <c r="AZ31" s="28"/>
      <c r="BA31" s="32"/>
      <c r="BB31" s="27"/>
      <c r="BC31" s="29"/>
      <c r="BD31" s="28"/>
      <c r="BE31" s="32"/>
      <c r="BF31" s="27"/>
      <c r="BG31" s="29"/>
      <c r="BH31" s="28"/>
      <c r="BI31" s="32"/>
      <c r="BJ31" s="27"/>
      <c r="BK31" s="29"/>
      <c r="BL31" s="28"/>
      <c r="BM31" s="32"/>
    </row>
    <row r="32" customFormat="false" ht="15.75" hidden="false" customHeight="true" outlineLevel="0" collapsed="false">
      <c r="A32" s="27"/>
      <c r="B32" s="39" t="str">
        <f aca="false">IFERROR(INDEX(Customers!$C$4:$C$1003,MATCH($A32,Customers!$A$4:$A$1003,0)),"")</f>
        <v/>
      </c>
      <c r="C32" s="31" t="str">
        <f aca="false">IFERROR(INDEX(Customers!$F$4:$F$1003,MATCH($A32,Customers!$A$4:$A$1003,0)),"")</f>
        <v/>
      </c>
      <c r="D32" s="33" t="str">
        <f aca="false">IFERROR(INDEX(Customers!$K$4:$K$1003,MATCH($A32,Customers!$A$4:$A$1003,0)),"")</f>
        <v/>
      </c>
      <c r="E32" s="33" t="str">
        <f aca="false">IF($A32="","",IF($F32=0,"Not Started",IF($BJ32="Completed",Settings!$U$45,IF($BF32="Completed",Settings!$U$44,IF($BB32="Completed",Settings!$U$43,IF($AX32="Completed",Settings!$U$42,IF($AT32="Completed",Settings!$U$41,IF($AP32="Completed",Settings!$U$40,IF($AL32="Completed",Settings!$U$39,IF($AH32="Completed",Settings!$U$38,IF($AD32="Completed",Settings!$U$37,IF($Z32="Completed",Settings!$U$36,IF($V32="Completed",Settings!$U$35,IF($R32="Completed",Settings!$U$34,IF($N32="Completed",Settings!$U$33,IF($J32="Completed",Settings!$U$32,""))))))))))))))))</f>
        <v/>
      </c>
      <c r="F32" s="30" t="str">
        <f aca="false">IF($A32="","",COUNTIF($J32:$BM32,"Completed"))</f>
        <v/>
      </c>
      <c r="G32" s="35" t="str">
        <f aca="false">IF($A32="","",MIN($F32/13,1))</f>
        <v/>
      </c>
      <c r="H32" s="31" t="str">
        <f aca="false">IF($A32="","",IF($BJ32="Completed","Case Completed",IF($AX32="Completed","Visa Rejected",IF($BF32="Completed","Departed to Europe",IF($F32=0,"Not Started","In Progress")))))</f>
        <v/>
      </c>
      <c r="I32" s="30" t="str">
        <f aca="true">IF($K32="","",IF($BK32&lt;&gt;"",$BK32-$K32,IF($AY32&lt;&gt;"",$AY32-$K32,TODAY()-$K32)))</f>
        <v/>
      </c>
      <c r="J32" s="27"/>
      <c r="K32" s="29"/>
      <c r="L32" s="28"/>
      <c r="M32" s="32"/>
      <c r="N32" s="27"/>
      <c r="O32" s="29"/>
      <c r="P32" s="28"/>
      <c r="Q32" s="32"/>
      <c r="R32" s="27"/>
      <c r="S32" s="29"/>
      <c r="T32" s="28"/>
      <c r="U32" s="32"/>
      <c r="V32" s="27"/>
      <c r="W32" s="29"/>
      <c r="X32" s="28"/>
      <c r="Y32" s="32"/>
      <c r="Z32" s="27"/>
      <c r="AA32" s="29"/>
      <c r="AB32" s="28"/>
      <c r="AC32" s="32"/>
      <c r="AD32" s="27"/>
      <c r="AE32" s="29"/>
      <c r="AF32" s="28"/>
      <c r="AG32" s="32"/>
      <c r="AH32" s="27"/>
      <c r="AI32" s="29"/>
      <c r="AJ32" s="28"/>
      <c r="AK32" s="32"/>
      <c r="AL32" s="27"/>
      <c r="AM32" s="29"/>
      <c r="AN32" s="28"/>
      <c r="AO32" s="32"/>
      <c r="AP32" s="27"/>
      <c r="AQ32" s="29"/>
      <c r="AR32" s="28"/>
      <c r="AS32" s="32"/>
      <c r="AT32" s="27"/>
      <c r="AU32" s="29"/>
      <c r="AV32" s="28"/>
      <c r="AW32" s="32"/>
      <c r="AX32" s="27"/>
      <c r="AY32" s="29"/>
      <c r="AZ32" s="28"/>
      <c r="BA32" s="32"/>
      <c r="BB32" s="27"/>
      <c r="BC32" s="29"/>
      <c r="BD32" s="28"/>
      <c r="BE32" s="32"/>
      <c r="BF32" s="27"/>
      <c r="BG32" s="29"/>
      <c r="BH32" s="28"/>
      <c r="BI32" s="32"/>
      <c r="BJ32" s="27"/>
      <c r="BK32" s="29"/>
      <c r="BL32" s="28"/>
      <c r="BM32" s="32"/>
    </row>
    <row r="33" customFormat="false" ht="15.75" hidden="false" customHeight="true" outlineLevel="0" collapsed="false">
      <c r="A33" s="27"/>
      <c r="B33" s="39" t="str">
        <f aca="false">IFERROR(INDEX(Customers!$C$4:$C$1003,MATCH($A33,Customers!$A$4:$A$1003,0)),"")</f>
        <v/>
      </c>
      <c r="C33" s="31" t="str">
        <f aca="false">IFERROR(INDEX(Customers!$F$4:$F$1003,MATCH($A33,Customers!$A$4:$A$1003,0)),"")</f>
        <v/>
      </c>
      <c r="D33" s="33" t="str">
        <f aca="false">IFERROR(INDEX(Customers!$K$4:$K$1003,MATCH($A33,Customers!$A$4:$A$1003,0)),"")</f>
        <v/>
      </c>
      <c r="E33" s="33" t="str">
        <f aca="false">IF($A33="","",IF($F33=0,"Not Started",IF($BJ33="Completed",Settings!$U$45,IF($BF33="Completed",Settings!$U$44,IF($BB33="Completed",Settings!$U$43,IF($AX33="Completed",Settings!$U$42,IF($AT33="Completed",Settings!$U$41,IF($AP33="Completed",Settings!$U$40,IF($AL33="Completed",Settings!$U$39,IF($AH33="Completed",Settings!$U$38,IF($AD33="Completed",Settings!$U$37,IF($Z33="Completed",Settings!$U$36,IF($V33="Completed",Settings!$U$35,IF($R33="Completed",Settings!$U$34,IF($N33="Completed",Settings!$U$33,IF($J33="Completed",Settings!$U$32,""))))))))))))))))</f>
        <v/>
      </c>
      <c r="F33" s="30" t="str">
        <f aca="false">IF($A33="","",COUNTIF($J33:$BM33,"Completed"))</f>
        <v/>
      </c>
      <c r="G33" s="35" t="str">
        <f aca="false">IF($A33="","",MIN($F33/13,1))</f>
        <v/>
      </c>
      <c r="H33" s="31" t="str">
        <f aca="false">IF($A33="","",IF($BJ33="Completed","Case Completed",IF($AX33="Completed","Visa Rejected",IF($BF33="Completed","Departed to Europe",IF($F33=0,"Not Started","In Progress")))))</f>
        <v/>
      </c>
      <c r="I33" s="30" t="str">
        <f aca="true">IF($K33="","",IF($BK33&lt;&gt;"",$BK33-$K33,IF($AY33&lt;&gt;"",$AY33-$K33,TODAY()-$K33)))</f>
        <v/>
      </c>
      <c r="J33" s="27"/>
      <c r="K33" s="29"/>
      <c r="L33" s="28"/>
      <c r="M33" s="32"/>
      <c r="N33" s="27"/>
      <c r="O33" s="29"/>
      <c r="P33" s="28"/>
      <c r="Q33" s="32"/>
      <c r="R33" s="27"/>
      <c r="S33" s="29"/>
      <c r="T33" s="28"/>
      <c r="U33" s="32"/>
      <c r="V33" s="27"/>
      <c r="W33" s="29"/>
      <c r="X33" s="28"/>
      <c r="Y33" s="32"/>
      <c r="Z33" s="27"/>
      <c r="AA33" s="29"/>
      <c r="AB33" s="28"/>
      <c r="AC33" s="32"/>
      <c r="AD33" s="27"/>
      <c r="AE33" s="29"/>
      <c r="AF33" s="28"/>
      <c r="AG33" s="32"/>
      <c r="AH33" s="27"/>
      <c r="AI33" s="29"/>
      <c r="AJ33" s="28"/>
      <c r="AK33" s="32"/>
      <c r="AL33" s="27"/>
      <c r="AM33" s="29"/>
      <c r="AN33" s="28"/>
      <c r="AO33" s="32"/>
      <c r="AP33" s="27"/>
      <c r="AQ33" s="29"/>
      <c r="AR33" s="28"/>
      <c r="AS33" s="32"/>
      <c r="AT33" s="27"/>
      <c r="AU33" s="29"/>
      <c r="AV33" s="28"/>
      <c r="AW33" s="32"/>
      <c r="AX33" s="27"/>
      <c r="AY33" s="29"/>
      <c r="AZ33" s="28"/>
      <c r="BA33" s="32"/>
      <c r="BB33" s="27"/>
      <c r="BC33" s="29"/>
      <c r="BD33" s="28"/>
      <c r="BE33" s="32"/>
      <c r="BF33" s="27"/>
      <c r="BG33" s="29"/>
      <c r="BH33" s="28"/>
      <c r="BI33" s="32"/>
      <c r="BJ33" s="27"/>
      <c r="BK33" s="29"/>
      <c r="BL33" s="28"/>
      <c r="BM33" s="32"/>
    </row>
    <row r="34" customFormat="false" ht="15.75" hidden="false" customHeight="true" outlineLevel="0" collapsed="false">
      <c r="A34" s="27"/>
      <c r="B34" s="39" t="str">
        <f aca="false">IFERROR(INDEX(Customers!$C$4:$C$1003,MATCH($A34,Customers!$A$4:$A$1003,0)),"")</f>
        <v/>
      </c>
      <c r="C34" s="31" t="str">
        <f aca="false">IFERROR(INDEX(Customers!$F$4:$F$1003,MATCH($A34,Customers!$A$4:$A$1003,0)),"")</f>
        <v/>
      </c>
      <c r="D34" s="33" t="str">
        <f aca="false">IFERROR(INDEX(Customers!$K$4:$K$1003,MATCH($A34,Customers!$A$4:$A$1003,0)),"")</f>
        <v/>
      </c>
      <c r="E34" s="33" t="str">
        <f aca="false">IF($A34="","",IF($F34=0,"Not Started",IF($BJ34="Completed",Settings!$U$45,IF($BF34="Completed",Settings!$U$44,IF($BB34="Completed",Settings!$U$43,IF($AX34="Completed",Settings!$U$42,IF($AT34="Completed",Settings!$U$41,IF($AP34="Completed",Settings!$U$40,IF($AL34="Completed",Settings!$U$39,IF($AH34="Completed",Settings!$U$38,IF($AD34="Completed",Settings!$U$37,IF($Z34="Completed",Settings!$U$36,IF($V34="Completed",Settings!$U$35,IF($R34="Completed",Settings!$U$34,IF($N34="Completed",Settings!$U$33,IF($J34="Completed",Settings!$U$32,""))))))))))))))))</f>
        <v/>
      </c>
      <c r="F34" s="30" t="str">
        <f aca="false">IF($A34="","",COUNTIF($J34:$BM34,"Completed"))</f>
        <v/>
      </c>
      <c r="G34" s="35" t="str">
        <f aca="false">IF($A34="","",MIN($F34/13,1))</f>
        <v/>
      </c>
      <c r="H34" s="31" t="str">
        <f aca="false">IF($A34="","",IF($BJ34="Completed","Case Completed",IF($AX34="Completed","Visa Rejected",IF($BF34="Completed","Departed to Europe",IF($F34=0,"Not Started","In Progress")))))</f>
        <v/>
      </c>
      <c r="I34" s="30" t="str">
        <f aca="true">IF($K34="","",IF($BK34&lt;&gt;"",$BK34-$K34,IF($AY34&lt;&gt;"",$AY34-$K34,TODAY()-$K34)))</f>
        <v/>
      </c>
      <c r="J34" s="27"/>
      <c r="K34" s="29"/>
      <c r="L34" s="28"/>
      <c r="M34" s="32"/>
      <c r="N34" s="27"/>
      <c r="O34" s="29"/>
      <c r="P34" s="28"/>
      <c r="Q34" s="32"/>
      <c r="R34" s="27"/>
      <c r="S34" s="29"/>
      <c r="T34" s="28"/>
      <c r="U34" s="32"/>
      <c r="V34" s="27"/>
      <c r="W34" s="29"/>
      <c r="X34" s="28"/>
      <c r="Y34" s="32"/>
      <c r="Z34" s="27"/>
      <c r="AA34" s="29"/>
      <c r="AB34" s="28"/>
      <c r="AC34" s="32"/>
      <c r="AD34" s="27"/>
      <c r="AE34" s="29"/>
      <c r="AF34" s="28"/>
      <c r="AG34" s="32"/>
      <c r="AH34" s="27"/>
      <c r="AI34" s="29"/>
      <c r="AJ34" s="28"/>
      <c r="AK34" s="32"/>
      <c r="AL34" s="27"/>
      <c r="AM34" s="29"/>
      <c r="AN34" s="28"/>
      <c r="AO34" s="32"/>
      <c r="AP34" s="27"/>
      <c r="AQ34" s="29"/>
      <c r="AR34" s="28"/>
      <c r="AS34" s="32"/>
      <c r="AT34" s="27"/>
      <c r="AU34" s="29"/>
      <c r="AV34" s="28"/>
      <c r="AW34" s="32"/>
      <c r="AX34" s="27"/>
      <c r="AY34" s="29"/>
      <c r="AZ34" s="28"/>
      <c r="BA34" s="32"/>
      <c r="BB34" s="27"/>
      <c r="BC34" s="29"/>
      <c r="BD34" s="28"/>
      <c r="BE34" s="32"/>
      <c r="BF34" s="27"/>
      <c r="BG34" s="29"/>
      <c r="BH34" s="28"/>
      <c r="BI34" s="32"/>
      <c r="BJ34" s="27"/>
      <c r="BK34" s="29"/>
      <c r="BL34" s="28"/>
      <c r="BM34" s="32"/>
    </row>
    <row r="35" customFormat="false" ht="15.75" hidden="false" customHeight="true" outlineLevel="0" collapsed="false">
      <c r="A35" s="27"/>
      <c r="B35" s="39" t="str">
        <f aca="false">IFERROR(INDEX(Customers!$C$4:$C$1003,MATCH($A35,Customers!$A$4:$A$1003,0)),"")</f>
        <v/>
      </c>
      <c r="C35" s="31" t="str">
        <f aca="false">IFERROR(INDEX(Customers!$F$4:$F$1003,MATCH($A35,Customers!$A$4:$A$1003,0)),"")</f>
        <v/>
      </c>
      <c r="D35" s="33" t="str">
        <f aca="false">IFERROR(INDEX(Customers!$K$4:$K$1003,MATCH($A35,Customers!$A$4:$A$1003,0)),"")</f>
        <v/>
      </c>
      <c r="E35" s="33" t="str">
        <f aca="false">IF($A35="","",IF($F35=0,"Not Started",IF($BJ35="Completed",Settings!$U$45,IF($BF35="Completed",Settings!$U$44,IF($BB35="Completed",Settings!$U$43,IF($AX35="Completed",Settings!$U$42,IF($AT35="Completed",Settings!$U$41,IF($AP35="Completed",Settings!$U$40,IF($AL35="Completed",Settings!$U$39,IF($AH35="Completed",Settings!$U$38,IF($AD35="Completed",Settings!$U$37,IF($Z35="Completed",Settings!$U$36,IF($V35="Completed",Settings!$U$35,IF($R35="Completed",Settings!$U$34,IF($N35="Completed",Settings!$U$33,IF($J35="Completed",Settings!$U$32,""))))))))))))))))</f>
        <v/>
      </c>
      <c r="F35" s="30" t="str">
        <f aca="false">IF($A35="","",COUNTIF($J35:$BM35,"Completed"))</f>
        <v/>
      </c>
      <c r="G35" s="35" t="str">
        <f aca="false">IF($A35="","",MIN($F35/13,1))</f>
        <v/>
      </c>
      <c r="H35" s="31" t="str">
        <f aca="false">IF($A35="","",IF($BJ35="Completed","Case Completed",IF($AX35="Completed","Visa Rejected",IF($BF35="Completed","Departed to Europe",IF($F35=0,"Not Started","In Progress")))))</f>
        <v/>
      </c>
      <c r="I35" s="30" t="str">
        <f aca="true">IF($K35="","",IF($BK35&lt;&gt;"",$BK35-$K35,IF($AY35&lt;&gt;"",$AY35-$K35,TODAY()-$K35)))</f>
        <v/>
      </c>
      <c r="J35" s="27"/>
      <c r="K35" s="29"/>
      <c r="L35" s="28"/>
      <c r="M35" s="32"/>
      <c r="N35" s="27"/>
      <c r="O35" s="29"/>
      <c r="P35" s="28"/>
      <c r="Q35" s="32"/>
      <c r="R35" s="27"/>
      <c r="S35" s="29"/>
      <c r="T35" s="28"/>
      <c r="U35" s="32"/>
      <c r="V35" s="27"/>
      <c r="W35" s="29"/>
      <c r="X35" s="28"/>
      <c r="Y35" s="32"/>
      <c r="Z35" s="27"/>
      <c r="AA35" s="29"/>
      <c r="AB35" s="28"/>
      <c r="AC35" s="32"/>
      <c r="AD35" s="27"/>
      <c r="AE35" s="29"/>
      <c r="AF35" s="28"/>
      <c r="AG35" s="32"/>
      <c r="AH35" s="27"/>
      <c r="AI35" s="29"/>
      <c r="AJ35" s="28"/>
      <c r="AK35" s="32"/>
      <c r="AL35" s="27"/>
      <c r="AM35" s="29"/>
      <c r="AN35" s="28"/>
      <c r="AO35" s="32"/>
      <c r="AP35" s="27"/>
      <c r="AQ35" s="29"/>
      <c r="AR35" s="28"/>
      <c r="AS35" s="32"/>
      <c r="AT35" s="27"/>
      <c r="AU35" s="29"/>
      <c r="AV35" s="28"/>
      <c r="AW35" s="32"/>
      <c r="AX35" s="27"/>
      <c r="AY35" s="29"/>
      <c r="AZ35" s="28"/>
      <c r="BA35" s="32"/>
      <c r="BB35" s="27"/>
      <c r="BC35" s="29"/>
      <c r="BD35" s="28"/>
      <c r="BE35" s="32"/>
      <c r="BF35" s="27"/>
      <c r="BG35" s="29"/>
      <c r="BH35" s="28"/>
      <c r="BI35" s="32"/>
      <c r="BJ35" s="27"/>
      <c r="BK35" s="29"/>
      <c r="BL35" s="28"/>
      <c r="BM35" s="32"/>
    </row>
    <row r="36" customFormat="false" ht="15.75" hidden="false" customHeight="true" outlineLevel="0" collapsed="false">
      <c r="A36" s="27"/>
      <c r="B36" s="39" t="str">
        <f aca="false">IFERROR(INDEX(Customers!$C$4:$C$1003,MATCH($A36,Customers!$A$4:$A$1003,0)),"")</f>
        <v/>
      </c>
      <c r="C36" s="31" t="str">
        <f aca="false">IFERROR(INDEX(Customers!$F$4:$F$1003,MATCH($A36,Customers!$A$4:$A$1003,0)),"")</f>
        <v/>
      </c>
      <c r="D36" s="33" t="str">
        <f aca="false">IFERROR(INDEX(Customers!$K$4:$K$1003,MATCH($A36,Customers!$A$4:$A$1003,0)),"")</f>
        <v/>
      </c>
      <c r="E36" s="33" t="str">
        <f aca="false">IF($A36="","",IF($F36=0,"Not Started",IF($BJ36="Completed",Settings!$U$45,IF($BF36="Completed",Settings!$U$44,IF($BB36="Completed",Settings!$U$43,IF($AX36="Completed",Settings!$U$42,IF($AT36="Completed",Settings!$U$41,IF($AP36="Completed",Settings!$U$40,IF($AL36="Completed",Settings!$U$39,IF($AH36="Completed",Settings!$U$38,IF($AD36="Completed",Settings!$U$37,IF($Z36="Completed",Settings!$U$36,IF($V36="Completed",Settings!$U$35,IF($R36="Completed",Settings!$U$34,IF($N36="Completed",Settings!$U$33,IF($J36="Completed",Settings!$U$32,""))))))))))))))))</f>
        <v/>
      </c>
      <c r="F36" s="30" t="str">
        <f aca="false">IF($A36="","",COUNTIF($J36:$BM36,"Completed"))</f>
        <v/>
      </c>
      <c r="G36" s="35" t="str">
        <f aca="false">IF($A36="","",MIN($F36/13,1))</f>
        <v/>
      </c>
      <c r="H36" s="31" t="str">
        <f aca="false">IF($A36="","",IF($BJ36="Completed","Case Completed",IF($AX36="Completed","Visa Rejected",IF($BF36="Completed","Departed to Europe",IF($F36=0,"Not Started","In Progress")))))</f>
        <v/>
      </c>
      <c r="I36" s="30" t="str">
        <f aca="true">IF($K36="","",IF($BK36&lt;&gt;"",$BK36-$K36,IF($AY36&lt;&gt;"",$AY36-$K36,TODAY()-$K36)))</f>
        <v/>
      </c>
      <c r="J36" s="27"/>
      <c r="K36" s="29"/>
      <c r="L36" s="28"/>
      <c r="M36" s="32"/>
      <c r="N36" s="27"/>
      <c r="O36" s="29"/>
      <c r="P36" s="28"/>
      <c r="Q36" s="32"/>
      <c r="R36" s="27"/>
      <c r="S36" s="29"/>
      <c r="T36" s="28"/>
      <c r="U36" s="32"/>
      <c r="V36" s="27"/>
      <c r="W36" s="29"/>
      <c r="X36" s="28"/>
      <c r="Y36" s="32"/>
      <c r="Z36" s="27"/>
      <c r="AA36" s="29"/>
      <c r="AB36" s="28"/>
      <c r="AC36" s="32"/>
      <c r="AD36" s="27"/>
      <c r="AE36" s="29"/>
      <c r="AF36" s="28"/>
      <c r="AG36" s="32"/>
      <c r="AH36" s="27"/>
      <c r="AI36" s="29"/>
      <c r="AJ36" s="28"/>
      <c r="AK36" s="32"/>
      <c r="AL36" s="27"/>
      <c r="AM36" s="29"/>
      <c r="AN36" s="28"/>
      <c r="AO36" s="32"/>
      <c r="AP36" s="27"/>
      <c r="AQ36" s="29"/>
      <c r="AR36" s="28"/>
      <c r="AS36" s="32"/>
      <c r="AT36" s="27"/>
      <c r="AU36" s="29"/>
      <c r="AV36" s="28"/>
      <c r="AW36" s="32"/>
      <c r="AX36" s="27"/>
      <c r="AY36" s="29"/>
      <c r="AZ36" s="28"/>
      <c r="BA36" s="32"/>
      <c r="BB36" s="27"/>
      <c r="BC36" s="29"/>
      <c r="BD36" s="28"/>
      <c r="BE36" s="32"/>
      <c r="BF36" s="27"/>
      <c r="BG36" s="29"/>
      <c r="BH36" s="28"/>
      <c r="BI36" s="32"/>
      <c r="BJ36" s="27"/>
      <c r="BK36" s="29"/>
      <c r="BL36" s="28"/>
      <c r="BM36" s="32"/>
    </row>
    <row r="37" customFormat="false" ht="15.75" hidden="false" customHeight="true" outlineLevel="0" collapsed="false">
      <c r="A37" s="27"/>
      <c r="B37" s="39" t="str">
        <f aca="false">IFERROR(INDEX(Customers!$C$4:$C$1003,MATCH($A37,Customers!$A$4:$A$1003,0)),"")</f>
        <v/>
      </c>
      <c r="C37" s="31" t="str">
        <f aca="false">IFERROR(INDEX(Customers!$F$4:$F$1003,MATCH($A37,Customers!$A$4:$A$1003,0)),"")</f>
        <v/>
      </c>
      <c r="D37" s="33" t="str">
        <f aca="false">IFERROR(INDEX(Customers!$K$4:$K$1003,MATCH($A37,Customers!$A$4:$A$1003,0)),"")</f>
        <v/>
      </c>
      <c r="E37" s="33" t="str">
        <f aca="false">IF($A37="","",IF($F37=0,"Not Started",IF($BJ37="Completed",Settings!$U$45,IF($BF37="Completed",Settings!$U$44,IF($BB37="Completed",Settings!$U$43,IF($AX37="Completed",Settings!$U$42,IF($AT37="Completed",Settings!$U$41,IF($AP37="Completed",Settings!$U$40,IF($AL37="Completed",Settings!$U$39,IF($AH37="Completed",Settings!$U$38,IF($AD37="Completed",Settings!$U$37,IF($Z37="Completed",Settings!$U$36,IF($V37="Completed",Settings!$U$35,IF($R37="Completed",Settings!$U$34,IF($N37="Completed",Settings!$U$33,IF($J37="Completed",Settings!$U$32,""))))))))))))))))</f>
        <v/>
      </c>
      <c r="F37" s="30" t="str">
        <f aca="false">IF($A37="","",COUNTIF($J37:$BM37,"Completed"))</f>
        <v/>
      </c>
      <c r="G37" s="35" t="str">
        <f aca="false">IF($A37="","",MIN($F37/13,1))</f>
        <v/>
      </c>
      <c r="H37" s="31" t="str">
        <f aca="false">IF($A37="","",IF($BJ37="Completed","Case Completed",IF($AX37="Completed","Visa Rejected",IF($BF37="Completed","Departed to Europe",IF($F37=0,"Not Started","In Progress")))))</f>
        <v/>
      </c>
      <c r="I37" s="30" t="str">
        <f aca="true">IF($K37="","",IF($BK37&lt;&gt;"",$BK37-$K37,IF($AY37&lt;&gt;"",$AY37-$K37,TODAY()-$K37)))</f>
        <v/>
      </c>
      <c r="J37" s="27"/>
      <c r="K37" s="29"/>
      <c r="L37" s="28"/>
      <c r="M37" s="32"/>
      <c r="N37" s="27"/>
      <c r="O37" s="29"/>
      <c r="P37" s="28"/>
      <c r="Q37" s="32"/>
      <c r="R37" s="27"/>
      <c r="S37" s="29"/>
      <c r="T37" s="28"/>
      <c r="U37" s="32"/>
      <c r="V37" s="27"/>
      <c r="W37" s="29"/>
      <c r="X37" s="28"/>
      <c r="Y37" s="32"/>
      <c r="Z37" s="27"/>
      <c r="AA37" s="29"/>
      <c r="AB37" s="28"/>
      <c r="AC37" s="32"/>
      <c r="AD37" s="27"/>
      <c r="AE37" s="29"/>
      <c r="AF37" s="28"/>
      <c r="AG37" s="32"/>
      <c r="AH37" s="27"/>
      <c r="AI37" s="29"/>
      <c r="AJ37" s="28"/>
      <c r="AK37" s="32"/>
      <c r="AL37" s="27"/>
      <c r="AM37" s="29"/>
      <c r="AN37" s="28"/>
      <c r="AO37" s="32"/>
      <c r="AP37" s="27"/>
      <c r="AQ37" s="29"/>
      <c r="AR37" s="28"/>
      <c r="AS37" s="32"/>
      <c r="AT37" s="27"/>
      <c r="AU37" s="29"/>
      <c r="AV37" s="28"/>
      <c r="AW37" s="32"/>
      <c r="AX37" s="27"/>
      <c r="AY37" s="29"/>
      <c r="AZ37" s="28"/>
      <c r="BA37" s="32"/>
      <c r="BB37" s="27"/>
      <c r="BC37" s="29"/>
      <c r="BD37" s="28"/>
      <c r="BE37" s="32"/>
      <c r="BF37" s="27"/>
      <c r="BG37" s="29"/>
      <c r="BH37" s="28"/>
      <c r="BI37" s="32"/>
      <c r="BJ37" s="27"/>
      <c r="BK37" s="29"/>
      <c r="BL37" s="28"/>
      <c r="BM37" s="32"/>
    </row>
    <row r="38" customFormat="false" ht="15.75" hidden="false" customHeight="true" outlineLevel="0" collapsed="false">
      <c r="A38" s="27"/>
      <c r="B38" s="39" t="str">
        <f aca="false">IFERROR(INDEX(Customers!$C$4:$C$1003,MATCH($A38,Customers!$A$4:$A$1003,0)),"")</f>
        <v/>
      </c>
      <c r="C38" s="31" t="str">
        <f aca="false">IFERROR(INDEX(Customers!$F$4:$F$1003,MATCH($A38,Customers!$A$4:$A$1003,0)),"")</f>
        <v/>
      </c>
      <c r="D38" s="33" t="str">
        <f aca="false">IFERROR(INDEX(Customers!$K$4:$K$1003,MATCH($A38,Customers!$A$4:$A$1003,0)),"")</f>
        <v/>
      </c>
      <c r="E38" s="33" t="str">
        <f aca="false">IF($A38="","",IF($F38=0,"Not Started",IF($BJ38="Completed",Settings!$U$45,IF($BF38="Completed",Settings!$U$44,IF($BB38="Completed",Settings!$U$43,IF($AX38="Completed",Settings!$U$42,IF($AT38="Completed",Settings!$U$41,IF($AP38="Completed",Settings!$U$40,IF($AL38="Completed",Settings!$U$39,IF($AH38="Completed",Settings!$U$38,IF($AD38="Completed",Settings!$U$37,IF($Z38="Completed",Settings!$U$36,IF($V38="Completed",Settings!$U$35,IF($R38="Completed",Settings!$U$34,IF($N38="Completed",Settings!$U$33,IF($J38="Completed",Settings!$U$32,""))))))))))))))))</f>
        <v/>
      </c>
      <c r="F38" s="30" t="str">
        <f aca="false">IF($A38="","",COUNTIF($J38:$BM38,"Completed"))</f>
        <v/>
      </c>
      <c r="G38" s="35" t="str">
        <f aca="false">IF($A38="","",MIN($F38/13,1))</f>
        <v/>
      </c>
      <c r="H38" s="31" t="str">
        <f aca="false">IF($A38="","",IF($BJ38="Completed","Case Completed",IF($AX38="Completed","Visa Rejected",IF($BF38="Completed","Departed to Europe",IF($F38=0,"Not Started","In Progress")))))</f>
        <v/>
      </c>
      <c r="I38" s="30" t="str">
        <f aca="true">IF($K38="","",IF($BK38&lt;&gt;"",$BK38-$K38,IF($AY38&lt;&gt;"",$AY38-$K38,TODAY()-$K38)))</f>
        <v/>
      </c>
      <c r="J38" s="27"/>
      <c r="K38" s="29"/>
      <c r="L38" s="28"/>
      <c r="M38" s="32"/>
      <c r="N38" s="27"/>
      <c r="O38" s="29"/>
      <c r="P38" s="28"/>
      <c r="Q38" s="32"/>
      <c r="R38" s="27"/>
      <c r="S38" s="29"/>
      <c r="T38" s="28"/>
      <c r="U38" s="32"/>
      <c r="V38" s="27"/>
      <c r="W38" s="29"/>
      <c r="X38" s="28"/>
      <c r="Y38" s="32"/>
      <c r="Z38" s="27"/>
      <c r="AA38" s="29"/>
      <c r="AB38" s="28"/>
      <c r="AC38" s="32"/>
      <c r="AD38" s="27"/>
      <c r="AE38" s="29"/>
      <c r="AF38" s="28"/>
      <c r="AG38" s="32"/>
      <c r="AH38" s="27"/>
      <c r="AI38" s="29"/>
      <c r="AJ38" s="28"/>
      <c r="AK38" s="32"/>
      <c r="AL38" s="27"/>
      <c r="AM38" s="29"/>
      <c r="AN38" s="28"/>
      <c r="AO38" s="32"/>
      <c r="AP38" s="27"/>
      <c r="AQ38" s="29"/>
      <c r="AR38" s="28"/>
      <c r="AS38" s="32"/>
      <c r="AT38" s="27"/>
      <c r="AU38" s="29"/>
      <c r="AV38" s="28"/>
      <c r="AW38" s="32"/>
      <c r="AX38" s="27"/>
      <c r="AY38" s="29"/>
      <c r="AZ38" s="28"/>
      <c r="BA38" s="32"/>
      <c r="BB38" s="27"/>
      <c r="BC38" s="29"/>
      <c r="BD38" s="28"/>
      <c r="BE38" s="32"/>
      <c r="BF38" s="27"/>
      <c r="BG38" s="29"/>
      <c r="BH38" s="28"/>
      <c r="BI38" s="32"/>
      <c r="BJ38" s="27"/>
      <c r="BK38" s="29"/>
      <c r="BL38" s="28"/>
      <c r="BM38" s="32"/>
    </row>
    <row r="39" customFormat="false" ht="15.75" hidden="false" customHeight="true" outlineLevel="0" collapsed="false">
      <c r="A39" s="27"/>
      <c r="B39" s="39" t="str">
        <f aca="false">IFERROR(INDEX(Customers!$C$4:$C$1003,MATCH($A39,Customers!$A$4:$A$1003,0)),"")</f>
        <v/>
      </c>
      <c r="C39" s="31" t="str">
        <f aca="false">IFERROR(INDEX(Customers!$F$4:$F$1003,MATCH($A39,Customers!$A$4:$A$1003,0)),"")</f>
        <v/>
      </c>
      <c r="D39" s="33" t="str">
        <f aca="false">IFERROR(INDEX(Customers!$K$4:$K$1003,MATCH($A39,Customers!$A$4:$A$1003,0)),"")</f>
        <v/>
      </c>
      <c r="E39" s="33" t="str">
        <f aca="false">IF($A39="","",IF($F39=0,"Not Started",IF($BJ39="Completed",Settings!$U$45,IF($BF39="Completed",Settings!$U$44,IF($BB39="Completed",Settings!$U$43,IF($AX39="Completed",Settings!$U$42,IF($AT39="Completed",Settings!$U$41,IF($AP39="Completed",Settings!$U$40,IF($AL39="Completed",Settings!$U$39,IF($AH39="Completed",Settings!$U$38,IF($AD39="Completed",Settings!$U$37,IF($Z39="Completed",Settings!$U$36,IF($V39="Completed",Settings!$U$35,IF($R39="Completed",Settings!$U$34,IF($N39="Completed",Settings!$U$33,IF($J39="Completed",Settings!$U$32,""))))))))))))))))</f>
        <v/>
      </c>
      <c r="F39" s="30" t="str">
        <f aca="false">IF($A39="","",COUNTIF($J39:$BM39,"Completed"))</f>
        <v/>
      </c>
      <c r="G39" s="35" t="str">
        <f aca="false">IF($A39="","",MIN($F39/13,1))</f>
        <v/>
      </c>
      <c r="H39" s="31" t="str">
        <f aca="false">IF($A39="","",IF($BJ39="Completed","Case Completed",IF($AX39="Completed","Visa Rejected",IF($BF39="Completed","Departed to Europe",IF($F39=0,"Not Started","In Progress")))))</f>
        <v/>
      </c>
      <c r="I39" s="30" t="str">
        <f aca="true">IF($K39="","",IF($BK39&lt;&gt;"",$BK39-$K39,IF($AY39&lt;&gt;"",$AY39-$K39,TODAY()-$K39)))</f>
        <v/>
      </c>
      <c r="J39" s="27"/>
      <c r="K39" s="29"/>
      <c r="L39" s="28"/>
      <c r="M39" s="32"/>
      <c r="N39" s="27"/>
      <c r="O39" s="29"/>
      <c r="P39" s="28"/>
      <c r="Q39" s="32"/>
      <c r="R39" s="27"/>
      <c r="S39" s="29"/>
      <c r="T39" s="28"/>
      <c r="U39" s="32"/>
      <c r="V39" s="27"/>
      <c r="W39" s="29"/>
      <c r="X39" s="28"/>
      <c r="Y39" s="32"/>
      <c r="Z39" s="27"/>
      <c r="AA39" s="29"/>
      <c r="AB39" s="28"/>
      <c r="AC39" s="32"/>
      <c r="AD39" s="27"/>
      <c r="AE39" s="29"/>
      <c r="AF39" s="28"/>
      <c r="AG39" s="32"/>
      <c r="AH39" s="27"/>
      <c r="AI39" s="29"/>
      <c r="AJ39" s="28"/>
      <c r="AK39" s="32"/>
      <c r="AL39" s="27"/>
      <c r="AM39" s="29"/>
      <c r="AN39" s="28"/>
      <c r="AO39" s="32"/>
      <c r="AP39" s="27"/>
      <c r="AQ39" s="29"/>
      <c r="AR39" s="28"/>
      <c r="AS39" s="32"/>
      <c r="AT39" s="27"/>
      <c r="AU39" s="29"/>
      <c r="AV39" s="28"/>
      <c r="AW39" s="32"/>
      <c r="AX39" s="27"/>
      <c r="AY39" s="29"/>
      <c r="AZ39" s="28"/>
      <c r="BA39" s="32"/>
      <c r="BB39" s="27"/>
      <c r="BC39" s="29"/>
      <c r="BD39" s="28"/>
      <c r="BE39" s="32"/>
      <c r="BF39" s="27"/>
      <c r="BG39" s="29"/>
      <c r="BH39" s="28"/>
      <c r="BI39" s="32"/>
      <c r="BJ39" s="27"/>
      <c r="BK39" s="29"/>
      <c r="BL39" s="28"/>
      <c r="BM39" s="32"/>
    </row>
    <row r="40" customFormat="false" ht="15.75" hidden="false" customHeight="true" outlineLevel="0" collapsed="false">
      <c r="A40" s="27"/>
      <c r="B40" s="39" t="str">
        <f aca="false">IFERROR(INDEX(Customers!$C$4:$C$1003,MATCH($A40,Customers!$A$4:$A$1003,0)),"")</f>
        <v/>
      </c>
      <c r="C40" s="31" t="str">
        <f aca="false">IFERROR(INDEX(Customers!$F$4:$F$1003,MATCH($A40,Customers!$A$4:$A$1003,0)),"")</f>
        <v/>
      </c>
      <c r="D40" s="33" t="str">
        <f aca="false">IFERROR(INDEX(Customers!$K$4:$K$1003,MATCH($A40,Customers!$A$4:$A$1003,0)),"")</f>
        <v/>
      </c>
      <c r="E40" s="33" t="str">
        <f aca="false">IF($A40="","",IF($F40=0,"Not Started",IF($BJ40="Completed",Settings!$U$45,IF($BF40="Completed",Settings!$U$44,IF($BB40="Completed",Settings!$U$43,IF($AX40="Completed",Settings!$U$42,IF($AT40="Completed",Settings!$U$41,IF($AP40="Completed",Settings!$U$40,IF($AL40="Completed",Settings!$U$39,IF($AH40="Completed",Settings!$U$38,IF($AD40="Completed",Settings!$U$37,IF($Z40="Completed",Settings!$U$36,IF($V40="Completed",Settings!$U$35,IF($R40="Completed",Settings!$U$34,IF($N40="Completed",Settings!$U$33,IF($J40="Completed",Settings!$U$32,""))))))))))))))))</f>
        <v/>
      </c>
      <c r="F40" s="30" t="str">
        <f aca="false">IF($A40="","",COUNTIF($J40:$BM40,"Completed"))</f>
        <v/>
      </c>
      <c r="G40" s="35" t="str">
        <f aca="false">IF($A40="","",MIN($F40/13,1))</f>
        <v/>
      </c>
      <c r="H40" s="31" t="str">
        <f aca="false">IF($A40="","",IF($BJ40="Completed","Case Completed",IF($AX40="Completed","Visa Rejected",IF($BF40="Completed","Departed to Europe",IF($F40=0,"Not Started","In Progress")))))</f>
        <v/>
      </c>
      <c r="I40" s="30" t="str">
        <f aca="true">IF($K40="","",IF($BK40&lt;&gt;"",$BK40-$K40,IF($AY40&lt;&gt;"",$AY40-$K40,TODAY()-$K40)))</f>
        <v/>
      </c>
      <c r="J40" s="27"/>
      <c r="K40" s="29"/>
      <c r="L40" s="28"/>
      <c r="M40" s="32"/>
      <c r="N40" s="27"/>
      <c r="O40" s="29"/>
      <c r="P40" s="28"/>
      <c r="Q40" s="32"/>
      <c r="R40" s="27"/>
      <c r="S40" s="29"/>
      <c r="T40" s="28"/>
      <c r="U40" s="32"/>
      <c r="V40" s="27"/>
      <c r="W40" s="29"/>
      <c r="X40" s="28"/>
      <c r="Y40" s="32"/>
      <c r="Z40" s="27"/>
      <c r="AA40" s="29"/>
      <c r="AB40" s="28"/>
      <c r="AC40" s="32"/>
      <c r="AD40" s="27"/>
      <c r="AE40" s="29"/>
      <c r="AF40" s="28"/>
      <c r="AG40" s="32"/>
      <c r="AH40" s="27"/>
      <c r="AI40" s="29"/>
      <c r="AJ40" s="28"/>
      <c r="AK40" s="32"/>
      <c r="AL40" s="27"/>
      <c r="AM40" s="29"/>
      <c r="AN40" s="28"/>
      <c r="AO40" s="32"/>
      <c r="AP40" s="27"/>
      <c r="AQ40" s="29"/>
      <c r="AR40" s="28"/>
      <c r="AS40" s="32"/>
      <c r="AT40" s="27"/>
      <c r="AU40" s="29"/>
      <c r="AV40" s="28"/>
      <c r="AW40" s="32"/>
      <c r="AX40" s="27"/>
      <c r="AY40" s="29"/>
      <c r="AZ40" s="28"/>
      <c r="BA40" s="32"/>
      <c r="BB40" s="27"/>
      <c r="BC40" s="29"/>
      <c r="BD40" s="28"/>
      <c r="BE40" s="32"/>
      <c r="BF40" s="27"/>
      <c r="BG40" s="29"/>
      <c r="BH40" s="28"/>
      <c r="BI40" s="32"/>
      <c r="BJ40" s="27"/>
      <c r="BK40" s="29"/>
      <c r="BL40" s="28"/>
      <c r="BM40" s="32"/>
    </row>
    <row r="41" customFormat="false" ht="15.75" hidden="false" customHeight="true" outlineLevel="0" collapsed="false">
      <c r="A41" s="27"/>
      <c r="B41" s="39" t="str">
        <f aca="false">IFERROR(INDEX(Customers!$C$4:$C$1003,MATCH($A41,Customers!$A$4:$A$1003,0)),"")</f>
        <v/>
      </c>
      <c r="C41" s="31" t="str">
        <f aca="false">IFERROR(INDEX(Customers!$F$4:$F$1003,MATCH($A41,Customers!$A$4:$A$1003,0)),"")</f>
        <v/>
      </c>
      <c r="D41" s="33" t="str">
        <f aca="false">IFERROR(INDEX(Customers!$K$4:$K$1003,MATCH($A41,Customers!$A$4:$A$1003,0)),"")</f>
        <v/>
      </c>
      <c r="E41" s="33" t="str">
        <f aca="false">IF($A41="","",IF($F41=0,"Not Started",IF($BJ41="Completed",Settings!$U$45,IF($BF41="Completed",Settings!$U$44,IF($BB41="Completed",Settings!$U$43,IF($AX41="Completed",Settings!$U$42,IF($AT41="Completed",Settings!$U$41,IF($AP41="Completed",Settings!$U$40,IF($AL41="Completed",Settings!$U$39,IF($AH41="Completed",Settings!$U$38,IF($AD41="Completed",Settings!$U$37,IF($Z41="Completed",Settings!$U$36,IF($V41="Completed",Settings!$U$35,IF($R41="Completed",Settings!$U$34,IF($N41="Completed",Settings!$U$33,IF($J41="Completed",Settings!$U$32,""))))))))))))))))</f>
        <v/>
      </c>
      <c r="F41" s="30" t="str">
        <f aca="false">IF($A41="","",COUNTIF($J41:$BM41,"Completed"))</f>
        <v/>
      </c>
      <c r="G41" s="35" t="str">
        <f aca="false">IF($A41="","",MIN($F41/13,1))</f>
        <v/>
      </c>
      <c r="H41" s="31" t="str">
        <f aca="false">IF($A41="","",IF($BJ41="Completed","Case Completed",IF($AX41="Completed","Visa Rejected",IF($BF41="Completed","Departed to Europe",IF($F41=0,"Not Started","In Progress")))))</f>
        <v/>
      </c>
      <c r="I41" s="30" t="str">
        <f aca="true">IF($K41="","",IF($BK41&lt;&gt;"",$BK41-$K41,IF($AY41&lt;&gt;"",$AY41-$K41,TODAY()-$K41)))</f>
        <v/>
      </c>
      <c r="J41" s="27"/>
      <c r="K41" s="29"/>
      <c r="L41" s="28"/>
      <c r="M41" s="32"/>
      <c r="N41" s="27"/>
      <c r="O41" s="29"/>
      <c r="P41" s="28"/>
      <c r="Q41" s="32"/>
      <c r="R41" s="27"/>
      <c r="S41" s="29"/>
      <c r="T41" s="28"/>
      <c r="U41" s="32"/>
      <c r="V41" s="27"/>
      <c r="W41" s="29"/>
      <c r="X41" s="28"/>
      <c r="Y41" s="32"/>
      <c r="Z41" s="27"/>
      <c r="AA41" s="29"/>
      <c r="AB41" s="28"/>
      <c r="AC41" s="32"/>
      <c r="AD41" s="27"/>
      <c r="AE41" s="29"/>
      <c r="AF41" s="28"/>
      <c r="AG41" s="32"/>
      <c r="AH41" s="27"/>
      <c r="AI41" s="29"/>
      <c r="AJ41" s="28"/>
      <c r="AK41" s="32"/>
      <c r="AL41" s="27"/>
      <c r="AM41" s="29"/>
      <c r="AN41" s="28"/>
      <c r="AO41" s="32"/>
      <c r="AP41" s="27"/>
      <c r="AQ41" s="29"/>
      <c r="AR41" s="28"/>
      <c r="AS41" s="32"/>
      <c r="AT41" s="27"/>
      <c r="AU41" s="29"/>
      <c r="AV41" s="28"/>
      <c r="AW41" s="32"/>
      <c r="AX41" s="27"/>
      <c r="AY41" s="29"/>
      <c r="AZ41" s="28"/>
      <c r="BA41" s="32"/>
      <c r="BB41" s="27"/>
      <c r="BC41" s="29"/>
      <c r="BD41" s="28"/>
      <c r="BE41" s="32"/>
      <c r="BF41" s="27"/>
      <c r="BG41" s="29"/>
      <c r="BH41" s="28"/>
      <c r="BI41" s="32"/>
      <c r="BJ41" s="27"/>
      <c r="BK41" s="29"/>
      <c r="BL41" s="28"/>
      <c r="BM41" s="32"/>
    </row>
    <row r="42" customFormat="false" ht="15.75" hidden="false" customHeight="true" outlineLevel="0" collapsed="false">
      <c r="A42" s="27"/>
      <c r="B42" s="39" t="str">
        <f aca="false">IFERROR(INDEX(Customers!$C$4:$C$1003,MATCH($A42,Customers!$A$4:$A$1003,0)),"")</f>
        <v/>
      </c>
      <c r="C42" s="31" t="str">
        <f aca="false">IFERROR(INDEX(Customers!$F$4:$F$1003,MATCH($A42,Customers!$A$4:$A$1003,0)),"")</f>
        <v/>
      </c>
      <c r="D42" s="33" t="str">
        <f aca="false">IFERROR(INDEX(Customers!$K$4:$K$1003,MATCH($A42,Customers!$A$4:$A$1003,0)),"")</f>
        <v/>
      </c>
      <c r="E42" s="33" t="str">
        <f aca="false">IF($A42="","",IF($F42=0,"Not Started",IF($BJ42="Completed",Settings!$U$45,IF($BF42="Completed",Settings!$U$44,IF($BB42="Completed",Settings!$U$43,IF($AX42="Completed",Settings!$U$42,IF($AT42="Completed",Settings!$U$41,IF($AP42="Completed",Settings!$U$40,IF($AL42="Completed",Settings!$U$39,IF($AH42="Completed",Settings!$U$38,IF($AD42="Completed",Settings!$U$37,IF($Z42="Completed",Settings!$U$36,IF($V42="Completed",Settings!$U$35,IF($R42="Completed",Settings!$U$34,IF($N42="Completed",Settings!$U$33,IF($J42="Completed",Settings!$U$32,""))))))))))))))))</f>
        <v/>
      </c>
      <c r="F42" s="30" t="str">
        <f aca="false">IF($A42="","",COUNTIF($J42:$BM42,"Completed"))</f>
        <v/>
      </c>
      <c r="G42" s="35" t="str">
        <f aca="false">IF($A42="","",MIN($F42/13,1))</f>
        <v/>
      </c>
      <c r="H42" s="31" t="str">
        <f aca="false">IF($A42="","",IF($BJ42="Completed","Case Completed",IF($AX42="Completed","Visa Rejected",IF($BF42="Completed","Departed to Europe",IF($F42=0,"Not Started","In Progress")))))</f>
        <v/>
      </c>
      <c r="I42" s="30" t="str">
        <f aca="true">IF($K42="","",IF($BK42&lt;&gt;"",$BK42-$K42,IF($AY42&lt;&gt;"",$AY42-$K42,TODAY()-$K42)))</f>
        <v/>
      </c>
      <c r="J42" s="27"/>
      <c r="K42" s="29"/>
      <c r="L42" s="28"/>
      <c r="M42" s="32"/>
      <c r="N42" s="27"/>
      <c r="O42" s="29"/>
      <c r="P42" s="28"/>
      <c r="Q42" s="32"/>
      <c r="R42" s="27"/>
      <c r="S42" s="29"/>
      <c r="T42" s="28"/>
      <c r="U42" s="32"/>
      <c r="V42" s="27"/>
      <c r="W42" s="29"/>
      <c r="X42" s="28"/>
      <c r="Y42" s="32"/>
      <c r="Z42" s="27"/>
      <c r="AA42" s="29"/>
      <c r="AB42" s="28"/>
      <c r="AC42" s="32"/>
      <c r="AD42" s="27"/>
      <c r="AE42" s="29"/>
      <c r="AF42" s="28"/>
      <c r="AG42" s="32"/>
      <c r="AH42" s="27"/>
      <c r="AI42" s="29"/>
      <c r="AJ42" s="28"/>
      <c r="AK42" s="32"/>
      <c r="AL42" s="27"/>
      <c r="AM42" s="29"/>
      <c r="AN42" s="28"/>
      <c r="AO42" s="32"/>
      <c r="AP42" s="27"/>
      <c r="AQ42" s="29"/>
      <c r="AR42" s="28"/>
      <c r="AS42" s="32"/>
      <c r="AT42" s="27"/>
      <c r="AU42" s="29"/>
      <c r="AV42" s="28"/>
      <c r="AW42" s="32"/>
      <c r="AX42" s="27"/>
      <c r="AY42" s="29"/>
      <c r="AZ42" s="28"/>
      <c r="BA42" s="32"/>
      <c r="BB42" s="27"/>
      <c r="BC42" s="29"/>
      <c r="BD42" s="28"/>
      <c r="BE42" s="32"/>
      <c r="BF42" s="27"/>
      <c r="BG42" s="29"/>
      <c r="BH42" s="28"/>
      <c r="BI42" s="32"/>
      <c r="BJ42" s="27"/>
      <c r="BK42" s="29"/>
      <c r="BL42" s="28"/>
      <c r="BM42" s="32"/>
    </row>
    <row r="43" customFormat="false" ht="15.75" hidden="false" customHeight="true" outlineLevel="0" collapsed="false">
      <c r="A43" s="27"/>
      <c r="B43" s="39" t="str">
        <f aca="false">IFERROR(INDEX(Customers!$C$4:$C$1003,MATCH($A43,Customers!$A$4:$A$1003,0)),"")</f>
        <v/>
      </c>
      <c r="C43" s="31" t="str">
        <f aca="false">IFERROR(INDEX(Customers!$F$4:$F$1003,MATCH($A43,Customers!$A$4:$A$1003,0)),"")</f>
        <v/>
      </c>
      <c r="D43" s="33" t="str">
        <f aca="false">IFERROR(INDEX(Customers!$K$4:$K$1003,MATCH($A43,Customers!$A$4:$A$1003,0)),"")</f>
        <v/>
      </c>
      <c r="E43" s="33" t="str">
        <f aca="false">IF($A43="","",IF($F43=0,"Not Started",IF($BJ43="Completed",Settings!$U$45,IF($BF43="Completed",Settings!$U$44,IF($BB43="Completed",Settings!$U$43,IF($AX43="Completed",Settings!$U$42,IF($AT43="Completed",Settings!$U$41,IF($AP43="Completed",Settings!$U$40,IF($AL43="Completed",Settings!$U$39,IF($AH43="Completed",Settings!$U$38,IF($AD43="Completed",Settings!$U$37,IF($Z43="Completed",Settings!$U$36,IF($V43="Completed",Settings!$U$35,IF($R43="Completed",Settings!$U$34,IF($N43="Completed",Settings!$U$33,IF($J43="Completed",Settings!$U$32,""))))))))))))))))</f>
        <v/>
      </c>
      <c r="F43" s="30" t="str">
        <f aca="false">IF($A43="","",COUNTIF($J43:$BM43,"Completed"))</f>
        <v/>
      </c>
      <c r="G43" s="35" t="str">
        <f aca="false">IF($A43="","",MIN($F43/13,1))</f>
        <v/>
      </c>
      <c r="H43" s="31" t="str">
        <f aca="false">IF($A43="","",IF($BJ43="Completed","Case Completed",IF($AX43="Completed","Visa Rejected",IF($BF43="Completed","Departed to Europe",IF($F43=0,"Not Started","In Progress")))))</f>
        <v/>
      </c>
      <c r="I43" s="30" t="str">
        <f aca="true">IF($K43="","",IF($BK43&lt;&gt;"",$BK43-$K43,IF($AY43&lt;&gt;"",$AY43-$K43,TODAY()-$K43)))</f>
        <v/>
      </c>
      <c r="J43" s="27"/>
      <c r="K43" s="29"/>
      <c r="L43" s="28"/>
      <c r="M43" s="32"/>
      <c r="N43" s="27"/>
      <c r="O43" s="29"/>
      <c r="P43" s="28"/>
      <c r="Q43" s="32"/>
      <c r="R43" s="27"/>
      <c r="S43" s="29"/>
      <c r="T43" s="28"/>
      <c r="U43" s="32"/>
      <c r="V43" s="27"/>
      <c r="W43" s="29"/>
      <c r="X43" s="28"/>
      <c r="Y43" s="32"/>
      <c r="Z43" s="27"/>
      <c r="AA43" s="29"/>
      <c r="AB43" s="28"/>
      <c r="AC43" s="32"/>
      <c r="AD43" s="27"/>
      <c r="AE43" s="29"/>
      <c r="AF43" s="28"/>
      <c r="AG43" s="32"/>
      <c r="AH43" s="27"/>
      <c r="AI43" s="29"/>
      <c r="AJ43" s="28"/>
      <c r="AK43" s="32"/>
      <c r="AL43" s="27"/>
      <c r="AM43" s="29"/>
      <c r="AN43" s="28"/>
      <c r="AO43" s="32"/>
      <c r="AP43" s="27"/>
      <c r="AQ43" s="29"/>
      <c r="AR43" s="28"/>
      <c r="AS43" s="32"/>
      <c r="AT43" s="27"/>
      <c r="AU43" s="29"/>
      <c r="AV43" s="28"/>
      <c r="AW43" s="32"/>
      <c r="AX43" s="27"/>
      <c r="AY43" s="29"/>
      <c r="AZ43" s="28"/>
      <c r="BA43" s="32"/>
      <c r="BB43" s="27"/>
      <c r="BC43" s="29"/>
      <c r="BD43" s="28"/>
      <c r="BE43" s="32"/>
      <c r="BF43" s="27"/>
      <c r="BG43" s="29"/>
      <c r="BH43" s="28"/>
      <c r="BI43" s="32"/>
      <c r="BJ43" s="27"/>
      <c r="BK43" s="29"/>
      <c r="BL43" s="28"/>
      <c r="BM43" s="32"/>
    </row>
    <row r="44" customFormat="false" ht="15.75" hidden="false" customHeight="true" outlineLevel="0" collapsed="false">
      <c r="A44" s="27"/>
      <c r="B44" s="39" t="str">
        <f aca="false">IFERROR(INDEX(Customers!$C$4:$C$1003,MATCH($A44,Customers!$A$4:$A$1003,0)),"")</f>
        <v/>
      </c>
      <c r="C44" s="31" t="str">
        <f aca="false">IFERROR(INDEX(Customers!$F$4:$F$1003,MATCH($A44,Customers!$A$4:$A$1003,0)),"")</f>
        <v/>
      </c>
      <c r="D44" s="33" t="str">
        <f aca="false">IFERROR(INDEX(Customers!$K$4:$K$1003,MATCH($A44,Customers!$A$4:$A$1003,0)),"")</f>
        <v/>
      </c>
      <c r="E44" s="33" t="str">
        <f aca="false">IF($A44="","",IF($F44=0,"Not Started",IF($BJ44="Completed",Settings!$U$45,IF($BF44="Completed",Settings!$U$44,IF($BB44="Completed",Settings!$U$43,IF($AX44="Completed",Settings!$U$42,IF($AT44="Completed",Settings!$U$41,IF($AP44="Completed",Settings!$U$40,IF($AL44="Completed",Settings!$U$39,IF($AH44="Completed",Settings!$U$38,IF($AD44="Completed",Settings!$U$37,IF($Z44="Completed",Settings!$U$36,IF($V44="Completed",Settings!$U$35,IF($R44="Completed",Settings!$U$34,IF($N44="Completed",Settings!$U$33,IF($J44="Completed",Settings!$U$32,""))))))))))))))))</f>
        <v/>
      </c>
      <c r="F44" s="30" t="str">
        <f aca="false">IF($A44="","",COUNTIF($J44:$BM44,"Completed"))</f>
        <v/>
      </c>
      <c r="G44" s="35" t="str">
        <f aca="false">IF($A44="","",MIN($F44/13,1))</f>
        <v/>
      </c>
      <c r="H44" s="31" t="str">
        <f aca="false">IF($A44="","",IF($BJ44="Completed","Case Completed",IF($AX44="Completed","Visa Rejected",IF($BF44="Completed","Departed to Europe",IF($F44=0,"Not Started","In Progress")))))</f>
        <v/>
      </c>
      <c r="I44" s="30" t="str">
        <f aca="true">IF($K44="","",IF($BK44&lt;&gt;"",$BK44-$K44,IF($AY44&lt;&gt;"",$AY44-$K44,TODAY()-$K44)))</f>
        <v/>
      </c>
      <c r="J44" s="27"/>
      <c r="K44" s="29"/>
      <c r="L44" s="28"/>
      <c r="M44" s="32"/>
      <c r="N44" s="27"/>
      <c r="O44" s="29"/>
      <c r="P44" s="28"/>
      <c r="Q44" s="32"/>
      <c r="R44" s="27"/>
      <c r="S44" s="29"/>
      <c r="T44" s="28"/>
      <c r="U44" s="32"/>
      <c r="V44" s="27"/>
      <c r="W44" s="29"/>
      <c r="X44" s="28"/>
      <c r="Y44" s="32"/>
      <c r="Z44" s="27"/>
      <c r="AA44" s="29"/>
      <c r="AB44" s="28"/>
      <c r="AC44" s="32"/>
      <c r="AD44" s="27"/>
      <c r="AE44" s="29"/>
      <c r="AF44" s="28"/>
      <c r="AG44" s="32"/>
      <c r="AH44" s="27"/>
      <c r="AI44" s="29"/>
      <c r="AJ44" s="28"/>
      <c r="AK44" s="32"/>
      <c r="AL44" s="27"/>
      <c r="AM44" s="29"/>
      <c r="AN44" s="28"/>
      <c r="AO44" s="32"/>
      <c r="AP44" s="27"/>
      <c r="AQ44" s="29"/>
      <c r="AR44" s="28"/>
      <c r="AS44" s="32"/>
      <c r="AT44" s="27"/>
      <c r="AU44" s="29"/>
      <c r="AV44" s="28"/>
      <c r="AW44" s="32"/>
      <c r="AX44" s="27"/>
      <c r="AY44" s="29"/>
      <c r="AZ44" s="28"/>
      <c r="BA44" s="32"/>
      <c r="BB44" s="27"/>
      <c r="BC44" s="29"/>
      <c r="BD44" s="28"/>
      <c r="BE44" s="32"/>
      <c r="BF44" s="27"/>
      <c r="BG44" s="29"/>
      <c r="BH44" s="28"/>
      <c r="BI44" s="32"/>
      <c r="BJ44" s="27"/>
      <c r="BK44" s="29"/>
      <c r="BL44" s="28"/>
      <c r="BM44" s="32"/>
    </row>
    <row r="45" customFormat="false" ht="15.75" hidden="false" customHeight="true" outlineLevel="0" collapsed="false">
      <c r="A45" s="27"/>
      <c r="B45" s="39" t="str">
        <f aca="false">IFERROR(INDEX(Customers!$C$4:$C$1003,MATCH($A45,Customers!$A$4:$A$1003,0)),"")</f>
        <v/>
      </c>
      <c r="C45" s="31" t="str">
        <f aca="false">IFERROR(INDEX(Customers!$F$4:$F$1003,MATCH($A45,Customers!$A$4:$A$1003,0)),"")</f>
        <v/>
      </c>
      <c r="D45" s="33" t="str">
        <f aca="false">IFERROR(INDEX(Customers!$K$4:$K$1003,MATCH($A45,Customers!$A$4:$A$1003,0)),"")</f>
        <v/>
      </c>
      <c r="E45" s="33" t="str">
        <f aca="false">IF($A45="","",IF($F45=0,"Not Started",IF($BJ45="Completed",Settings!$U$45,IF($BF45="Completed",Settings!$U$44,IF($BB45="Completed",Settings!$U$43,IF($AX45="Completed",Settings!$U$42,IF($AT45="Completed",Settings!$U$41,IF($AP45="Completed",Settings!$U$40,IF($AL45="Completed",Settings!$U$39,IF($AH45="Completed",Settings!$U$38,IF($AD45="Completed",Settings!$U$37,IF($Z45="Completed",Settings!$U$36,IF($V45="Completed",Settings!$U$35,IF($R45="Completed",Settings!$U$34,IF($N45="Completed",Settings!$U$33,IF($J45="Completed",Settings!$U$32,""))))))))))))))))</f>
        <v/>
      </c>
      <c r="F45" s="30" t="str">
        <f aca="false">IF($A45="","",COUNTIF($J45:$BM45,"Completed"))</f>
        <v/>
      </c>
      <c r="G45" s="35" t="str">
        <f aca="false">IF($A45="","",MIN($F45/13,1))</f>
        <v/>
      </c>
      <c r="H45" s="31" t="str">
        <f aca="false">IF($A45="","",IF($BJ45="Completed","Case Completed",IF($AX45="Completed","Visa Rejected",IF($BF45="Completed","Departed to Europe",IF($F45=0,"Not Started","In Progress")))))</f>
        <v/>
      </c>
      <c r="I45" s="30" t="str">
        <f aca="true">IF($K45="","",IF($BK45&lt;&gt;"",$BK45-$K45,IF($AY45&lt;&gt;"",$AY45-$K45,TODAY()-$K45)))</f>
        <v/>
      </c>
      <c r="J45" s="27"/>
      <c r="K45" s="29"/>
      <c r="L45" s="28"/>
      <c r="M45" s="32"/>
      <c r="N45" s="27"/>
      <c r="O45" s="29"/>
      <c r="P45" s="28"/>
      <c r="Q45" s="32"/>
      <c r="R45" s="27"/>
      <c r="S45" s="29"/>
      <c r="T45" s="28"/>
      <c r="U45" s="32"/>
      <c r="V45" s="27"/>
      <c r="W45" s="29"/>
      <c r="X45" s="28"/>
      <c r="Y45" s="32"/>
      <c r="Z45" s="27"/>
      <c r="AA45" s="29"/>
      <c r="AB45" s="28"/>
      <c r="AC45" s="32"/>
      <c r="AD45" s="27"/>
      <c r="AE45" s="29"/>
      <c r="AF45" s="28"/>
      <c r="AG45" s="32"/>
      <c r="AH45" s="27"/>
      <c r="AI45" s="29"/>
      <c r="AJ45" s="28"/>
      <c r="AK45" s="32"/>
      <c r="AL45" s="27"/>
      <c r="AM45" s="29"/>
      <c r="AN45" s="28"/>
      <c r="AO45" s="32"/>
      <c r="AP45" s="27"/>
      <c r="AQ45" s="29"/>
      <c r="AR45" s="28"/>
      <c r="AS45" s="32"/>
      <c r="AT45" s="27"/>
      <c r="AU45" s="29"/>
      <c r="AV45" s="28"/>
      <c r="AW45" s="32"/>
      <c r="AX45" s="27"/>
      <c r="AY45" s="29"/>
      <c r="AZ45" s="28"/>
      <c r="BA45" s="32"/>
      <c r="BB45" s="27"/>
      <c r="BC45" s="29"/>
      <c r="BD45" s="28"/>
      <c r="BE45" s="32"/>
      <c r="BF45" s="27"/>
      <c r="BG45" s="29"/>
      <c r="BH45" s="28"/>
      <c r="BI45" s="32"/>
      <c r="BJ45" s="27"/>
      <c r="BK45" s="29"/>
      <c r="BL45" s="28"/>
      <c r="BM45" s="32"/>
    </row>
    <row r="46" customFormat="false" ht="15.75" hidden="false" customHeight="true" outlineLevel="0" collapsed="false">
      <c r="A46" s="27"/>
      <c r="B46" s="39" t="str">
        <f aca="false">IFERROR(INDEX(Customers!$C$4:$C$1003,MATCH($A46,Customers!$A$4:$A$1003,0)),"")</f>
        <v/>
      </c>
      <c r="C46" s="31" t="str">
        <f aca="false">IFERROR(INDEX(Customers!$F$4:$F$1003,MATCH($A46,Customers!$A$4:$A$1003,0)),"")</f>
        <v/>
      </c>
      <c r="D46" s="33" t="str">
        <f aca="false">IFERROR(INDEX(Customers!$K$4:$K$1003,MATCH($A46,Customers!$A$4:$A$1003,0)),"")</f>
        <v/>
      </c>
      <c r="E46" s="33" t="str">
        <f aca="false">IF($A46="","",IF($F46=0,"Not Started",IF($BJ46="Completed",Settings!$U$45,IF($BF46="Completed",Settings!$U$44,IF($BB46="Completed",Settings!$U$43,IF($AX46="Completed",Settings!$U$42,IF($AT46="Completed",Settings!$U$41,IF($AP46="Completed",Settings!$U$40,IF($AL46="Completed",Settings!$U$39,IF($AH46="Completed",Settings!$U$38,IF($AD46="Completed",Settings!$U$37,IF($Z46="Completed",Settings!$U$36,IF($V46="Completed",Settings!$U$35,IF($R46="Completed",Settings!$U$34,IF($N46="Completed",Settings!$U$33,IF($J46="Completed",Settings!$U$32,""))))))))))))))))</f>
        <v/>
      </c>
      <c r="F46" s="30" t="str">
        <f aca="false">IF($A46="","",COUNTIF($J46:$BM46,"Completed"))</f>
        <v/>
      </c>
      <c r="G46" s="35" t="str">
        <f aca="false">IF($A46="","",MIN($F46/13,1))</f>
        <v/>
      </c>
      <c r="H46" s="31" t="str">
        <f aca="false">IF($A46="","",IF($BJ46="Completed","Case Completed",IF($AX46="Completed","Visa Rejected",IF($BF46="Completed","Departed to Europe",IF($F46=0,"Not Started","In Progress")))))</f>
        <v/>
      </c>
      <c r="I46" s="30" t="str">
        <f aca="true">IF($K46="","",IF($BK46&lt;&gt;"",$BK46-$K46,IF($AY46&lt;&gt;"",$AY46-$K46,TODAY()-$K46)))</f>
        <v/>
      </c>
      <c r="J46" s="27"/>
      <c r="K46" s="29"/>
      <c r="L46" s="28"/>
      <c r="M46" s="32"/>
      <c r="N46" s="27"/>
      <c r="O46" s="29"/>
      <c r="P46" s="28"/>
      <c r="Q46" s="32"/>
      <c r="R46" s="27"/>
      <c r="S46" s="29"/>
      <c r="T46" s="28"/>
      <c r="U46" s="32"/>
      <c r="V46" s="27"/>
      <c r="W46" s="29"/>
      <c r="X46" s="28"/>
      <c r="Y46" s="32"/>
      <c r="Z46" s="27"/>
      <c r="AA46" s="29"/>
      <c r="AB46" s="28"/>
      <c r="AC46" s="32"/>
      <c r="AD46" s="27"/>
      <c r="AE46" s="29"/>
      <c r="AF46" s="28"/>
      <c r="AG46" s="32"/>
      <c r="AH46" s="27"/>
      <c r="AI46" s="29"/>
      <c r="AJ46" s="28"/>
      <c r="AK46" s="32"/>
      <c r="AL46" s="27"/>
      <c r="AM46" s="29"/>
      <c r="AN46" s="28"/>
      <c r="AO46" s="32"/>
      <c r="AP46" s="27"/>
      <c r="AQ46" s="29"/>
      <c r="AR46" s="28"/>
      <c r="AS46" s="32"/>
      <c r="AT46" s="27"/>
      <c r="AU46" s="29"/>
      <c r="AV46" s="28"/>
      <c r="AW46" s="32"/>
      <c r="AX46" s="27"/>
      <c r="AY46" s="29"/>
      <c r="AZ46" s="28"/>
      <c r="BA46" s="32"/>
      <c r="BB46" s="27"/>
      <c r="BC46" s="29"/>
      <c r="BD46" s="28"/>
      <c r="BE46" s="32"/>
      <c r="BF46" s="27"/>
      <c r="BG46" s="29"/>
      <c r="BH46" s="28"/>
      <c r="BI46" s="32"/>
      <c r="BJ46" s="27"/>
      <c r="BK46" s="29"/>
      <c r="BL46" s="28"/>
      <c r="BM46" s="32"/>
    </row>
    <row r="47" customFormat="false" ht="15.75" hidden="false" customHeight="true" outlineLevel="0" collapsed="false">
      <c r="A47" s="27"/>
      <c r="B47" s="39" t="str">
        <f aca="false">IFERROR(INDEX(Customers!$C$4:$C$1003,MATCH($A47,Customers!$A$4:$A$1003,0)),"")</f>
        <v/>
      </c>
      <c r="C47" s="31" t="str">
        <f aca="false">IFERROR(INDEX(Customers!$F$4:$F$1003,MATCH($A47,Customers!$A$4:$A$1003,0)),"")</f>
        <v/>
      </c>
      <c r="D47" s="33" t="str">
        <f aca="false">IFERROR(INDEX(Customers!$K$4:$K$1003,MATCH($A47,Customers!$A$4:$A$1003,0)),"")</f>
        <v/>
      </c>
      <c r="E47" s="33" t="str">
        <f aca="false">IF($A47="","",IF($F47=0,"Not Started",IF($BJ47="Completed",Settings!$U$45,IF($BF47="Completed",Settings!$U$44,IF($BB47="Completed",Settings!$U$43,IF($AX47="Completed",Settings!$U$42,IF($AT47="Completed",Settings!$U$41,IF($AP47="Completed",Settings!$U$40,IF($AL47="Completed",Settings!$U$39,IF($AH47="Completed",Settings!$U$38,IF($AD47="Completed",Settings!$U$37,IF($Z47="Completed",Settings!$U$36,IF($V47="Completed",Settings!$U$35,IF($R47="Completed",Settings!$U$34,IF($N47="Completed",Settings!$U$33,IF($J47="Completed",Settings!$U$32,""))))))))))))))))</f>
        <v/>
      </c>
      <c r="F47" s="30" t="str">
        <f aca="false">IF($A47="","",COUNTIF($J47:$BM47,"Completed"))</f>
        <v/>
      </c>
      <c r="G47" s="35" t="str">
        <f aca="false">IF($A47="","",MIN($F47/13,1))</f>
        <v/>
      </c>
      <c r="H47" s="31" t="str">
        <f aca="false">IF($A47="","",IF($BJ47="Completed","Case Completed",IF($AX47="Completed","Visa Rejected",IF($BF47="Completed","Departed to Europe",IF($F47=0,"Not Started","In Progress")))))</f>
        <v/>
      </c>
      <c r="I47" s="30" t="str">
        <f aca="true">IF($K47="","",IF($BK47&lt;&gt;"",$BK47-$K47,IF($AY47&lt;&gt;"",$AY47-$K47,TODAY()-$K47)))</f>
        <v/>
      </c>
      <c r="J47" s="27"/>
      <c r="K47" s="29"/>
      <c r="L47" s="28"/>
      <c r="M47" s="32"/>
      <c r="N47" s="27"/>
      <c r="O47" s="29"/>
      <c r="P47" s="28"/>
      <c r="Q47" s="32"/>
      <c r="R47" s="27"/>
      <c r="S47" s="29"/>
      <c r="T47" s="28"/>
      <c r="U47" s="32"/>
      <c r="V47" s="27"/>
      <c r="W47" s="29"/>
      <c r="X47" s="28"/>
      <c r="Y47" s="32"/>
      <c r="Z47" s="27"/>
      <c r="AA47" s="29"/>
      <c r="AB47" s="28"/>
      <c r="AC47" s="32"/>
      <c r="AD47" s="27"/>
      <c r="AE47" s="29"/>
      <c r="AF47" s="28"/>
      <c r="AG47" s="32"/>
      <c r="AH47" s="27"/>
      <c r="AI47" s="29"/>
      <c r="AJ47" s="28"/>
      <c r="AK47" s="32"/>
      <c r="AL47" s="27"/>
      <c r="AM47" s="29"/>
      <c r="AN47" s="28"/>
      <c r="AO47" s="32"/>
      <c r="AP47" s="27"/>
      <c r="AQ47" s="29"/>
      <c r="AR47" s="28"/>
      <c r="AS47" s="32"/>
      <c r="AT47" s="27"/>
      <c r="AU47" s="29"/>
      <c r="AV47" s="28"/>
      <c r="AW47" s="32"/>
      <c r="AX47" s="27"/>
      <c r="AY47" s="29"/>
      <c r="AZ47" s="28"/>
      <c r="BA47" s="32"/>
      <c r="BB47" s="27"/>
      <c r="BC47" s="29"/>
      <c r="BD47" s="28"/>
      <c r="BE47" s="32"/>
      <c r="BF47" s="27"/>
      <c r="BG47" s="29"/>
      <c r="BH47" s="28"/>
      <c r="BI47" s="32"/>
      <c r="BJ47" s="27"/>
      <c r="BK47" s="29"/>
      <c r="BL47" s="28"/>
      <c r="BM47" s="32"/>
    </row>
    <row r="48" customFormat="false" ht="15.75" hidden="false" customHeight="true" outlineLevel="0" collapsed="false">
      <c r="A48" s="27"/>
      <c r="B48" s="39" t="str">
        <f aca="false">IFERROR(INDEX(Customers!$C$4:$C$1003,MATCH($A48,Customers!$A$4:$A$1003,0)),"")</f>
        <v/>
      </c>
      <c r="C48" s="31" t="str">
        <f aca="false">IFERROR(INDEX(Customers!$F$4:$F$1003,MATCH($A48,Customers!$A$4:$A$1003,0)),"")</f>
        <v/>
      </c>
      <c r="D48" s="33" t="str">
        <f aca="false">IFERROR(INDEX(Customers!$K$4:$K$1003,MATCH($A48,Customers!$A$4:$A$1003,0)),"")</f>
        <v/>
      </c>
      <c r="E48" s="33" t="str">
        <f aca="false">IF($A48="","",IF($F48=0,"Not Started",IF($BJ48="Completed",Settings!$U$45,IF($BF48="Completed",Settings!$U$44,IF($BB48="Completed",Settings!$U$43,IF($AX48="Completed",Settings!$U$42,IF($AT48="Completed",Settings!$U$41,IF($AP48="Completed",Settings!$U$40,IF($AL48="Completed",Settings!$U$39,IF($AH48="Completed",Settings!$U$38,IF($AD48="Completed",Settings!$U$37,IF($Z48="Completed",Settings!$U$36,IF($V48="Completed",Settings!$U$35,IF($R48="Completed",Settings!$U$34,IF($N48="Completed",Settings!$U$33,IF($J48="Completed",Settings!$U$32,""))))))))))))))))</f>
        <v/>
      </c>
      <c r="F48" s="30" t="str">
        <f aca="false">IF($A48="","",COUNTIF($J48:$BM48,"Completed"))</f>
        <v/>
      </c>
      <c r="G48" s="35" t="str">
        <f aca="false">IF($A48="","",MIN($F48/13,1))</f>
        <v/>
      </c>
      <c r="H48" s="31" t="str">
        <f aca="false">IF($A48="","",IF($BJ48="Completed","Case Completed",IF($AX48="Completed","Visa Rejected",IF($BF48="Completed","Departed to Europe",IF($F48=0,"Not Started","In Progress")))))</f>
        <v/>
      </c>
      <c r="I48" s="30" t="str">
        <f aca="true">IF($K48="","",IF($BK48&lt;&gt;"",$BK48-$K48,IF($AY48&lt;&gt;"",$AY48-$K48,TODAY()-$K48)))</f>
        <v/>
      </c>
      <c r="J48" s="27"/>
      <c r="K48" s="29"/>
      <c r="L48" s="28"/>
      <c r="M48" s="32"/>
      <c r="N48" s="27"/>
      <c r="O48" s="29"/>
      <c r="P48" s="28"/>
      <c r="Q48" s="32"/>
      <c r="R48" s="27"/>
      <c r="S48" s="29"/>
      <c r="T48" s="28"/>
      <c r="U48" s="32"/>
      <c r="V48" s="27"/>
      <c r="W48" s="29"/>
      <c r="X48" s="28"/>
      <c r="Y48" s="32"/>
      <c r="Z48" s="27"/>
      <c r="AA48" s="29"/>
      <c r="AB48" s="28"/>
      <c r="AC48" s="32"/>
      <c r="AD48" s="27"/>
      <c r="AE48" s="29"/>
      <c r="AF48" s="28"/>
      <c r="AG48" s="32"/>
      <c r="AH48" s="27"/>
      <c r="AI48" s="29"/>
      <c r="AJ48" s="28"/>
      <c r="AK48" s="32"/>
      <c r="AL48" s="27"/>
      <c r="AM48" s="29"/>
      <c r="AN48" s="28"/>
      <c r="AO48" s="32"/>
      <c r="AP48" s="27"/>
      <c r="AQ48" s="29"/>
      <c r="AR48" s="28"/>
      <c r="AS48" s="32"/>
      <c r="AT48" s="27"/>
      <c r="AU48" s="29"/>
      <c r="AV48" s="28"/>
      <c r="AW48" s="32"/>
      <c r="AX48" s="27"/>
      <c r="AY48" s="29"/>
      <c r="AZ48" s="28"/>
      <c r="BA48" s="32"/>
      <c r="BB48" s="27"/>
      <c r="BC48" s="29"/>
      <c r="BD48" s="28"/>
      <c r="BE48" s="32"/>
      <c r="BF48" s="27"/>
      <c r="BG48" s="29"/>
      <c r="BH48" s="28"/>
      <c r="BI48" s="32"/>
      <c r="BJ48" s="27"/>
      <c r="BK48" s="29"/>
      <c r="BL48" s="28"/>
      <c r="BM48" s="32"/>
    </row>
    <row r="49" customFormat="false" ht="15.75" hidden="false" customHeight="true" outlineLevel="0" collapsed="false">
      <c r="A49" s="27"/>
      <c r="B49" s="39" t="str">
        <f aca="false">IFERROR(INDEX(Customers!$C$4:$C$1003,MATCH($A49,Customers!$A$4:$A$1003,0)),"")</f>
        <v/>
      </c>
      <c r="C49" s="31" t="str">
        <f aca="false">IFERROR(INDEX(Customers!$F$4:$F$1003,MATCH($A49,Customers!$A$4:$A$1003,0)),"")</f>
        <v/>
      </c>
      <c r="D49" s="33" t="str">
        <f aca="false">IFERROR(INDEX(Customers!$K$4:$K$1003,MATCH($A49,Customers!$A$4:$A$1003,0)),"")</f>
        <v/>
      </c>
      <c r="E49" s="33" t="str">
        <f aca="false">IF($A49="","",IF($F49=0,"Not Started",IF($BJ49="Completed",Settings!$U$45,IF($BF49="Completed",Settings!$U$44,IF($BB49="Completed",Settings!$U$43,IF($AX49="Completed",Settings!$U$42,IF($AT49="Completed",Settings!$U$41,IF($AP49="Completed",Settings!$U$40,IF($AL49="Completed",Settings!$U$39,IF($AH49="Completed",Settings!$U$38,IF($AD49="Completed",Settings!$U$37,IF($Z49="Completed",Settings!$U$36,IF($V49="Completed",Settings!$U$35,IF($R49="Completed",Settings!$U$34,IF($N49="Completed",Settings!$U$33,IF($J49="Completed",Settings!$U$32,""))))))))))))))))</f>
        <v/>
      </c>
      <c r="F49" s="30" t="str">
        <f aca="false">IF($A49="","",COUNTIF($J49:$BM49,"Completed"))</f>
        <v/>
      </c>
      <c r="G49" s="35" t="str">
        <f aca="false">IF($A49="","",MIN($F49/13,1))</f>
        <v/>
      </c>
      <c r="H49" s="31" t="str">
        <f aca="false">IF($A49="","",IF($BJ49="Completed","Case Completed",IF($AX49="Completed","Visa Rejected",IF($BF49="Completed","Departed to Europe",IF($F49=0,"Not Started","In Progress")))))</f>
        <v/>
      </c>
      <c r="I49" s="30" t="str">
        <f aca="true">IF($K49="","",IF($BK49&lt;&gt;"",$BK49-$K49,IF($AY49&lt;&gt;"",$AY49-$K49,TODAY()-$K49)))</f>
        <v/>
      </c>
      <c r="J49" s="27"/>
      <c r="K49" s="29"/>
      <c r="L49" s="28"/>
      <c r="M49" s="32"/>
      <c r="N49" s="27"/>
      <c r="O49" s="29"/>
      <c r="P49" s="28"/>
      <c r="Q49" s="32"/>
      <c r="R49" s="27"/>
      <c r="S49" s="29"/>
      <c r="T49" s="28"/>
      <c r="U49" s="32"/>
      <c r="V49" s="27"/>
      <c r="W49" s="29"/>
      <c r="X49" s="28"/>
      <c r="Y49" s="32"/>
      <c r="Z49" s="27"/>
      <c r="AA49" s="29"/>
      <c r="AB49" s="28"/>
      <c r="AC49" s="32"/>
      <c r="AD49" s="27"/>
      <c r="AE49" s="29"/>
      <c r="AF49" s="28"/>
      <c r="AG49" s="32"/>
      <c r="AH49" s="27"/>
      <c r="AI49" s="29"/>
      <c r="AJ49" s="28"/>
      <c r="AK49" s="32"/>
      <c r="AL49" s="27"/>
      <c r="AM49" s="29"/>
      <c r="AN49" s="28"/>
      <c r="AO49" s="32"/>
      <c r="AP49" s="27"/>
      <c r="AQ49" s="29"/>
      <c r="AR49" s="28"/>
      <c r="AS49" s="32"/>
      <c r="AT49" s="27"/>
      <c r="AU49" s="29"/>
      <c r="AV49" s="28"/>
      <c r="AW49" s="32"/>
      <c r="AX49" s="27"/>
      <c r="AY49" s="29"/>
      <c r="AZ49" s="28"/>
      <c r="BA49" s="32"/>
      <c r="BB49" s="27"/>
      <c r="BC49" s="29"/>
      <c r="BD49" s="28"/>
      <c r="BE49" s="32"/>
      <c r="BF49" s="27"/>
      <c r="BG49" s="29"/>
      <c r="BH49" s="28"/>
      <c r="BI49" s="32"/>
      <c r="BJ49" s="27"/>
      <c r="BK49" s="29"/>
      <c r="BL49" s="28"/>
      <c r="BM49" s="32"/>
    </row>
    <row r="50" customFormat="false" ht="15.75" hidden="false" customHeight="true" outlineLevel="0" collapsed="false">
      <c r="A50" s="27"/>
      <c r="B50" s="39" t="str">
        <f aca="false">IFERROR(INDEX(Customers!$C$4:$C$1003,MATCH($A50,Customers!$A$4:$A$1003,0)),"")</f>
        <v/>
      </c>
      <c r="C50" s="31" t="str">
        <f aca="false">IFERROR(INDEX(Customers!$F$4:$F$1003,MATCH($A50,Customers!$A$4:$A$1003,0)),"")</f>
        <v/>
      </c>
      <c r="D50" s="33" t="str">
        <f aca="false">IFERROR(INDEX(Customers!$K$4:$K$1003,MATCH($A50,Customers!$A$4:$A$1003,0)),"")</f>
        <v/>
      </c>
      <c r="E50" s="33" t="str">
        <f aca="false">IF($A50="","",IF($F50=0,"Not Started",IF($BJ50="Completed",Settings!$U$45,IF($BF50="Completed",Settings!$U$44,IF($BB50="Completed",Settings!$U$43,IF($AX50="Completed",Settings!$U$42,IF($AT50="Completed",Settings!$U$41,IF($AP50="Completed",Settings!$U$40,IF($AL50="Completed",Settings!$U$39,IF($AH50="Completed",Settings!$U$38,IF($AD50="Completed",Settings!$U$37,IF($Z50="Completed",Settings!$U$36,IF($V50="Completed",Settings!$U$35,IF($R50="Completed",Settings!$U$34,IF($N50="Completed",Settings!$U$33,IF($J50="Completed",Settings!$U$32,""))))))))))))))))</f>
        <v/>
      </c>
      <c r="F50" s="30" t="str">
        <f aca="false">IF($A50="","",COUNTIF($J50:$BM50,"Completed"))</f>
        <v/>
      </c>
      <c r="G50" s="35" t="str">
        <f aca="false">IF($A50="","",MIN($F50/13,1))</f>
        <v/>
      </c>
      <c r="H50" s="31" t="str">
        <f aca="false">IF($A50="","",IF($BJ50="Completed","Case Completed",IF($AX50="Completed","Visa Rejected",IF($BF50="Completed","Departed to Europe",IF($F50=0,"Not Started","In Progress")))))</f>
        <v/>
      </c>
      <c r="I50" s="30" t="str">
        <f aca="true">IF($K50="","",IF($BK50&lt;&gt;"",$BK50-$K50,IF($AY50&lt;&gt;"",$AY50-$K50,TODAY()-$K50)))</f>
        <v/>
      </c>
      <c r="J50" s="27"/>
      <c r="K50" s="29"/>
      <c r="L50" s="28"/>
      <c r="M50" s="32"/>
      <c r="N50" s="27"/>
      <c r="O50" s="29"/>
      <c r="P50" s="28"/>
      <c r="Q50" s="32"/>
      <c r="R50" s="27"/>
      <c r="S50" s="29"/>
      <c r="T50" s="28"/>
      <c r="U50" s="32"/>
      <c r="V50" s="27"/>
      <c r="W50" s="29"/>
      <c r="X50" s="28"/>
      <c r="Y50" s="32"/>
      <c r="Z50" s="27"/>
      <c r="AA50" s="29"/>
      <c r="AB50" s="28"/>
      <c r="AC50" s="32"/>
      <c r="AD50" s="27"/>
      <c r="AE50" s="29"/>
      <c r="AF50" s="28"/>
      <c r="AG50" s="32"/>
      <c r="AH50" s="27"/>
      <c r="AI50" s="29"/>
      <c r="AJ50" s="28"/>
      <c r="AK50" s="32"/>
      <c r="AL50" s="27"/>
      <c r="AM50" s="29"/>
      <c r="AN50" s="28"/>
      <c r="AO50" s="32"/>
      <c r="AP50" s="27"/>
      <c r="AQ50" s="29"/>
      <c r="AR50" s="28"/>
      <c r="AS50" s="32"/>
      <c r="AT50" s="27"/>
      <c r="AU50" s="29"/>
      <c r="AV50" s="28"/>
      <c r="AW50" s="32"/>
      <c r="AX50" s="27"/>
      <c r="AY50" s="29"/>
      <c r="AZ50" s="28"/>
      <c r="BA50" s="32"/>
      <c r="BB50" s="27"/>
      <c r="BC50" s="29"/>
      <c r="BD50" s="28"/>
      <c r="BE50" s="32"/>
      <c r="BF50" s="27"/>
      <c r="BG50" s="29"/>
      <c r="BH50" s="28"/>
      <c r="BI50" s="32"/>
      <c r="BJ50" s="27"/>
      <c r="BK50" s="29"/>
      <c r="BL50" s="28"/>
      <c r="BM50" s="32"/>
    </row>
    <row r="51" customFormat="false" ht="15.75" hidden="false" customHeight="true" outlineLevel="0" collapsed="false">
      <c r="A51" s="27"/>
      <c r="B51" s="39" t="str">
        <f aca="false">IFERROR(INDEX(Customers!$C$4:$C$1003,MATCH($A51,Customers!$A$4:$A$1003,0)),"")</f>
        <v/>
      </c>
      <c r="C51" s="31" t="str">
        <f aca="false">IFERROR(INDEX(Customers!$F$4:$F$1003,MATCH($A51,Customers!$A$4:$A$1003,0)),"")</f>
        <v/>
      </c>
      <c r="D51" s="33" t="str">
        <f aca="false">IFERROR(INDEX(Customers!$K$4:$K$1003,MATCH($A51,Customers!$A$4:$A$1003,0)),"")</f>
        <v/>
      </c>
      <c r="E51" s="33" t="str">
        <f aca="false">IF($A51="","",IF($F51=0,"Not Started",IF($BJ51="Completed",Settings!$U$45,IF($BF51="Completed",Settings!$U$44,IF($BB51="Completed",Settings!$U$43,IF($AX51="Completed",Settings!$U$42,IF($AT51="Completed",Settings!$U$41,IF($AP51="Completed",Settings!$U$40,IF($AL51="Completed",Settings!$U$39,IF($AH51="Completed",Settings!$U$38,IF($AD51="Completed",Settings!$U$37,IF($Z51="Completed",Settings!$U$36,IF($V51="Completed",Settings!$U$35,IF($R51="Completed",Settings!$U$34,IF($N51="Completed",Settings!$U$33,IF($J51="Completed",Settings!$U$32,""))))))))))))))))</f>
        <v/>
      </c>
      <c r="F51" s="30" t="str">
        <f aca="false">IF($A51="","",COUNTIF($J51:$BM51,"Completed"))</f>
        <v/>
      </c>
      <c r="G51" s="35" t="str">
        <f aca="false">IF($A51="","",MIN($F51/13,1))</f>
        <v/>
      </c>
      <c r="H51" s="31" t="str">
        <f aca="false">IF($A51="","",IF($BJ51="Completed","Case Completed",IF($AX51="Completed","Visa Rejected",IF($BF51="Completed","Departed to Europe",IF($F51=0,"Not Started","In Progress")))))</f>
        <v/>
      </c>
      <c r="I51" s="30" t="str">
        <f aca="true">IF($K51="","",IF($BK51&lt;&gt;"",$BK51-$K51,IF($AY51&lt;&gt;"",$AY51-$K51,TODAY()-$K51)))</f>
        <v/>
      </c>
      <c r="J51" s="27"/>
      <c r="K51" s="29"/>
      <c r="L51" s="28"/>
      <c r="M51" s="32"/>
      <c r="N51" s="27"/>
      <c r="O51" s="29"/>
      <c r="P51" s="28"/>
      <c r="Q51" s="32"/>
      <c r="R51" s="27"/>
      <c r="S51" s="29"/>
      <c r="T51" s="28"/>
      <c r="U51" s="32"/>
      <c r="V51" s="27"/>
      <c r="W51" s="29"/>
      <c r="X51" s="28"/>
      <c r="Y51" s="32"/>
      <c r="Z51" s="27"/>
      <c r="AA51" s="29"/>
      <c r="AB51" s="28"/>
      <c r="AC51" s="32"/>
      <c r="AD51" s="27"/>
      <c r="AE51" s="29"/>
      <c r="AF51" s="28"/>
      <c r="AG51" s="32"/>
      <c r="AH51" s="27"/>
      <c r="AI51" s="29"/>
      <c r="AJ51" s="28"/>
      <c r="AK51" s="32"/>
      <c r="AL51" s="27"/>
      <c r="AM51" s="29"/>
      <c r="AN51" s="28"/>
      <c r="AO51" s="32"/>
      <c r="AP51" s="27"/>
      <c r="AQ51" s="29"/>
      <c r="AR51" s="28"/>
      <c r="AS51" s="32"/>
      <c r="AT51" s="27"/>
      <c r="AU51" s="29"/>
      <c r="AV51" s="28"/>
      <c r="AW51" s="32"/>
      <c r="AX51" s="27"/>
      <c r="AY51" s="29"/>
      <c r="AZ51" s="28"/>
      <c r="BA51" s="32"/>
      <c r="BB51" s="27"/>
      <c r="BC51" s="29"/>
      <c r="BD51" s="28"/>
      <c r="BE51" s="32"/>
      <c r="BF51" s="27"/>
      <c r="BG51" s="29"/>
      <c r="BH51" s="28"/>
      <c r="BI51" s="32"/>
      <c r="BJ51" s="27"/>
      <c r="BK51" s="29"/>
      <c r="BL51" s="28"/>
      <c r="BM51" s="32"/>
    </row>
    <row r="52" customFormat="false" ht="15.75" hidden="false" customHeight="true" outlineLevel="0" collapsed="false">
      <c r="A52" s="27"/>
      <c r="B52" s="39" t="str">
        <f aca="false">IFERROR(INDEX(Customers!$C$4:$C$1003,MATCH($A52,Customers!$A$4:$A$1003,0)),"")</f>
        <v/>
      </c>
      <c r="C52" s="31" t="str">
        <f aca="false">IFERROR(INDEX(Customers!$F$4:$F$1003,MATCH($A52,Customers!$A$4:$A$1003,0)),"")</f>
        <v/>
      </c>
      <c r="D52" s="33" t="str">
        <f aca="false">IFERROR(INDEX(Customers!$K$4:$K$1003,MATCH($A52,Customers!$A$4:$A$1003,0)),"")</f>
        <v/>
      </c>
      <c r="E52" s="33" t="str">
        <f aca="false">IF($A52="","",IF($F52=0,"Not Started",IF($BJ52="Completed",Settings!$U$45,IF($BF52="Completed",Settings!$U$44,IF($BB52="Completed",Settings!$U$43,IF($AX52="Completed",Settings!$U$42,IF($AT52="Completed",Settings!$U$41,IF($AP52="Completed",Settings!$U$40,IF($AL52="Completed",Settings!$U$39,IF($AH52="Completed",Settings!$U$38,IF($AD52="Completed",Settings!$U$37,IF($Z52="Completed",Settings!$U$36,IF($V52="Completed",Settings!$U$35,IF($R52="Completed",Settings!$U$34,IF($N52="Completed",Settings!$U$33,IF($J52="Completed",Settings!$U$32,""))))))))))))))))</f>
        <v/>
      </c>
      <c r="F52" s="30" t="str">
        <f aca="false">IF($A52="","",COUNTIF($J52:$BM52,"Completed"))</f>
        <v/>
      </c>
      <c r="G52" s="35" t="str">
        <f aca="false">IF($A52="","",MIN($F52/13,1))</f>
        <v/>
      </c>
      <c r="H52" s="31" t="str">
        <f aca="false">IF($A52="","",IF($BJ52="Completed","Case Completed",IF($AX52="Completed","Visa Rejected",IF($BF52="Completed","Departed to Europe",IF($F52=0,"Not Started","In Progress")))))</f>
        <v/>
      </c>
      <c r="I52" s="30" t="str">
        <f aca="true">IF($K52="","",IF($BK52&lt;&gt;"",$BK52-$K52,IF($AY52&lt;&gt;"",$AY52-$K52,TODAY()-$K52)))</f>
        <v/>
      </c>
      <c r="J52" s="27"/>
      <c r="K52" s="29"/>
      <c r="L52" s="28"/>
      <c r="M52" s="32"/>
      <c r="N52" s="27"/>
      <c r="O52" s="29"/>
      <c r="P52" s="28"/>
      <c r="Q52" s="32"/>
      <c r="R52" s="27"/>
      <c r="S52" s="29"/>
      <c r="T52" s="28"/>
      <c r="U52" s="32"/>
      <c r="V52" s="27"/>
      <c r="W52" s="29"/>
      <c r="X52" s="28"/>
      <c r="Y52" s="32"/>
      <c r="Z52" s="27"/>
      <c r="AA52" s="29"/>
      <c r="AB52" s="28"/>
      <c r="AC52" s="32"/>
      <c r="AD52" s="27"/>
      <c r="AE52" s="29"/>
      <c r="AF52" s="28"/>
      <c r="AG52" s="32"/>
      <c r="AH52" s="27"/>
      <c r="AI52" s="29"/>
      <c r="AJ52" s="28"/>
      <c r="AK52" s="32"/>
      <c r="AL52" s="27"/>
      <c r="AM52" s="29"/>
      <c r="AN52" s="28"/>
      <c r="AO52" s="32"/>
      <c r="AP52" s="27"/>
      <c r="AQ52" s="29"/>
      <c r="AR52" s="28"/>
      <c r="AS52" s="32"/>
      <c r="AT52" s="27"/>
      <c r="AU52" s="29"/>
      <c r="AV52" s="28"/>
      <c r="AW52" s="32"/>
      <c r="AX52" s="27"/>
      <c r="AY52" s="29"/>
      <c r="AZ52" s="28"/>
      <c r="BA52" s="32"/>
      <c r="BB52" s="27"/>
      <c r="BC52" s="29"/>
      <c r="BD52" s="28"/>
      <c r="BE52" s="32"/>
      <c r="BF52" s="27"/>
      <c r="BG52" s="29"/>
      <c r="BH52" s="28"/>
      <c r="BI52" s="32"/>
      <c r="BJ52" s="27"/>
      <c r="BK52" s="29"/>
      <c r="BL52" s="28"/>
      <c r="BM52" s="32"/>
    </row>
    <row r="53" customFormat="false" ht="15.75" hidden="false" customHeight="true" outlineLevel="0" collapsed="false">
      <c r="A53" s="27"/>
      <c r="B53" s="39" t="str">
        <f aca="false">IFERROR(INDEX(Customers!$C$4:$C$1003,MATCH($A53,Customers!$A$4:$A$1003,0)),"")</f>
        <v/>
      </c>
      <c r="C53" s="31" t="str">
        <f aca="false">IFERROR(INDEX(Customers!$F$4:$F$1003,MATCH($A53,Customers!$A$4:$A$1003,0)),"")</f>
        <v/>
      </c>
      <c r="D53" s="33" t="str">
        <f aca="false">IFERROR(INDEX(Customers!$K$4:$K$1003,MATCH($A53,Customers!$A$4:$A$1003,0)),"")</f>
        <v/>
      </c>
      <c r="E53" s="33" t="str">
        <f aca="false">IF($A53="","",IF($F53=0,"Not Started",IF($BJ53="Completed",Settings!$U$45,IF($BF53="Completed",Settings!$U$44,IF($BB53="Completed",Settings!$U$43,IF($AX53="Completed",Settings!$U$42,IF($AT53="Completed",Settings!$U$41,IF($AP53="Completed",Settings!$U$40,IF($AL53="Completed",Settings!$U$39,IF($AH53="Completed",Settings!$U$38,IF($AD53="Completed",Settings!$U$37,IF($Z53="Completed",Settings!$U$36,IF($V53="Completed",Settings!$U$35,IF($R53="Completed",Settings!$U$34,IF($N53="Completed",Settings!$U$33,IF($J53="Completed",Settings!$U$32,""))))))))))))))))</f>
        <v/>
      </c>
      <c r="F53" s="30" t="str">
        <f aca="false">IF($A53="","",COUNTIF($J53:$BM53,"Completed"))</f>
        <v/>
      </c>
      <c r="G53" s="35" t="str">
        <f aca="false">IF($A53="","",MIN($F53/13,1))</f>
        <v/>
      </c>
      <c r="H53" s="31" t="str">
        <f aca="false">IF($A53="","",IF($BJ53="Completed","Case Completed",IF($AX53="Completed","Visa Rejected",IF($BF53="Completed","Departed to Europe",IF($F53=0,"Not Started","In Progress")))))</f>
        <v/>
      </c>
      <c r="I53" s="30" t="str">
        <f aca="true">IF($K53="","",IF($BK53&lt;&gt;"",$BK53-$K53,IF($AY53&lt;&gt;"",$AY53-$K53,TODAY()-$K53)))</f>
        <v/>
      </c>
      <c r="J53" s="27"/>
      <c r="K53" s="29"/>
      <c r="L53" s="28"/>
      <c r="M53" s="32"/>
      <c r="N53" s="27"/>
      <c r="O53" s="29"/>
      <c r="P53" s="28"/>
      <c r="Q53" s="32"/>
      <c r="R53" s="27"/>
      <c r="S53" s="29"/>
      <c r="T53" s="28"/>
      <c r="U53" s="32"/>
      <c r="V53" s="27"/>
      <c r="W53" s="29"/>
      <c r="X53" s="28"/>
      <c r="Y53" s="32"/>
      <c r="Z53" s="27"/>
      <c r="AA53" s="29"/>
      <c r="AB53" s="28"/>
      <c r="AC53" s="32"/>
      <c r="AD53" s="27"/>
      <c r="AE53" s="29"/>
      <c r="AF53" s="28"/>
      <c r="AG53" s="32"/>
      <c r="AH53" s="27"/>
      <c r="AI53" s="29"/>
      <c r="AJ53" s="28"/>
      <c r="AK53" s="32"/>
      <c r="AL53" s="27"/>
      <c r="AM53" s="29"/>
      <c r="AN53" s="28"/>
      <c r="AO53" s="32"/>
      <c r="AP53" s="27"/>
      <c r="AQ53" s="29"/>
      <c r="AR53" s="28"/>
      <c r="AS53" s="32"/>
      <c r="AT53" s="27"/>
      <c r="AU53" s="29"/>
      <c r="AV53" s="28"/>
      <c r="AW53" s="32"/>
      <c r="AX53" s="27"/>
      <c r="AY53" s="29"/>
      <c r="AZ53" s="28"/>
      <c r="BA53" s="32"/>
      <c r="BB53" s="27"/>
      <c r="BC53" s="29"/>
      <c r="BD53" s="28"/>
      <c r="BE53" s="32"/>
      <c r="BF53" s="27"/>
      <c r="BG53" s="29"/>
      <c r="BH53" s="28"/>
      <c r="BI53" s="32"/>
      <c r="BJ53" s="27"/>
      <c r="BK53" s="29"/>
      <c r="BL53" s="28"/>
      <c r="BM53" s="32"/>
    </row>
    <row r="54" customFormat="false" ht="15.75" hidden="false" customHeight="true" outlineLevel="0" collapsed="false">
      <c r="A54" s="27"/>
      <c r="B54" s="39" t="str">
        <f aca="false">IFERROR(INDEX(Customers!$C$4:$C$1003,MATCH($A54,Customers!$A$4:$A$1003,0)),"")</f>
        <v/>
      </c>
      <c r="C54" s="31" t="str">
        <f aca="false">IFERROR(INDEX(Customers!$F$4:$F$1003,MATCH($A54,Customers!$A$4:$A$1003,0)),"")</f>
        <v/>
      </c>
      <c r="D54" s="33" t="str">
        <f aca="false">IFERROR(INDEX(Customers!$K$4:$K$1003,MATCH($A54,Customers!$A$4:$A$1003,0)),"")</f>
        <v/>
      </c>
      <c r="E54" s="33" t="str">
        <f aca="false">IF($A54="","",IF($F54=0,"Not Started",IF($BJ54="Completed",Settings!$U$45,IF($BF54="Completed",Settings!$U$44,IF($BB54="Completed",Settings!$U$43,IF($AX54="Completed",Settings!$U$42,IF($AT54="Completed",Settings!$U$41,IF($AP54="Completed",Settings!$U$40,IF($AL54="Completed",Settings!$U$39,IF($AH54="Completed",Settings!$U$38,IF($AD54="Completed",Settings!$U$37,IF($Z54="Completed",Settings!$U$36,IF($V54="Completed",Settings!$U$35,IF($R54="Completed",Settings!$U$34,IF($N54="Completed",Settings!$U$33,IF($J54="Completed",Settings!$U$32,""))))))))))))))))</f>
        <v/>
      </c>
      <c r="F54" s="30" t="str">
        <f aca="false">IF($A54="","",COUNTIF($J54:$BM54,"Completed"))</f>
        <v/>
      </c>
      <c r="G54" s="35" t="str">
        <f aca="false">IF($A54="","",MIN($F54/13,1))</f>
        <v/>
      </c>
      <c r="H54" s="31" t="str">
        <f aca="false">IF($A54="","",IF($BJ54="Completed","Case Completed",IF($AX54="Completed","Visa Rejected",IF($BF54="Completed","Departed to Europe",IF($F54=0,"Not Started","In Progress")))))</f>
        <v/>
      </c>
      <c r="I54" s="30" t="str">
        <f aca="true">IF($K54="","",IF($BK54&lt;&gt;"",$BK54-$K54,IF($AY54&lt;&gt;"",$AY54-$K54,TODAY()-$K54)))</f>
        <v/>
      </c>
      <c r="J54" s="27"/>
      <c r="K54" s="29"/>
      <c r="L54" s="28"/>
      <c r="M54" s="32"/>
      <c r="N54" s="27"/>
      <c r="O54" s="29"/>
      <c r="P54" s="28"/>
      <c r="Q54" s="32"/>
      <c r="R54" s="27"/>
      <c r="S54" s="29"/>
      <c r="T54" s="28"/>
      <c r="U54" s="32"/>
      <c r="V54" s="27"/>
      <c r="W54" s="29"/>
      <c r="X54" s="28"/>
      <c r="Y54" s="32"/>
      <c r="Z54" s="27"/>
      <c r="AA54" s="29"/>
      <c r="AB54" s="28"/>
      <c r="AC54" s="32"/>
      <c r="AD54" s="27"/>
      <c r="AE54" s="29"/>
      <c r="AF54" s="28"/>
      <c r="AG54" s="32"/>
      <c r="AH54" s="27"/>
      <c r="AI54" s="29"/>
      <c r="AJ54" s="28"/>
      <c r="AK54" s="32"/>
      <c r="AL54" s="27"/>
      <c r="AM54" s="29"/>
      <c r="AN54" s="28"/>
      <c r="AO54" s="32"/>
      <c r="AP54" s="27"/>
      <c r="AQ54" s="29"/>
      <c r="AR54" s="28"/>
      <c r="AS54" s="32"/>
      <c r="AT54" s="27"/>
      <c r="AU54" s="29"/>
      <c r="AV54" s="28"/>
      <c r="AW54" s="32"/>
      <c r="AX54" s="27"/>
      <c r="AY54" s="29"/>
      <c r="AZ54" s="28"/>
      <c r="BA54" s="32"/>
      <c r="BB54" s="27"/>
      <c r="BC54" s="29"/>
      <c r="BD54" s="28"/>
      <c r="BE54" s="32"/>
      <c r="BF54" s="27"/>
      <c r="BG54" s="29"/>
      <c r="BH54" s="28"/>
      <c r="BI54" s="32"/>
      <c r="BJ54" s="27"/>
      <c r="BK54" s="29"/>
      <c r="BL54" s="28"/>
      <c r="BM54" s="32"/>
    </row>
    <row r="55" customFormat="false" ht="15.75" hidden="false" customHeight="true" outlineLevel="0" collapsed="false">
      <c r="A55" s="27"/>
      <c r="B55" s="39" t="str">
        <f aca="false">IFERROR(INDEX(Customers!$C$4:$C$1003,MATCH($A55,Customers!$A$4:$A$1003,0)),"")</f>
        <v/>
      </c>
      <c r="C55" s="31" t="str">
        <f aca="false">IFERROR(INDEX(Customers!$F$4:$F$1003,MATCH($A55,Customers!$A$4:$A$1003,0)),"")</f>
        <v/>
      </c>
      <c r="D55" s="33" t="str">
        <f aca="false">IFERROR(INDEX(Customers!$K$4:$K$1003,MATCH($A55,Customers!$A$4:$A$1003,0)),"")</f>
        <v/>
      </c>
      <c r="E55" s="33" t="str">
        <f aca="false">IF($A55="","",IF($F55=0,"Not Started",IF($BJ55="Completed",Settings!$U$45,IF($BF55="Completed",Settings!$U$44,IF($BB55="Completed",Settings!$U$43,IF($AX55="Completed",Settings!$U$42,IF($AT55="Completed",Settings!$U$41,IF($AP55="Completed",Settings!$U$40,IF($AL55="Completed",Settings!$U$39,IF($AH55="Completed",Settings!$U$38,IF($AD55="Completed",Settings!$U$37,IF($Z55="Completed",Settings!$U$36,IF($V55="Completed",Settings!$U$35,IF($R55="Completed",Settings!$U$34,IF($N55="Completed",Settings!$U$33,IF($J55="Completed",Settings!$U$32,""))))))))))))))))</f>
        <v/>
      </c>
      <c r="F55" s="30" t="str">
        <f aca="false">IF($A55="","",COUNTIF($J55:$BM55,"Completed"))</f>
        <v/>
      </c>
      <c r="G55" s="35" t="str">
        <f aca="false">IF($A55="","",MIN($F55/13,1))</f>
        <v/>
      </c>
      <c r="H55" s="31" t="str">
        <f aca="false">IF($A55="","",IF($BJ55="Completed","Case Completed",IF($AX55="Completed","Visa Rejected",IF($BF55="Completed","Departed to Europe",IF($F55=0,"Not Started","In Progress")))))</f>
        <v/>
      </c>
      <c r="I55" s="30" t="str">
        <f aca="true">IF($K55="","",IF($BK55&lt;&gt;"",$BK55-$K55,IF($AY55&lt;&gt;"",$AY55-$K55,TODAY()-$K55)))</f>
        <v/>
      </c>
      <c r="J55" s="27"/>
      <c r="K55" s="29"/>
      <c r="L55" s="28"/>
      <c r="M55" s="32"/>
      <c r="N55" s="27"/>
      <c r="O55" s="29"/>
      <c r="P55" s="28"/>
      <c r="Q55" s="32"/>
      <c r="R55" s="27"/>
      <c r="S55" s="29"/>
      <c r="T55" s="28"/>
      <c r="U55" s="32"/>
      <c r="V55" s="27"/>
      <c r="W55" s="29"/>
      <c r="X55" s="28"/>
      <c r="Y55" s="32"/>
      <c r="Z55" s="27"/>
      <c r="AA55" s="29"/>
      <c r="AB55" s="28"/>
      <c r="AC55" s="32"/>
      <c r="AD55" s="27"/>
      <c r="AE55" s="29"/>
      <c r="AF55" s="28"/>
      <c r="AG55" s="32"/>
      <c r="AH55" s="27"/>
      <c r="AI55" s="29"/>
      <c r="AJ55" s="28"/>
      <c r="AK55" s="32"/>
      <c r="AL55" s="27"/>
      <c r="AM55" s="29"/>
      <c r="AN55" s="28"/>
      <c r="AO55" s="32"/>
      <c r="AP55" s="27"/>
      <c r="AQ55" s="29"/>
      <c r="AR55" s="28"/>
      <c r="AS55" s="32"/>
      <c r="AT55" s="27"/>
      <c r="AU55" s="29"/>
      <c r="AV55" s="28"/>
      <c r="AW55" s="32"/>
      <c r="AX55" s="27"/>
      <c r="AY55" s="29"/>
      <c r="AZ55" s="28"/>
      <c r="BA55" s="32"/>
      <c r="BB55" s="27"/>
      <c r="BC55" s="29"/>
      <c r="BD55" s="28"/>
      <c r="BE55" s="32"/>
      <c r="BF55" s="27"/>
      <c r="BG55" s="29"/>
      <c r="BH55" s="28"/>
      <c r="BI55" s="32"/>
      <c r="BJ55" s="27"/>
      <c r="BK55" s="29"/>
      <c r="BL55" s="28"/>
      <c r="BM55" s="32"/>
    </row>
    <row r="56" customFormat="false" ht="15.75" hidden="false" customHeight="true" outlineLevel="0" collapsed="false">
      <c r="A56" s="27"/>
      <c r="B56" s="39" t="str">
        <f aca="false">IFERROR(INDEX(Customers!$C$4:$C$1003,MATCH($A56,Customers!$A$4:$A$1003,0)),"")</f>
        <v/>
      </c>
      <c r="C56" s="31" t="str">
        <f aca="false">IFERROR(INDEX(Customers!$F$4:$F$1003,MATCH($A56,Customers!$A$4:$A$1003,0)),"")</f>
        <v/>
      </c>
      <c r="D56" s="33" t="str">
        <f aca="false">IFERROR(INDEX(Customers!$K$4:$K$1003,MATCH($A56,Customers!$A$4:$A$1003,0)),"")</f>
        <v/>
      </c>
      <c r="E56" s="33" t="str">
        <f aca="false">IF($A56="","",IF($F56=0,"Not Started",IF($BJ56="Completed",Settings!$U$45,IF($BF56="Completed",Settings!$U$44,IF($BB56="Completed",Settings!$U$43,IF($AX56="Completed",Settings!$U$42,IF($AT56="Completed",Settings!$U$41,IF($AP56="Completed",Settings!$U$40,IF($AL56="Completed",Settings!$U$39,IF($AH56="Completed",Settings!$U$38,IF($AD56="Completed",Settings!$U$37,IF($Z56="Completed",Settings!$U$36,IF($V56="Completed",Settings!$U$35,IF($R56="Completed",Settings!$U$34,IF($N56="Completed",Settings!$U$33,IF($J56="Completed",Settings!$U$32,""))))))))))))))))</f>
        <v/>
      </c>
      <c r="F56" s="30" t="str">
        <f aca="false">IF($A56="","",COUNTIF($J56:$BM56,"Completed"))</f>
        <v/>
      </c>
      <c r="G56" s="35" t="str">
        <f aca="false">IF($A56="","",MIN($F56/13,1))</f>
        <v/>
      </c>
      <c r="H56" s="31" t="str">
        <f aca="false">IF($A56="","",IF($BJ56="Completed","Case Completed",IF($AX56="Completed","Visa Rejected",IF($BF56="Completed","Departed to Europe",IF($F56=0,"Not Started","In Progress")))))</f>
        <v/>
      </c>
      <c r="I56" s="30" t="str">
        <f aca="true">IF($K56="","",IF($BK56&lt;&gt;"",$BK56-$K56,IF($AY56&lt;&gt;"",$AY56-$K56,TODAY()-$K56)))</f>
        <v/>
      </c>
      <c r="J56" s="27"/>
      <c r="K56" s="29"/>
      <c r="L56" s="28"/>
      <c r="M56" s="32"/>
      <c r="N56" s="27"/>
      <c r="O56" s="29"/>
      <c r="P56" s="28"/>
      <c r="Q56" s="32"/>
      <c r="R56" s="27"/>
      <c r="S56" s="29"/>
      <c r="T56" s="28"/>
      <c r="U56" s="32"/>
      <c r="V56" s="27"/>
      <c r="W56" s="29"/>
      <c r="X56" s="28"/>
      <c r="Y56" s="32"/>
      <c r="Z56" s="27"/>
      <c r="AA56" s="29"/>
      <c r="AB56" s="28"/>
      <c r="AC56" s="32"/>
      <c r="AD56" s="27"/>
      <c r="AE56" s="29"/>
      <c r="AF56" s="28"/>
      <c r="AG56" s="32"/>
      <c r="AH56" s="27"/>
      <c r="AI56" s="29"/>
      <c r="AJ56" s="28"/>
      <c r="AK56" s="32"/>
      <c r="AL56" s="27"/>
      <c r="AM56" s="29"/>
      <c r="AN56" s="28"/>
      <c r="AO56" s="32"/>
      <c r="AP56" s="27"/>
      <c r="AQ56" s="29"/>
      <c r="AR56" s="28"/>
      <c r="AS56" s="32"/>
      <c r="AT56" s="27"/>
      <c r="AU56" s="29"/>
      <c r="AV56" s="28"/>
      <c r="AW56" s="32"/>
      <c r="AX56" s="27"/>
      <c r="AY56" s="29"/>
      <c r="AZ56" s="28"/>
      <c r="BA56" s="32"/>
      <c r="BB56" s="27"/>
      <c r="BC56" s="29"/>
      <c r="BD56" s="28"/>
      <c r="BE56" s="32"/>
      <c r="BF56" s="27"/>
      <c r="BG56" s="29"/>
      <c r="BH56" s="28"/>
      <c r="BI56" s="32"/>
      <c r="BJ56" s="27"/>
      <c r="BK56" s="29"/>
      <c r="BL56" s="28"/>
      <c r="BM56" s="32"/>
    </row>
    <row r="57" customFormat="false" ht="15.75" hidden="false" customHeight="true" outlineLevel="0" collapsed="false">
      <c r="A57" s="27"/>
      <c r="B57" s="39" t="str">
        <f aca="false">IFERROR(INDEX(Customers!$C$4:$C$1003,MATCH($A57,Customers!$A$4:$A$1003,0)),"")</f>
        <v/>
      </c>
      <c r="C57" s="31" t="str">
        <f aca="false">IFERROR(INDEX(Customers!$F$4:$F$1003,MATCH($A57,Customers!$A$4:$A$1003,0)),"")</f>
        <v/>
      </c>
      <c r="D57" s="33" t="str">
        <f aca="false">IFERROR(INDEX(Customers!$K$4:$K$1003,MATCH($A57,Customers!$A$4:$A$1003,0)),"")</f>
        <v/>
      </c>
      <c r="E57" s="33" t="str">
        <f aca="false">IF($A57="","",IF($F57=0,"Not Started",IF($BJ57="Completed",Settings!$U$45,IF($BF57="Completed",Settings!$U$44,IF($BB57="Completed",Settings!$U$43,IF($AX57="Completed",Settings!$U$42,IF($AT57="Completed",Settings!$U$41,IF($AP57="Completed",Settings!$U$40,IF($AL57="Completed",Settings!$U$39,IF($AH57="Completed",Settings!$U$38,IF($AD57="Completed",Settings!$U$37,IF($Z57="Completed",Settings!$U$36,IF($V57="Completed",Settings!$U$35,IF($R57="Completed",Settings!$U$34,IF($N57="Completed",Settings!$U$33,IF($J57="Completed",Settings!$U$32,""))))))))))))))))</f>
        <v/>
      </c>
      <c r="F57" s="30" t="str">
        <f aca="false">IF($A57="","",COUNTIF($J57:$BM57,"Completed"))</f>
        <v/>
      </c>
      <c r="G57" s="35" t="str">
        <f aca="false">IF($A57="","",MIN($F57/13,1))</f>
        <v/>
      </c>
      <c r="H57" s="31" t="str">
        <f aca="false">IF($A57="","",IF($BJ57="Completed","Case Completed",IF($AX57="Completed","Visa Rejected",IF($BF57="Completed","Departed to Europe",IF($F57=0,"Not Started","In Progress")))))</f>
        <v/>
      </c>
      <c r="I57" s="30" t="str">
        <f aca="true">IF($K57="","",IF($BK57&lt;&gt;"",$BK57-$K57,IF($AY57&lt;&gt;"",$AY57-$K57,TODAY()-$K57)))</f>
        <v/>
      </c>
      <c r="J57" s="27"/>
      <c r="K57" s="29"/>
      <c r="L57" s="28"/>
      <c r="M57" s="32"/>
      <c r="N57" s="27"/>
      <c r="O57" s="29"/>
      <c r="P57" s="28"/>
      <c r="Q57" s="32"/>
      <c r="R57" s="27"/>
      <c r="S57" s="29"/>
      <c r="T57" s="28"/>
      <c r="U57" s="32"/>
      <c r="V57" s="27"/>
      <c r="W57" s="29"/>
      <c r="X57" s="28"/>
      <c r="Y57" s="32"/>
      <c r="Z57" s="27"/>
      <c r="AA57" s="29"/>
      <c r="AB57" s="28"/>
      <c r="AC57" s="32"/>
      <c r="AD57" s="27"/>
      <c r="AE57" s="29"/>
      <c r="AF57" s="28"/>
      <c r="AG57" s="32"/>
      <c r="AH57" s="27"/>
      <c r="AI57" s="29"/>
      <c r="AJ57" s="28"/>
      <c r="AK57" s="32"/>
      <c r="AL57" s="27"/>
      <c r="AM57" s="29"/>
      <c r="AN57" s="28"/>
      <c r="AO57" s="32"/>
      <c r="AP57" s="27"/>
      <c r="AQ57" s="29"/>
      <c r="AR57" s="28"/>
      <c r="AS57" s="32"/>
      <c r="AT57" s="27"/>
      <c r="AU57" s="29"/>
      <c r="AV57" s="28"/>
      <c r="AW57" s="32"/>
      <c r="AX57" s="27"/>
      <c r="AY57" s="29"/>
      <c r="AZ57" s="28"/>
      <c r="BA57" s="32"/>
      <c r="BB57" s="27"/>
      <c r="BC57" s="29"/>
      <c r="BD57" s="28"/>
      <c r="BE57" s="32"/>
      <c r="BF57" s="27"/>
      <c r="BG57" s="29"/>
      <c r="BH57" s="28"/>
      <c r="BI57" s="32"/>
      <c r="BJ57" s="27"/>
      <c r="BK57" s="29"/>
      <c r="BL57" s="28"/>
      <c r="BM57" s="32"/>
    </row>
    <row r="58" customFormat="false" ht="15.75" hidden="false" customHeight="true" outlineLevel="0" collapsed="false">
      <c r="A58" s="27"/>
      <c r="B58" s="39" t="str">
        <f aca="false">IFERROR(INDEX(Customers!$C$4:$C$1003,MATCH($A58,Customers!$A$4:$A$1003,0)),"")</f>
        <v/>
      </c>
      <c r="C58" s="31" t="str">
        <f aca="false">IFERROR(INDEX(Customers!$F$4:$F$1003,MATCH($A58,Customers!$A$4:$A$1003,0)),"")</f>
        <v/>
      </c>
      <c r="D58" s="33" t="str">
        <f aca="false">IFERROR(INDEX(Customers!$K$4:$K$1003,MATCH($A58,Customers!$A$4:$A$1003,0)),"")</f>
        <v/>
      </c>
      <c r="E58" s="33" t="str">
        <f aca="false">IF($A58="","",IF($F58=0,"Not Started",IF($BJ58="Completed",Settings!$U$45,IF($BF58="Completed",Settings!$U$44,IF($BB58="Completed",Settings!$U$43,IF($AX58="Completed",Settings!$U$42,IF($AT58="Completed",Settings!$U$41,IF($AP58="Completed",Settings!$U$40,IF($AL58="Completed",Settings!$U$39,IF($AH58="Completed",Settings!$U$38,IF($AD58="Completed",Settings!$U$37,IF($Z58="Completed",Settings!$U$36,IF($V58="Completed",Settings!$U$35,IF($R58="Completed",Settings!$U$34,IF($N58="Completed",Settings!$U$33,IF($J58="Completed",Settings!$U$32,""))))))))))))))))</f>
        <v/>
      </c>
      <c r="F58" s="30" t="str">
        <f aca="false">IF($A58="","",COUNTIF($J58:$BM58,"Completed"))</f>
        <v/>
      </c>
      <c r="G58" s="35" t="str">
        <f aca="false">IF($A58="","",MIN($F58/13,1))</f>
        <v/>
      </c>
      <c r="H58" s="31" t="str">
        <f aca="false">IF($A58="","",IF($BJ58="Completed","Case Completed",IF($AX58="Completed","Visa Rejected",IF($BF58="Completed","Departed to Europe",IF($F58=0,"Not Started","In Progress")))))</f>
        <v/>
      </c>
      <c r="I58" s="30" t="str">
        <f aca="true">IF($K58="","",IF($BK58&lt;&gt;"",$BK58-$K58,IF($AY58&lt;&gt;"",$AY58-$K58,TODAY()-$K58)))</f>
        <v/>
      </c>
      <c r="J58" s="27"/>
      <c r="K58" s="29"/>
      <c r="L58" s="28"/>
      <c r="M58" s="32"/>
      <c r="N58" s="27"/>
      <c r="O58" s="29"/>
      <c r="P58" s="28"/>
      <c r="Q58" s="32"/>
      <c r="R58" s="27"/>
      <c r="S58" s="29"/>
      <c r="T58" s="28"/>
      <c r="U58" s="32"/>
      <c r="V58" s="27"/>
      <c r="W58" s="29"/>
      <c r="X58" s="28"/>
      <c r="Y58" s="32"/>
      <c r="Z58" s="27"/>
      <c r="AA58" s="29"/>
      <c r="AB58" s="28"/>
      <c r="AC58" s="32"/>
      <c r="AD58" s="27"/>
      <c r="AE58" s="29"/>
      <c r="AF58" s="28"/>
      <c r="AG58" s="32"/>
      <c r="AH58" s="27"/>
      <c r="AI58" s="29"/>
      <c r="AJ58" s="28"/>
      <c r="AK58" s="32"/>
      <c r="AL58" s="27"/>
      <c r="AM58" s="29"/>
      <c r="AN58" s="28"/>
      <c r="AO58" s="32"/>
      <c r="AP58" s="27"/>
      <c r="AQ58" s="29"/>
      <c r="AR58" s="28"/>
      <c r="AS58" s="32"/>
      <c r="AT58" s="27"/>
      <c r="AU58" s="29"/>
      <c r="AV58" s="28"/>
      <c r="AW58" s="32"/>
      <c r="AX58" s="27"/>
      <c r="AY58" s="29"/>
      <c r="AZ58" s="28"/>
      <c r="BA58" s="32"/>
      <c r="BB58" s="27"/>
      <c r="BC58" s="29"/>
      <c r="BD58" s="28"/>
      <c r="BE58" s="32"/>
      <c r="BF58" s="27"/>
      <c r="BG58" s="29"/>
      <c r="BH58" s="28"/>
      <c r="BI58" s="32"/>
      <c r="BJ58" s="27"/>
      <c r="BK58" s="29"/>
      <c r="BL58" s="28"/>
      <c r="BM58" s="32"/>
    </row>
    <row r="59" customFormat="false" ht="15.75" hidden="false" customHeight="true" outlineLevel="0" collapsed="false">
      <c r="A59" s="27"/>
      <c r="B59" s="39" t="str">
        <f aca="false">IFERROR(INDEX(Customers!$C$4:$C$1003,MATCH($A59,Customers!$A$4:$A$1003,0)),"")</f>
        <v/>
      </c>
      <c r="C59" s="31" t="str">
        <f aca="false">IFERROR(INDEX(Customers!$F$4:$F$1003,MATCH($A59,Customers!$A$4:$A$1003,0)),"")</f>
        <v/>
      </c>
      <c r="D59" s="33" t="str">
        <f aca="false">IFERROR(INDEX(Customers!$K$4:$K$1003,MATCH($A59,Customers!$A$4:$A$1003,0)),"")</f>
        <v/>
      </c>
      <c r="E59" s="33" t="str">
        <f aca="false">IF($A59="","",IF($F59=0,"Not Started",IF($BJ59="Completed",Settings!$U$45,IF($BF59="Completed",Settings!$U$44,IF($BB59="Completed",Settings!$U$43,IF($AX59="Completed",Settings!$U$42,IF($AT59="Completed",Settings!$U$41,IF($AP59="Completed",Settings!$U$40,IF($AL59="Completed",Settings!$U$39,IF($AH59="Completed",Settings!$U$38,IF($AD59="Completed",Settings!$U$37,IF($Z59="Completed",Settings!$U$36,IF($V59="Completed",Settings!$U$35,IF($R59="Completed",Settings!$U$34,IF($N59="Completed",Settings!$U$33,IF($J59="Completed",Settings!$U$32,""))))))))))))))))</f>
        <v/>
      </c>
      <c r="F59" s="30" t="str">
        <f aca="false">IF($A59="","",COUNTIF($J59:$BM59,"Completed"))</f>
        <v/>
      </c>
      <c r="G59" s="35" t="str">
        <f aca="false">IF($A59="","",MIN($F59/13,1))</f>
        <v/>
      </c>
      <c r="H59" s="31" t="str">
        <f aca="false">IF($A59="","",IF($BJ59="Completed","Case Completed",IF($AX59="Completed","Visa Rejected",IF($BF59="Completed","Departed to Europe",IF($F59=0,"Not Started","In Progress")))))</f>
        <v/>
      </c>
      <c r="I59" s="30" t="str">
        <f aca="true">IF($K59="","",IF($BK59&lt;&gt;"",$BK59-$K59,IF($AY59&lt;&gt;"",$AY59-$K59,TODAY()-$K59)))</f>
        <v/>
      </c>
      <c r="J59" s="27"/>
      <c r="K59" s="29"/>
      <c r="L59" s="28"/>
      <c r="M59" s="32"/>
      <c r="N59" s="27"/>
      <c r="O59" s="29"/>
      <c r="P59" s="28"/>
      <c r="Q59" s="32"/>
      <c r="R59" s="27"/>
      <c r="S59" s="29"/>
      <c r="T59" s="28"/>
      <c r="U59" s="32"/>
      <c r="V59" s="27"/>
      <c r="W59" s="29"/>
      <c r="X59" s="28"/>
      <c r="Y59" s="32"/>
      <c r="Z59" s="27"/>
      <c r="AA59" s="29"/>
      <c r="AB59" s="28"/>
      <c r="AC59" s="32"/>
      <c r="AD59" s="27"/>
      <c r="AE59" s="29"/>
      <c r="AF59" s="28"/>
      <c r="AG59" s="32"/>
      <c r="AH59" s="27"/>
      <c r="AI59" s="29"/>
      <c r="AJ59" s="28"/>
      <c r="AK59" s="32"/>
      <c r="AL59" s="27"/>
      <c r="AM59" s="29"/>
      <c r="AN59" s="28"/>
      <c r="AO59" s="32"/>
      <c r="AP59" s="27"/>
      <c r="AQ59" s="29"/>
      <c r="AR59" s="28"/>
      <c r="AS59" s="32"/>
      <c r="AT59" s="27"/>
      <c r="AU59" s="29"/>
      <c r="AV59" s="28"/>
      <c r="AW59" s="32"/>
      <c r="AX59" s="27"/>
      <c r="AY59" s="29"/>
      <c r="AZ59" s="28"/>
      <c r="BA59" s="32"/>
      <c r="BB59" s="27"/>
      <c r="BC59" s="29"/>
      <c r="BD59" s="28"/>
      <c r="BE59" s="32"/>
      <c r="BF59" s="27"/>
      <c r="BG59" s="29"/>
      <c r="BH59" s="28"/>
      <c r="BI59" s="32"/>
      <c r="BJ59" s="27"/>
      <c r="BK59" s="29"/>
      <c r="BL59" s="28"/>
      <c r="BM59" s="32"/>
    </row>
    <row r="60" customFormat="false" ht="15.75" hidden="false" customHeight="true" outlineLevel="0" collapsed="false">
      <c r="A60" s="27"/>
      <c r="B60" s="39" t="str">
        <f aca="false">IFERROR(INDEX(Customers!$C$4:$C$1003,MATCH($A60,Customers!$A$4:$A$1003,0)),"")</f>
        <v/>
      </c>
      <c r="C60" s="31" t="str">
        <f aca="false">IFERROR(INDEX(Customers!$F$4:$F$1003,MATCH($A60,Customers!$A$4:$A$1003,0)),"")</f>
        <v/>
      </c>
      <c r="D60" s="33" t="str">
        <f aca="false">IFERROR(INDEX(Customers!$K$4:$K$1003,MATCH($A60,Customers!$A$4:$A$1003,0)),"")</f>
        <v/>
      </c>
      <c r="E60" s="33" t="str">
        <f aca="false">IF($A60="","",IF($F60=0,"Not Started",IF($BJ60="Completed",Settings!$U$45,IF($BF60="Completed",Settings!$U$44,IF($BB60="Completed",Settings!$U$43,IF($AX60="Completed",Settings!$U$42,IF($AT60="Completed",Settings!$U$41,IF($AP60="Completed",Settings!$U$40,IF($AL60="Completed",Settings!$U$39,IF($AH60="Completed",Settings!$U$38,IF($AD60="Completed",Settings!$U$37,IF($Z60="Completed",Settings!$U$36,IF($V60="Completed",Settings!$U$35,IF($R60="Completed",Settings!$U$34,IF($N60="Completed",Settings!$U$33,IF($J60="Completed",Settings!$U$32,""))))))))))))))))</f>
        <v/>
      </c>
      <c r="F60" s="30" t="str">
        <f aca="false">IF($A60="","",COUNTIF($J60:$BM60,"Completed"))</f>
        <v/>
      </c>
      <c r="G60" s="35" t="str">
        <f aca="false">IF($A60="","",MIN($F60/13,1))</f>
        <v/>
      </c>
      <c r="H60" s="31" t="str">
        <f aca="false">IF($A60="","",IF($BJ60="Completed","Case Completed",IF($AX60="Completed","Visa Rejected",IF($BF60="Completed","Departed to Europe",IF($F60=0,"Not Started","In Progress")))))</f>
        <v/>
      </c>
      <c r="I60" s="30" t="str">
        <f aca="true">IF($K60="","",IF($BK60&lt;&gt;"",$BK60-$K60,IF($AY60&lt;&gt;"",$AY60-$K60,TODAY()-$K60)))</f>
        <v/>
      </c>
      <c r="J60" s="27"/>
      <c r="K60" s="29"/>
      <c r="L60" s="28"/>
      <c r="M60" s="32"/>
      <c r="N60" s="27"/>
      <c r="O60" s="29"/>
      <c r="P60" s="28"/>
      <c r="Q60" s="32"/>
      <c r="R60" s="27"/>
      <c r="S60" s="29"/>
      <c r="T60" s="28"/>
      <c r="U60" s="32"/>
      <c r="V60" s="27"/>
      <c r="W60" s="29"/>
      <c r="X60" s="28"/>
      <c r="Y60" s="32"/>
      <c r="Z60" s="27"/>
      <c r="AA60" s="29"/>
      <c r="AB60" s="28"/>
      <c r="AC60" s="32"/>
      <c r="AD60" s="27"/>
      <c r="AE60" s="29"/>
      <c r="AF60" s="28"/>
      <c r="AG60" s="32"/>
      <c r="AH60" s="27"/>
      <c r="AI60" s="29"/>
      <c r="AJ60" s="28"/>
      <c r="AK60" s="32"/>
      <c r="AL60" s="27"/>
      <c r="AM60" s="29"/>
      <c r="AN60" s="28"/>
      <c r="AO60" s="32"/>
      <c r="AP60" s="27"/>
      <c r="AQ60" s="29"/>
      <c r="AR60" s="28"/>
      <c r="AS60" s="32"/>
      <c r="AT60" s="27"/>
      <c r="AU60" s="29"/>
      <c r="AV60" s="28"/>
      <c r="AW60" s="32"/>
      <c r="AX60" s="27"/>
      <c r="AY60" s="29"/>
      <c r="AZ60" s="28"/>
      <c r="BA60" s="32"/>
      <c r="BB60" s="27"/>
      <c r="BC60" s="29"/>
      <c r="BD60" s="28"/>
      <c r="BE60" s="32"/>
      <c r="BF60" s="27"/>
      <c r="BG60" s="29"/>
      <c r="BH60" s="28"/>
      <c r="BI60" s="32"/>
      <c r="BJ60" s="27"/>
      <c r="BK60" s="29"/>
      <c r="BL60" s="28"/>
      <c r="BM60" s="32"/>
    </row>
    <row r="61" customFormat="false" ht="15.75" hidden="false" customHeight="true" outlineLevel="0" collapsed="false">
      <c r="A61" s="27"/>
      <c r="B61" s="39" t="str">
        <f aca="false">IFERROR(INDEX(Customers!$C$4:$C$1003,MATCH($A61,Customers!$A$4:$A$1003,0)),"")</f>
        <v/>
      </c>
      <c r="C61" s="31" t="str">
        <f aca="false">IFERROR(INDEX(Customers!$F$4:$F$1003,MATCH($A61,Customers!$A$4:$A$1003,0)),"")</f>
        <v/>
      </c>
      <c r="D61" s="33" t="str">
        <f aca="false">IFERROR(INDEX(Customers!$K$4:$K$1003,MATCH($A61,Customers!$A$4:$A$1003,0)),"")</f>
        <v/>
      </c>
      <c r="E61" s="33" t="str">
        <f aca="false">IF($A61="","",IF($F61=0,"Not Started",IF($BJ61="Completed",Settings!$U$45,IF($BF61="Completed",Settings!$U$44,IF($BB61="Completed",Settings!$U$43,IF($AX61="Completed",Settings!$U$42,IF($AT61="Completed",Settings!$U$41,IF($AP61="Completed",Settings!$U$40,IF($AL61="Completed",Settings!$U$39,IF($AH61="Completed",Settings!$U$38,IF($AD61="Completed",Settings!$U$37,IF($Z61="Completed",Settings!$U$36,IF($V61="Completed",Settings!$U$35,IF($R61="Completed",Settings!$U$34,IF($N61="Completed",Settings!$U$33,IF($J61="Completed",Settings!$U$32,""))))))))))))))))</f>
        <v/>
      </c>
      <c r="F61" s="30" t="str">
        <f aca="false">IF($A61="","",COUNTIF($J61:$BM61,"Completed"))</f>
        <v/>
      </c>
      <c r="G61" s="35" t="str">
        <f aca="false">IF($A61="","",MIN($F61/13,1))</f>
        <v/>
      </c>
      <c r="H61" s="31" t="str">
        <f aca="false">IF($A61="","",IF($BJ61="Completed","Case Completed",IF($AX61="Completed","Visa Rejected",IF($BF61="Completed","Departed to Europe",IF($F61=0,"Not Started","In Progress")))))</f>
        <v/>
      </c>
      <c r="I61" s="30" t="str">
        <f aca="true">IF($K61="","",IF($BK61&lt;&gt;"",$BK61-$K61,IF($AY61&lt;&gt;"",$AY61-$K61,TODAY()-$K61)))</f>
        <v/>
      </c>
      <c r="J61" s="27"/>
      <c r="K61" s="29"/>
      <c r="L61" s="28"/>
      <c r="M61" s="32"/>
      <c r="N61" s="27"/>
      <c r="O61" s="29"/>
      <c r="P61" s="28"/>
      <c r="Q61" s="32"/>
      <c r="R61" s="27"/>
      <c r="S61" s="29"/>
      <c r="T61" s="28"/>
      <c r="U61" s="32"/>
      <c r="V61" s="27"/>
      <c r="W61" s="29"/>
      <c r="X61" s="28"/>
      <c r="Y61" s="32"/>
      <c r="Z61" s="27"/>
      <c r="AA61" s="29"/>
      <c r="AB61" s="28"/>
      <c r="AC61" s="32"/>
      <c r="AD61" s="27"/>
      <c r="AE61" s="29"/>
      <c r="AF61" s="28"/>
      <c r="AG61" s="32"/>
      <c r="AH61" s="27"/>
      <c r="AI61" s="29"/>
      <c r="AJ61" s="28"/>
      <c r="AK61" s="32"/>
      <c r="AL61" s="27"/>
      <c r="AM61" s="29"/>
      <c r="AN61" s="28"/>
      <c r="AO61" s="32"/>
      <c r="AP61" s="27"/>
      <c r="AQ61" s="29"/>
      <c r="AR61" s="28"/>
      <c r="AS61" s="32"/>
      <c r="AT61" s="27"/>
      <c r="AU61" s="29"/>
      <c r="AV61" s="28"/>
      <c r="AW61" s="32"/>
      <c r="AX61" s="27"/>
      <c r="AY61" s="29"/>
      <c r="AZ61" s="28"/>
      <c r="BA61" s="32"/>
      <c r="BB61" s="27"/>
      <c r="BC61" s="29"/>
      <c r="BD61" s="28"/>
      <c r="BE61" s="32"/>
      <c r="BF61" s="27"/>
      <c r="BG61" s="29"/>
      <c r="BH61" s="28"/>
      <c r="BI61" s="32"/>
      <c r="BJ61" s="27"/>
      <c r="BK61" s="29"/>
      <c r="BL61" s="28"/>
      <c r="BM61" s="32"/>
    </row>
    <row r="62" customFormat="false" ht="15.75" hidden="false" customHeight="true" outlineLevel="0" collapsed="false">
      <c r="A62" s="27"/>
      <c r="B62" s="39" t="str">
        <f aca="false">IFERROR(INDEX(Customers!$C$4:$C$1003,MATCH($A62,Customers!$A$4:$A$1003,0)),"")</f>
        <v/>
      </c>
      <c r="C62" s="31" t="str">
        <f aca="false">IFERROR(INDEX(Customers!$F$4:$F$1003,MATCH($A62,Customers!$A$4:$A$1003,0)),"")</f>
        <v/>
      </c>
      <c r="D62" s="33" t="str">
        <f aca="false">IFERROR(INDEX(Customers!$K$4:$K$1003,MATCH($A62,Customers!$A$4:$A$1003,0)),"")</f>
        <v/>
      </c>
      <c r="E62" s="33" t="str">
        <f aca="false">IF($A62="","",IF($F62=0,"Not Started",IF($BJ62="Completed",Settings!$U$45,IF($BF62="Completed",Settings!$U$44,IF($BB62="Completed",Settings!$U$43,IF($AX62="Completed",Settings!$U$42,IF($AT62="Completed",Settings!$U$41,IF($AP62="Completed",Settings!$U$40,IF($AL62="Completed",Settings!$U$39,IF($AH62="Completed",Settings!$U$38,IF($AD62="Completed",Settings!$U$37,IF($Z62="Completed",Settings!$U$36,IF($V62="Completed",Settings!$U$35,IF($R62="Completed",Settings!$U$34,IF($N62="Completed",Settings!$U$33,IF($J62="Completed",Settings!$U$32,""))))))))))))))))</f>
        <v/>
      </c>
      <c r="F62" s="30" t="str">
        <f aca="false">IF($A62="","",COUNTIF($J62:$BM62,"Completed"))</f>
        <v/>
      </c>
      <c r="G62" s="35" t="str">
        <f aca="false">IF($A62="","",MIN($F62/13,1))</f>
        <v/>
      </c>
      <c r="H62" s="31" t="str">
        <f aca="false">IF($A62="","",IF($BJ62="Completed","Case Completed",IF($AX62="Completed","Visa Rejected",IF($BF62="Completed","Departed to Europe",IF($F62=0,"Not Started","In Progress")))))</f>
        <v/>
      </c>
      <c r="I62" s="30" t="str">
        <f aca="true">IF($K62="","",IF($BK62&lt;&gt;"",$BK62-$K62,IF($AY62&lt;&gt;"",$AY62-$K62,TODAY()-$K62)))</f>
        <v/>
      </c>
      <c r="J62" s="27"/>
      <c r="K62" s="29"/>
      <c r="L62" s="28"/>
      <c r="M62" s="32"/>
      <c r="N62" s="27"/>
      <c r="O62" s="29"/>
      <c r="P62" s="28"/>
      <c r="Q62" s="32"/>
      <c r="R62" s="27"/>
      <c r="S62" s="29"/>
      <c r="T62" s="28"/>
      <c r="U62" s="32"/>
      <c r="V62" s="27"/>
      <c r="W62" s="29"/>
      <c r="X62" s="28"/>
      <c r="Y62" s="32"/>
      <c r="Z62" s="27"/>
      <c r="AA62" s="29"/>
      <c r="AB62" s="28"/>
      <c r="AC62" s="32"/>
      <c r="AD62" s="27"/>
      <c r="AE62" s="29"/>
      <c r="AF62" s="28"/>
      <c r="AG62" s="32"/>
      <c r="AH62" s="27"/>
      <c r="AI62" s="29"/>
      <c r="AJ62" s="28"/>
      <c r="AK62" s="32"/>
      <c r="AL62" s="27"/>
      <c r="AM62" s="29"/>
      <c r="AN62" s="28"/>
      <c r="AO62" s="32"/>
      <c r="AP62" s="27"/>
      <c r="AQ62" s="29"/>
      <c r="AR62" s="28"/>
      <c r="AS62" s="32"/>
      <c r="AT62" s="27"/>
      <c r="AU62" s="29"/>
      <c r="AV62" s="28"/>
      <c r="AW62" s="32"/>
      <c r="AX62" s="27"/>
      <c r="AY62" s="29"/>
      <c r="AZ62" s="28"/>
      <c r="BA62" s="32"/>
      <c r="BB62" s="27"/>
      <c r="BC62" s="29"/>
      <c r="BD62" s="28"/>
      <c r="BE62" s="32"/>
      <c r="BF62" s="27"/>
      <c r="BG62" s="29"/>
      <c r="BH62" s="28"/>
      <c r="BI62" s="32"/>
      <c r="BJ62" s="27"/>
      <c r="BK62" s="29"/>
      <c r="BL62" s="28"/>
      <c r="BM62" s="32"/>
    </row>
    <row r="63" customFormat="false" ht="15.75" hidden="false" customHeight="true" outlineLevel="0" collapsed="false">
      <c r="A63" s="27"/>
      <c r="B63" s="39" t="str">
        <f aca="false">IFERROR(INDEX(Customers!$C$4:$C$1003,MATCH($A63,Customers!$A$4:$A$1003,0)),"")</f>
        <v/>
      </c>
      <c r="C63" s="31" t="str">
        <f aca="false">IFERROR(INDEX(Customers!$F$4:$F$1003,MATCH($A63,Customers!$A$4:$A$1003,0)),"")</f>
        <v/>
      </c>
      <c r="D63" s="33" t="str">
        <f aca="false">IFERROR(INDEX(Customers!$K$4:$K$1003,MATCH($A63,Customers!$A$4:$A$1003,0)),"")</f>
        <v/>
      </c>
      <c r="E63" s="33" t="str">
        <f aca="false">IF($A63="","",IF($F63=0,"Not Started",IF($BJ63="Completed",Settings!$U$45,IF($BF63="Completed",Settings!$U$44,IF($BB63="Completed",Settings!$U$43,IF($AX63="Completed",Settings!$U$42,IF($AT63="Completed",Settings!$U$41,IF($AP63="Completed",Settings!$U$40,IF($AL63="Completed",Settings!$U$39,IF($AH63="Completed",Settings!$U$38,IF($AD63="Completed",Settings!$U$37,IF($Z63="Completed",Settings!$U$36,IF($V63="Completed",Settings!$U$35,IF($R63="Completed",Settings!$U$34,IF($N63="Completed",Settings!$U$33,IF($J63="Completed",Settings!$U$32,""))))))))))))))))</f>
        <v/>
      </c>
      <c r="F63" s="30" t="str">
        <f aca="false">IF($A63="","",COUNTIF($J63:$BM63,"Completed"))</f>
        <v/>
      </c>
      <c r="G63" s="35" t="str">
        <f aca="false">IF($A63="","",MIN($F63/13,1))</f>
        <v/>
      </c>
      <c r="H63" s="31" t="str">
        <f aca="false">IF($A63="","",IF($BJ63="Completed","Case Completed",IF($AX63="Completed","Visa Rejected",IF($BF63="Completed","Departed to Europe",IF($F63=0,"Not Started","In Progress")))))</f>
        <v/>
      </c>
      <c r="I63" s="30" t="str">
        <f aca="true">IF($K63="","",IF($BK63&lt;&gt;"",$BK63-$K63,IF($AY63&lt;&gt;"",$AY63-$K63,TODAY()-$K63)))</f>
        <v/>
      </c>
      <c r="J63" s="27"/>
      <c r="K63" s="29"/>
      <c r="L63" s="28"/>
      <c r="M63" s="32"/>
      <c r="N63" s="27"/>
      <c r="O63" s="29"/>
      <c r="P63" s="28"/>
      <c r="Q63" s="32"/>
      <c r="R63" s="27"/>
      <c r="S63" s="29"/>
      <c r="T63" s="28"/>
      <c r="U63" s="32"/>
      <c r="V63" s="27"/>
      <c r="W63" s="29"/>
      <c r="X63" s="28"/>
      <c r="Y63" s="32"/>
      <c r="Z63" s="27"/>
      <c r="AA63" s="29"/>
      <c r="AB63" s="28"/>
      <c r="AC63" s="32"/>
      <c r="AD63" s="27"/>
      <c r="AE63" s="29"/>
      <c r="AF63" s="28"/>
      <c r="AG63" s="32"/>
      <c r="AH63" s="27"/>
      <c r="AI63" s="29"/>
      <c r="AJ63" s="28"/>
      <c r="AK63" s="32"/>
      <c r="AL63" s="27"/>
      <c r="AM63" s="29"/>
      <c r="AN63" s="28"/>
      <c r="AO63" s="32"/>
      <c r="AP63" s="27"/>
      <c r="AQ63" s="29"/>
      <c r="AR63" s="28"/>
      <c r="AS63" s="32"/>
      <c r="AT63" s="27"/>
      <c r="AU63" s="29"/>
      <c r="AV63" s="28"/>
      <c r="AW63" s="32"/>
      <c r="AX63" s="27"/>
      <c r="AY63" s="29"/>
      <c r="AZ63" s="28"/>
      <c r="BA63" s="32"/>
      <c r="BB63" s="27"/>
      <c r="BC63" s="29"/>
      <c r="BD63" s="28"/>
      <c r="BE63" s="32"/>
      <c r="BF63" s="27"/>
      <c r="BG63" s="29"/>
      <c r="BH63" s="28"/>
      <c r="BI63" s="32"/>
      <c r="BJ63" s="27"/>
      <c r="BK63" s="29"/>
      <c r="BL63" s="28"/>
      <c r="BM63" s="32"/>
    </row>
    <row r="64" customFormat="false" ht="15.75" hidden="false" customHeight="true" outlineLevel="0" collapsed="false">
      <c r="A64" s="27"/>
      <c r="B64" s="39" t="str">
        <f aca="false">IFERROR(INDEX(Customers!$C$4:$C$1003,MATCH($A64,Customers!$A$4:$A$1003,0)),"")</f>
        <v/>
      </c>
      <c r="C64" s="31" t="str">
        <f aca="false">IFERROR(INDEX(Customers!$F$4:$F$1003,MATCH($A64,Customers!$A$4:$A$1003,0)),"")</f>
        <v/>
      </c>
      <c r="D64" s="33" t="str">
        <f aca="false">IFERROR(INDEX(Customers!$K$4:$K$1003,MATCH($A64,Customers!$A$4:$A$1003,0)),"")</f>
        <v/>
      </c>
      <c r="E64" s="33" t="str">
        <f aca="false">IF($A64="","",IF($F64=0,"Not Started",IF($BJ64="Completed",Settings!$U$45,IF($BF64="Completed",Settings!$U$44,IF($BB64="Completed",Settings!$U$43,IF($AX64="Completed",Settings!$U$42,IF($AT64="Completed",Settings!$U$41,IF($AP64="Completed",Settings!$U$40,IF($AL64="Completed",Settings!$U$39,IF($AH64="Completed",Settings!$U$38,IF($AD64="Completed",Settings!$U$37,IF($Z64="Completed",Settings!$U$36,IF($V64="Completed",Settings!$U$35,IF($R64="Completed",Settings!$U$34,IF($N64="Completed",Settings!$U$33,IF($J64="Completed",Settings!$U$32,""))))))))))))))))</f>
        <v/>
      </c>
      <c r="F64" s="30" t="str">
        <f aca="false">IF($A64="","",COUNTIF($J64:$BM64,"Completed"))</f>
        <v/>
      </c>
      <c r="G64" s="35" t="str">
        <f aca="false">IF($A64="","",MIN($F64/13,1))</f>
        <v/>
      </c>
      <c r="H64" s="31" t="str">
        <f aca="false">IF($A64="","",IF($BJ64="Completed","Case Completed",IF($AX64="Completed","Visa Rejected",IF($BF64="Completed","Departed to Europe",IF($F64=0,"Not Started","In Progress")))))</f>
        <v/>
      </c>
      <c r="I64" s="30" t="str">
        <f aca="true">IF($K64="","",IF($BK64&lt;&gt;"",$BK64-$K64,IF($AY64&lt;&gt;"",$AY64-$K64,TODAY()-$K64)))</f>
        <v/>
      </c>
      <c r="J64" s="27"/>
      <c r="K64" s="29"/>
      <c r="L64" s="28"/>
      <c r="M64" s="32"/>
      <c r="N64" s="27"/>
      <c r="O64" s="29"/>
      <c r="P64" s="28"/>
      <c r="Q64" s="32"/>
      <c r="R64" s="27"/>
      <c r="S64" s="29"/>
      <c r="T64" s="28"/>
      <c r="U64" s="32"/>
      <c r="V64" s="27"/>
      <c r="W64" s="29"/>
      <c r="X64" s="28"/>
      <c r="Y64" s="32"/>
      <c r="Z64" s="27"/>
      <c r="AA64" s="29"/>
      <c r="AB64" s="28"/>
      <c r="AC64" s="32"/>
      <c r="AD64" s="27"/>
      <c r="AE64" s="29"/>
      <c r="AF64" s="28"/>
      <c r="AG64" s="32"/>
      <c r="AH64" s="27"/>
      <c r="AI64" s="29"/>
      <c r="AJ64" s="28"/>
      <c r="AK64" s="32"/>
      <c r="AL64" s="27"/>
      <c r="AM64" s="29"/>
      <c r="AN64" s="28"/>
      <c r="AO64" s="32"/>
      <c r="AP64" s="27"/>
      <c r="AQ64" s="29"/>
      <c r="AR64" s="28"/>
      <c r="AS64" s="32"/>
      <c r="AT64" s="27"/>
      <c r="AU64" s="29"/>
      <c r="AV64" s="28"/>
      <c r="AW64" s="32"/>
      <c r="AX64" s="27"/>
      <c r="AY64" s="29"/>
      <c r="AZ64" s="28"/>
      <c r="BA64" s="32"/>
      <c r="BB64" s="27"/>
      <c r="BC64" s="29"/>
      <c r="BD64" s="28"/>
      <c r="BE64" s="32"/>
      <c r="BF64" s="27"/>
      <c r="BG64" s="29"/>
      <c r="BH64" s="28"/>
      <c r="BI64" s="32"/>
      <c r="BJ64" s="27"/>
      <c r="BK64" s="29"/>
      <c r="BL64" s="28"/>
      <c r="BM64" s="32"/>
    </row>
    <row r="65" customFormat="false" ht="15.75" hidden="false" customHeight="true" outlineLevel="0" collapsed="false">
      <c r="A65" s="27"/>
      <c r="B65" s="39" t="str">
        <f aca="false">IFERROR(INDEX(Customers!$C$4:$C$1003,MATCH($A65,Customers!$A$4:$A$1003,0)),"")</f>
        <v/>
      </c>
      <c r="C65" s="31" t="str">
        <f aca="false">IFERROR(INDEX(Customers!$F$4:$F$1003,MATCH($A65,Customers!$A$4:$A$1003,0)),"")</f>
        <v/>
      </c>
      <c r="D65" s="33" t="str">
        <f aca="false">IFERROR(INDEX(Customers!$K$4:$K$1003,MATCH($A65,Customers!$A$4:$A$1003,0)),"")</f>
        <v/>
      </c>
      <c r="E65" s="33" t="str">
        <f aca="false">IF($A65="","",IF($F65=0,"Not Started",IF($BJ65="Completed",Settings!$U$45,IF($BF65="Completed",Settings!$U$44,IF($BB65="Completed",Settings!$U$43,IF($AX65="Completed",Settings!$U$42,IF($AT65="Completed",Settings!$U$41,IF($AP65="Completed",Settings!$U$40,IF($AL65="Completed",Settings!$U$39,IF($AH65="Completed",Settings!$U$38,IF($AD65="Completed",Settings!$U$37,IF($Z65="Completed",Settings!$U$36,IF($V65="Completed",Settings!$U$35,IF($R65="Completed",Settings!$U$34,IF($N65="Completed",Settings!$U$33,IF($J65="Completed",Settings!$U$32,""))))))))))))))))</f>
        <v/>
      </c>
      <c r="F65" s="30" t="str">
        <f aca="false">IF($A65="","",COUNTIF($J65:$BM65,"Completed"))</f>
        <v/>
      </c>
      <c r="G65" s="35" t="str">
        <f aca="false">IF($A65="","",MIN($F65/13,1))</f>
        <v/>
      </c>
      <c r="H65" s="31" t="str">
        <f aca="false">IF($A65="","",IF($BJ65="Completed","Case Completed",IF($AX65="Completed","Visa Rejected",IF($BF65="Completed","Departed to Europe",IF($F65=0,"Not Started","In Progress")))))</f>
        <v/>
      </c>
      <c r="I65" s="30" t="str">
        <f aca="true">IF($K65="","",IF($BK65&lt;&gt;"",$BK65-$K65,IF($AY65&lt;&gt;"",$AY65-$K65,TODAY()-$K65)))</f>
        <v/>
      </c>
      <c r="J65" s="27"/>
      <c r="K65" s="29"/>
      <c r="L65" s="28"/>
      <c r="M65" s="32"/>
      <c r="N65" s="27"/>
      <c r="O65" s="29"/>
      <c r="P65" s="28"/>
      <c r="Q65" s="32"/>
      <c r="R65" s="27"/>
      <c r="S65" s="29"/>
      <c r="T65" s="28"/>
      <c r="U65" s="32"/>
      <c r="V65" s="27"/>
      <c r="W65" s="29"/>
      <c r="X65" s="28"/>
      <c r="Y65" s="32"/>
      <c r="Z65" s="27"/>
      <c r="AA65" s="29"/>
      <c r="AB65" s="28"/>
      <c r="AC65" s="32"/>
      <c r="AD65" s="27"/>
      <c r="AE65" s="29"/>
      <c r="AF65" s="28"/>
      <c r="AG65" s="32"/>
      <c r="AH65" s="27"/>
      <c r="AI65" s="29"/>
      <c r="AJ65" s="28"/>
      <c r="AK65" s="32"/>
      <c r="AL65" s="27"/>
      <c r="AM65" s="29"/>
      <c r="AN65" s="28"/>
      <c r="AO65" s="32"/>
      <c r="AP65" s="27"/>
      <c r="AQ65" s="29"/>
      <c r="AR65" s="28"/>
      <c r="AS65" s="32"/>
      <c r="AT65" s="27"/>
      <c r="AU65" s="29"/>
      <c r="AV65" s="28"/>
      <c r="AW65" s="32"/>
      <c r="AX65" s="27"/>
      <c r="AY65" s="29"/>
      <c r="AZ65" s="28"/>
      <c r="BA65" s="32"/>
      <c r="BB65" s="27"/>
      <c r="BC65" s="29"/>
      <c r="BD65" s="28"/>
      <c r="BE65" s="32"/>
      <c r="BF65" s="27"/>
      <c r="BG65" s="29"/>
      <c r="BH65" s="28"/>
      <c r="BI65" s="32"/>
      <c r="BJ65" s="27"/>
      <c r="BK65" s="29"/>
      <c r="BL65" s="28"/>
      <c r="BM65" s="32"/>
    </row>
    <row r="66" customFormat="false" ht="15.75" hidden="false" customHeight="true" outlineLevel="0" collapsed="false">
      <c r="A66" s="27"/>
      <c r="B66" s="39" t="str">
        <f aca="false">IFERROR(INDEX(Customers!$C$4:$C$1003,MATCH($A66,Customers!$A$4:$A$1003,0)),"")</f>
        <v/>
      </c>
      <c r="C66" s="31" t="str">
        <f aca="false">IFERROR(INDEX(Customers!$F$4:$F$1003,MATCH($A66,Customers!$A$4:$A$1003,0)),"")</f>
        <v/>
      </c>
      <c r="D66" s="33" t="str">
        <f aca="false">IFERROR(INDEX(Customers!$K$4:$K$1003,MATCH($A66,Customers!$A$4:$A$1003,0)),"")</f>
        <v/>
      </c>
      <c r="E66" s="33" t="str">
        <f aca="false">IF($A66="","",IF($F66=0,"Not Started",IF($BJ66="Completed",Settings!$U$45,IF($BF66="Completed",Settings!$U$44,IF($BB66="Completed",Settings!$U$43,IF($AX66="Completed",Settings!$U$42,IF($AT66="Completed",Settings!$U$41,IF($AP66="Completed",Settings!$U$40,IF($AL66="Completed",Settings!$U$39,IF($AH66="Completed",Settings!$U$38,IF($AD66="Completed",Settings!$U$37,IF($Z66="Completed",Settings!$U$36,IF($V66="Completed",Settings!$U$35,IF($R66="Completed",Settings!$U$34,IF($N66="Completed",Settings!$U$33,IF($J66="Completed",Settings!$U$32,""))))))))))))))))</f>
        <v/>
      </c>
      <c r="F66" s="30" t="str">
        <f aca="false">IF($A66="","",COUNTIF($J66:$BM66,"Completed"))</f>
        <v/>
      </c>
      <c r="G66" s="35" t="str">
        <f aca="false">IF($A66="","",MIN($F66/13,1))</f>
        <v/>
      </c>
      <c r="H66" s="31" t="str">
        <f aca="false">IF($A66="","",IF($BJ66="Completed","Case Completed",IF($AX66="Completed","Visa Rejected",IF($BF66="Completed","Departed to Europe",IF($F66=0,"Not Started","In Progress")))))</f>
        <v/>
      </c>
      <c r="I66" s="30" t="str">
        <f aca="true">IF($K66="","",IF($BK66&lt;&gt;"",$BK66-$K66,IF($AY66&lt;&gt;"",$AY66-$K66,TODAY()-$K66)))</f>
        <v/>
      </c>
      <c r="J66" s="27"/>
      <c r="K66" s="29"/>
      <c r="L66" s="28"/>
      <c r="M66" s="32"/>
      <c r="N66" s="27"/>
      <c r="O66" s="29"/>
      <c r="P66" s="28"/>
      <c r="Q66" s="32"/>
      <c r="R66" s="27"/>
      <c r="S66" s="29"/>
      <c r="T66" s="28"/>
      <c r="U66" s="32"/>
      <c r="V66" s="27"/>
      <c r="W66" s="29"/>
      <c r="X66" s="28"/>
      <c r="Y66" s="32"/>
      <c r="Z66" s="27"/>
      <c r="AA66" s="29"/>
      <c r="AB66" s="28"/>
      <c r="AC66" s="32"/>
      <c r="AD66" s="27"/>
      <c r="AE66" s="29"/>
      <c r="AF66" s="28"/>
      <c r="AG66" s="32"/>
      <c r="AH66" s="27"/>
      <c r="AI66" s="29"/>
      <c r="AJ66" s="28"/>
      <c r="AK66" s="32"/>
      <c r="AL66" s="27"/>
      <c r="AM66" s="29"/>
      <c r="AN66" s="28"/>
      <c r="AO66" s="32"/>
      <c r="AP66" s="27"/>
      <c r="AQ66" s="29"/>
      <c r="AR66" s="28"/>
      <c r="AS66" s="32"/>
      <c r="AT66" s="27"/>
      <c r="AU66" s="29"/>
      <c r="AV66" s="28"/>
      <c r="AW66" s="32"/>
      <c r="AX66" s="27"/>
      <c r="AY66" s="29"/>
      <c r="AZ66" s="28"/>
      <c r="BA66" s="32"/>
      <c r="BB66" s="27"/>
      <c r="BC66" s="29"/>
      <c r="BD66" s="28"/>
      <c r="BE66" s="32"/>
      <c r="BF66" s="27"/>
      <c r="BG66" s="29"/>
      <c r="BH66" s="28"/>
      <c r="BI66" s="32"/>
      <c r="BJ66" s="27"/>
      <c r="BK66" s="29"/>
      <c r="BL66" s="28"/>
      <c r="BM66" s="32"/>
    </row>
    <row r="67" customFormat="false" ht="15.75" hidden="false" customHeight="true" outlineLevel="0" collapsed="false">
      <c r="A67" s="27"/>
      <c r="B67" s="39" t="str">
        <f aca="false">IFERROR(INDEX(Customers!$C$4:$C$1003,MATCH($A67,Customers!$A$4:$A$1003,0)),"")</f>
        <v/>
      </c>
      <c r="C67" s="31" t="str">
        <f aca="false">IFERROR(INDEX(Customers!$F$4:$F$1003,MATCH($A67,Customers!$A$4:$A$1003,0)),"")</f>
        <v/>
      </c>
      <c r="D67" s="33" t="str">
        <f aca="false">IFERROR(INDEX(Customers!$K$4:$K$1003,MATCH($A67,Customers!$A$4:$A$1003,0)),"")</f>
        <v/>
      </c>
      <c r="E67" s="33" t="str">
        <f aca="false">IF($A67="","",IF($F67=0,"Not Started",IF($BJ67="Completed",Settings!$U$45,IF($BF67="Completed",Settings!$U$44,IF($BB67="Completed",Settings!$U$43,IF($AX67="Completed",Settings!$U$42,IF($AT67="Completed",Settings!$U$41,IF($AP67="Completed",Settings!$U$40,IF($AL67="Completed",Settings!$U$39,IF($AH67="Completed",Settings!$U$38,IF($AD67="Completed",Settings!$U$37,IF($Z67="Completed",Settings!$U$36,IF($V67="Completed",Settings!$U$35,IF($R67="Completed",Settings!$U$34,IF($N67="Completed",Settings!$U$33,IF($J67="Completed",Settings!$U$32,""))))))))))))))))</f>
        <v/>
      </c>
      <c r="F67" s="30" t="str">
        <f aca="false">IF($A67="","",COUNTIF($J67:$BM67,"Completed"))</f>
        <v/>
      </c>
      <c r="G67" s="35" t="str">
        <f aca="false">IF($A67="","",MIN($F67/13,1))</f>
        <v/>
      </c>
      <c r="H67" s="31" t="str">
        <f aca="false">IF($A67="","",IF($BJ67="Completed","Case Completed",IF($AX67="Completed","Visa Rejected",IF($BF67="Completed","Departed to Europe",IF($F67=0,"Not Started","In Progress")))))</f>
        <v/>
      </c>
      <c r="I67" s="30" t="str">
        <f aca="true">IF($K67="","",IF($BK67&lt;&gt;"",$BK67-$K67,IF($AY67&lt;&gt;"",$AY67-$K67,TODAY()-$K67)))</f>
        <v/>
      </c>
      <c r="J67" s="27"/>
      <c r="K67" s="29"/>
      <c r="L67" s="28"/>
      <c r="M67" s="32"/>
      <c r="N67" s="27"/>
      <c r="O67" s="29"/>
      <c r="P67" s="28"/>
      <c r="Q67" s="32"/>
      <c r="R67" s="27"/>
      <c r="S67" s="29"/>
      <c r="T67" s="28"/>
      <c r="U67" s="32"/>
      <c r="V67" s="27"/>
      <c r="W67" s="29"/>
      <c r="X67" s="28"/>
      <c r="Y67" s="32"/>
      <c r="Z67" s="27"/>
      <c r="AA67" s="29"/>
      <c r="AB67" s="28"/>
      <c r="AC67" s="32"/>
      <c r="AD67" s="27"/>
      <c r="AE67" s="29"/>
      <c r="AF67" s="28"/>
      <c r="AG67" s="32"/>
      <c r="AH67" s="27"/>
      <c r="AI67" s="29"/>
      <c r="AJ67" s="28"/>
      <c r="AK67" s="32"/>
      <c r="AL67" s="27"/>
      <c r="AM67" s="29"/>
      <c r="AN67" s="28"/>
      <c r="AO67" s="32"/>
      <c r="AP67" s="27"/>
      <c r="AQ67" s="29"/>
      <c r="AR67" s="28"/>
      <c r="AS67" s="32"/>
      <c r="AT67" s="27"/>
      <c r="AU67" s="29"/>
      <c r="AV67" s="28"/>
      <c r="AW67" s="32"/>
      <c r="AX67" s="27"/>
      <c r="AY67" s="29"/>
      <c r="AZ67" s="28"/>
      <c r="BA67" s="32"/>
      <c r="BB67" s="27"/>
      <c r="BC67" s="29"/>
      <c r="BD67" s="28"/>
      <c r="BE67" s="32"/>
      <c r="BF67" s="27"/>
      <c r="BG67" s="29"/>
      <c r="BH67" s="28"/>
      <c r="BI67" s="32"/>
      <c r="BJ67" s="27"/>
      <c r="BK67" s="29"/>
      <c r="BL67" s="28"/>
      <c r="BM67" s="32"/>
    </row>
    <row r="68" customFormat="false" ht="15.75" hidden="false" customHeight="true" outlineLevel="0" collapsed="false">
      <c r="A68" s="27"/>
      <c r="B68" s="39" t="str">
        <f aca="false">IFERROR(INDEX(Customers!$C$4:$C$1003,MATCH($A68,Customers!$A$4:$A$1003,0)),"")</f>
        <v/>
      </c>
      <c r="C68" s="31" t="str">
        <f aca="false">IFERROR(INDEX(Customers!$F$4:$F$1003,MATCH($A68,Customers!$A$4:$A$1003,0)),"")</f>
        <v/>
      </c>
      <c r="D68" s="33" t="str">
        <f aca="false">IFERROR(INDEX(Customers!$K$4:$K$1003,MATCH($A68,Customers!$A$4:$A$1003,0)),"")</f>
        <v/>
      </c>
      <c r="E68" s="33" t="str">
        <f aca="false">IF($A68="","",IF($F68=0,"Not Started",IF($BJ68="Completed",Settings!$U$45,IF($BF68="Completed",Settings!$U$44,IF($BB68="Completed",Settings!$U$43,IF($AX68="Completed",Settings!$U$42,IF($AT68="Completed",Settings!$U$41,IF($AP68="Completed",Settings!$U$40,IF($AL68="Completed",Settings!$U$39,IF($AH68="Completed",Settings!$U$38,IF($AD68="Completed",Settings!$U$37,IF($Z68="Completed",Settings!$U$36,IF($V68="Completed",Settings!$U$35,IF($R68="Completed",Settings!$U$34,IF($N68="Completed",Settings!$U$33,IF($J68="Completed",Settings!$U$32,""))))))))))))))))</f>
        <v/>
      </c>
      <c r="F68" s="30" t="str">
        <f aca="false">IF($A68="","",COUNTIF($J68:$BM68,"Completed"))</f>
        <v/>
      </c>
      <c r="G68" s="35" t="str">
        <f aca="false">IF($A68="","",MIN($F68/13,1))</f>
        <v/>
      </c>
      <c r="H68" s="31" t="str">
        <f aca="false">IF($A68="","",IF($BJ68="Completed","Case Completed",IF($AX68="Completed","Visa Rejected",IF($BF68="Completed","Departed to Europe",IF($F68=0,"Not Started","In Progress")))))</f>
        <v/>
      </c>
      <c r="I68" s="30" t="str">
        <f aca="true">IF($K68="","",IF($BK68&lt;&gt;"",$BK68-$K68,IF($AY68&lt;&gt;"",$AY68-$K68,TODAY()-$K68)))</f>
        <v/>
      </c>
      <c r="J68" s="27"/>
      <c r="K68" s="29"/>
      <c r="L68" s="28"/>
      <c r="M68" s="32"/>
      <c r="N68" s="27"/>
      <c r="O68" s="29"/>
      <c r="P68" s="28"/>
      <c r="Q68" s="32"/>
      <c r="R68" s="27"/>
      <c r="S68" s="29"/>
      <c r="T68" s="28"/>
      <c r="U68" s="32"/>
      <c r="V68" s="27"/>
      <c r="W68" s="29"/>
      <c r="X68" s="28"/>
      <c r="Y68" s="32"/>
      <c r="Z68" s="27"/>
      <c r="AA68" s="29"/>
      <c r="AB68" s="28"/>
      <c r="AC68" s="32"/>
      <c r="AD68" s="27"/>
      <c r="AE68" s="29"/>
      <c r="AF68" s="28"/>
      <c r="AG68" s="32"/>
      <c r="AH68" s="27"/>
      <c r="AI68" s="29"/>
      <c r="AJ68" s="28"/>
      <c r="AK68" s="32"/>
      <c r="AL68" s="27"/>
      <c r="AM68" s="29"/>
      <c r="AN68" s="28"/>
      <c r="AO68" s="32"/>
      <c r="AP68" s="27"/>
      <c r="AQ68" s="29"/>
      <c r="AR68" s="28"/>
      <c r="AS68" s="32"/>
      <c r="AT68" s="27"/>
      <c r="AU68" s="29"/>
      <c r="AV68" s="28"/>
      <c r="AW68" s="32"/>
      <c r="AX68" s="27"/>
      <c r="AY68" s="29"/>
      <c r="AZ68" s="28"/>
      <c r="BA68" s="32"/>
      <c r="BB68" s="27"/>
      <c r="BC68" s="29"/>
      <c r="BD68" s="28"/>
      <c r="BE68" s="32"/>
      <c r="BF68" s="27"/>
      <c r="BG68" s="29"/>
      <c r="BH68" s="28"/>
      <c r="BI68" s="32"/>
      <c r="BJ68" s="27"/>
      <c r="BK68" s="29"/>
      <c r="BL68" s="28"/>
      <c r="BM68" s="32"/>
    </row>
    <row r="69" customFormat="false" ht="15.75" hidden="false" customHeight="true" outlineLevel="0" collapsed="false">
      <c r="A69" s="27"/>
      <c r="B69" s="39" t="str">
        <f aca="false">IFERROR(INDEX(Customers!$C$4:$C$1003,MATCH($A69,Customers!$A$4:$A$1003,0)),"")</f>
        <v/>
      </c>
      <c r="C69" s="31" t="str">
        <f aca="false">IFERROR(INDEX(Customers!$F$4:$F$1003,MATCH($A69,Customers!$A$4:$A$1003,0)),"")</f>
        <v/>
      </c>
      <c r="D69" s="33" t="str">
        <f aca="false">IFERROR(INDEX(Customers!$K$4:$K$1003,MATCH($A69,Customers!$A$4:$A$1003,0)),"")</f>
        <v/>
      </c>
      <c r="E69" s="33" t="str">
        <f aca="false">IF($A69="","",IF($F69=0,"Not Started",IF($BJ69="Completed",Settings!$U$45,IF($BF69="Completed",Settings!$U$44,IF($BB69="Completed",Settings!$U$43,IF($AX69="Completed",Settings!$U$42,IF($AT69="Completed",Settings!$U$41,IF($AP69="Completed",Settings!$U$40,IF($AL69="Completed",Settings!$U$39,IF($AH69="Completed",Settings!$U$38,IF($AD69="Completed",Settings!$U$37,IF($Z69="Completed",Settings!$U$36,IF($V69="Completed",Settings!$U$35,IF($R69="Completed",Settings!$U$34,IF($N69="Completed",Settings!$U$33,IF($J69="Completed",Settings!$U$32,""))))))))))))))))</f>
        <v/>
      </c>
      <c r="F69" s="30" t="str">
        <f aca="false">IF($A69="","",COUNTIF($J69:$BM69,"Completed"))</f>
        <v/>
      </c>
      <c r="G69" s="35" t="str">
        <f aca="false">IF($A69="","",MIN($F69/13,1))</f>
        <v/>
      </c>
      <c r="H69" s="31" t="str">
        <f aca="false">IF($A69="","",IF($BJ69="Completed","Case Completed",IF($AX69="Completed","Visa Rejected",IF($BF69="Completed","Departed to Europe",IF($F69=0,"Not Started","In Progress")))))</f>
        <v/>
      </c>
      <c r="I69" s="30" t="str">
        <f aca="true">IF($K69="","",IF($BK69&lt;&gt;"",$BK69-$K69,IF($AY69&lt;&gt;"",$AY69-$K69,TODAY()-$K69)))</f>
        <v/>
      </c>
      <c r="J69" s="27"/>
      <c r="K69" s="29"/>
      <c r="L69" s="28"/>
      <c r="M69" s="32"/>
      <c r="N69" s="27"/>
      <c r="O69" s="29"/>
      <c r="P69" s="28"/>
      <c r="Q69" s="32"/>
      <c r="R69" s="27"/>
      <c r="S69" s="29"/>
      <c r="T69" s="28"/>
      <c r="U69" s="32"/>
      <c r="V69" s="27"/>
      <c r="W69" s="29"/>
      <c r="X69" s="28"/>
      <c r="Y69" s="32"/>
      <c r="Z69" s="27"/>
      <c r="AA69" s="29"/>
      <c r="AB69" s="28"/>
      <c r="AC69" s="32"/>
      <c r="AD69" s="27"/>
      <c r="AE69" s="29"/>
      <c r="AF69" s="28"/>
      <c r="AG69" s="32"/>
      <c r="AH69" s="27"/>
      <c r="AI69" s="29"/>
      <c r="AJ69" s="28"/>
      <c r="AK69" s="32"/>
      <c r="AL69" s="27"/>
      <c r="AM69" s="29"/>
      <c r="AN69" s="28"/>
      <c r="AO69" s="32"/>
      <c r="AP69" s="27"/>
      <c r="AQ69" s="29"/>
      <c r="AR69" s="28"/>
      <c r="AS69" s="32"/>
      <c r="AT69" s="27"/>
      <c r="AU69" s="29"/>
      <c r="AV69" s="28"/>
      <c r="AW69" s="32"/>
      <c r="AX69" s="27"/>
      <c r="AY69" s="29"/>
      <c r="AZ69" s="28"/>
      <c r="BA69" s="32"/>
      <c r="BB69" s="27"/>
      <c r="BC69" s="29"/>
      <c r="BD69" s="28"/>
      <c r="BE69" s="32"/>
      <c r="BF69" s="27"/>
      <c r="BG69" s="29"/>
      <c r="BH69" s="28"/>
      <c r="BI69" s="32"/>
      <c r="BJ69" s="27"/>
      <c r="BK69" s="29"/>
      <c r="BL69" s="28"/>
      <c r="BM69" s="32"/>
    </row>
    <row r="70" customFormat="false" ht="15.75" hidden="false" customHeight="true" outlineLevel="0" collapsed="false">
      <c r="A70" s="27"/>
      <c r="B70" s="39" t="str">
        <f aca="false">IFERROR(INDEX(Customers!$C$4:$C$1003,MATCH($A70,Customers!$A$4:$A$1003,0)),"")</f>
        <v/>
      </c>
      <c r="C70" s="31" t="str">
        <f aca="false">IFERROR(INDEX(Customers!$F$4:$F$1003,MATCH($A70,Customers!$A$4:$A$1003,0)),"")</f>
        <v/>
      </c>
      <c r="D70" s="33" t="str">
        <f aca="false">IFERROR(INDEX(Customers!$K$4:$K$1003,MATCH($A70,Customers!$A$4:$A$1003,0)),"")</f>
        <v/>
      </c>
      <c r="E70" s="33" t="str">
        <f aca="false">IF($A70="","",IF($F70=0,"Not Started",IF($BJ70="Completed",Settings!$U$45,IF($BF70="Completed",Settings!$U$44,IF($BB70="Completed",Settings!$U$43,IF($AX70="Completed",Settings!$U$42,IF($AT70="Completed",Settings!$U$41,IF($AP70="Completed",Settings!$U$40,IF($AL70="Completed",Settings!$U$39,IF($AH70="Completed",Settings!$U$38,IF($AD70="Completed",Settings!$U$37,IF($Z70="Completed",Settings!$U$36,IF($V70="Completed",Settings!$U$35,IF($R70="Completed",Settings!$U$34,IF($N70="Completed",Settings!$U$33,IF($J70="Completed",Settings!$U$32,""))))))))))))))))</f>
        <v/>
      </c>
      <c r="F70" s="30" t="str">
        <f aca="false">IF($A70="","",COUNTIF($J70:$BM70,"Completed"))</f>
        <v/>
      </c>
      <c r="G70" s="35" t="str">
        <f aca="false">IF($A70="","",MIN($F70/13,1))</f>
        <v/>
      </c>
      <c r="H70" s="31" t="str">
        <f aca="false">IF($A70="","",IF($BJ70="Completed","Case Completed",IF($AX70="Completed","Visa Rejected",IF($BF70="Completed","Departed to Europe",IF($F70=0,"Not Started","In Progress")))))</f>
        <v/>
      </c>
      <c r="I70" s="30" t="str">
        <f aca="true">IF($K70="","",IF($BK70&lt;&gt;"",$BK70-$K70,IF($AY70&lt;&gt;"",$AY70-$K70,TODAY()-$K70)))</f>
        <v/>
      </c>
      <c r="J70" s="27"/>
      <c r="K70" s="29"/>
      <c r="L70" s="28"/>
      <c r="M70" s="32"/>
      <c r="N70" s="27"/>
      <c r="O70" s="29"/>
      <c r="P70" s="28"/>
      <c r="Q70" s="32"/>
      <c r="R70" s="27"/>
      <c r="S70" s="29"/>
      <c r="T70" s="28"/>
      <c r="U70" s="32"/>
      <c r="V70" s="27"/>
      <c r="W70" s="29"/>
      <c r="X70" s="28"/>
      <c r="Y70" s="32"/>
      <c r="Z70" s="27"/>
      <c r="AA70" s="29"/>
      <c r="AB70" s="28"/>
      <c r="AC70" s="32"/>
      <c r="AD70" s="27"/>
      <c r="AE70" s="29"/>
      <c r="AF70" s="28"/>
      <c r="AG70" s="32"/>
      <c r="AH70" s="27"/>
      <c r="AI70" s="29"/>
      <c r="AJ70" s="28"/>
      <c r="AK70" s="32"/>
      <c r="AL70" s="27"/>
      <c r="AM70" s="29"/>
      <c r="AN70" s="28"/>
      <c r="AO70" s="32"/>
      <c r="AP70" s="27"/>
      <c r="AQ70" s="29"/>
      <c r="AR70" s="28"/>
      <c r="AS70" s="32"/>
      <c r="AT70" s="27"/>
      <c r="AU70" s="29"/>
      <c r="AV70" s="28"/>
      <c r="AW70" s="32"/>
      <c r="AX70" s="27"/>
      <c r="AY70" s="29"/>
      <c r="AZ70" s="28"/>
      <c r="BA70" s="32"/>
      <c r="BB70" s="27"/>
      <c r="BC70" s="29"/>
      <c r="BD70" s="28"/>
      <c r="BE70" s="32"/>
      <c r="BF70" s="27"/>
      <c r="BG70" s="29"/>
      <c r="BH70" s="28"/>
      <c r="BI70" s="32"/>
      <c r="BJ70" s="27"/>
      <c r="BK70" s="29"/>
      <c r="BL70" s="28"/>
      <c r="BM70" s="32"/>
    </row>
    <row r="71" customFormat="false" ht="15.75" hidden="false" customHeight="true" outlineLevel="0" collapsed="false">
      <c r="A71" s="27"/>
      <c r="B71" s="39" t="str">
        <f aca="false">IFERROR(INDEX(Customers!$C$4:$C$1003,MATCH($A71,Customers!$A$4:$A$1003,0)),"")</f>
        <v/>
      </c>
      <c r="C71" s="31" t="str">
        <f aca="false">IFERROR(INDEX(Customers!$F$4:$F$1003,MATCH($A71,Customers!$A$4:$A$1003,0)),"")</f>
        <v/>
      </c>
      <c r="D71" s="33" t="str">
        <f aca="false">IFERROR(INDEX(Customers!$K$4:$K$1003,MATCH($A71,Customers!$A$4:$A$1003,0)),"")</f>
        <v/>
      </c>
      <c r="E71" s="33" t="str">
        <f aca="false">IF($A71="","",IF($F71=0,"Not Started",IF($BJ71="Completed",Settings!$U$45,IF($BF71="Completed",Settings!$U$44,IF($BB71="Completed",Settings!$U$43,IF($AX71="Completed",Settings!$U$42,IF($AT71="Completed",Settings!$U$41,IF($AP71="Completed",Settings!$U$40,IF($AL71="Completed",Settings!$U$39,IF($AH71="Completed",Settings!$U$38,IF($AD71="Completed",Settings!$U$37,IF($Z71="Completed",Settings!$U$36,IF($V71="Completed",Settings!$U$35,IF($R71="Completed",Settings!$U$34,IF($N71="Completed",Settings!$U$33,IF($J71="Completed",Settings!$U$32,""))))))))))))))))</f>
        <v/>
      </c>
      <c r="F71" s="30" t="str">
        <f aca="false">IF($A71="","",COUNTIF($J71:$BM71,"Completed"))</f>
        <v/>
      </c>
      <c r="G71" s="35" t="str">
        <f aca="false">IF($A71="","",MIN($F71/13,1))</f>
        <v/>
      </c>
      <c r="H71" s="31" t="str">
        <f aca="false">IF($A71="","",IF($BJ71="Completed","Case Completed",IF($AX71="Completed","Visa Rejected",IF($BF71="Completed","Departed to Europe",IF($F71=0,"Not Started","In Progress")))))</f>
        <v/>
      </c>
      <c r="I71" s="30" t="str">
        <f aca="true">IF($K71="","",IF($BK71&lt;&gt;"",$BK71-$K71,IF($AY71&lt;&gt;"",$AY71-$K71,TODAY()-$K71)))</f>
        <v/>
      </c>
      <c r="J71" s="27"/>
      <c r="K71" s="29"/>
      <c r="L71" s="28"/>
      <c r="M71" s="32"/>
      <c r="N71" s="27"/>
      <c r="O71" s="29"/>
      <c r="P71" s="28"/>
      <c r="Q71" s="32"/>
      <c r="R71" s="27"/>
      <c r="S71" s="29"/>
      <c r="T71" s="28"/>
      <c r="U71" s="32"/>
      <c r="V71" s="27"/>
      <c r="W71" s="29"/>
      <c r="X71" s="28"/>
      <c r="Y71" s="32"/>
      <c r="Z71" s="27"/>
      <c r="AA71" s="29"/>
      <c r="AB71" s="28"/>
      <c r="AC71" s="32"/>
      <c r="AD71" s="27"/>
      <c r="AE71" s="29"/>
      <c r="AF71" s="28"/>
      <c r="AG71" s="32"/>
      <c r="AH71" s="27"/>
      <c r="AI71" s="29"/>
      <c r="AJ71" s="28"/>
      <c r="AK71" s="32"/>
      <c r="AL71" s="27"/>
      <c r="AM71" s="29"/>
      <c r="AN71" s="28"/>
      <c r="AO71" s="32"/>
      <c r="AP71" s="27"/>
      <c r="AQ71" s="29"/>
      <c r="AR71" s="28"/>
      <c r="AS71" s="32"/>
      <c r="AT71" s="27"/>
      <c r="AU71" s="29"/>
      <c r="AV71" s="28"/>
      <c r="AW71" s="32"/>
      <c r="AX71" s="27"/>
      <c r="AY71" s="29"/>
      <c r="AZ71" s="28"/>
      <c r="BA71" s="32"/>
      <c r="BB71" s="27"/>
      <c r="BC71" s="29"/>
      <c r="BD71" s="28"/>
      <c r="BE71" s="32"/>
      <c r="BF71" s="27"/>
      <c r="BG71" s="29"/>
      <c r="BH71" s="28"/>
      <c r="BI71" s="32"/>
      <c r="BJ71" s="27"/>
      <c r="BK71" s="29"/>
      <c r="BL71" s="28"/>
      <c r="BM71" s="32"/>
    </row>
    <row r="72" customFormat="false" ht="15.75" hidden="false" customHeight="true" outlineLevel="0" collapsed="false">
      <c r="A72" s="27"/>
      <c r="B72" s="39" t="str">
        <f aca="false">IFERROR(INDEX(Customers!$C$4:$C$1003,MATCH($A72,Customers!$A$4:$A$1003,0)),"")</f>
        <v/>
      </c>
      <c r="C72" s="31" t="str">
        <f aca="false">IFERROR(INDEX(Customers!$F$4:$F$1003,MATCH($A72,Customers!$A$4:$A$1003,0)),"")</f>
        <v/>
      </c>
      <c r="D72" s="33" t="str">
        <f aca="false">IFERROR(INDEX(Customers!$K$4:$K$1003,MATCH($A72,Customers!$A$4:$A$1003,0)),"")</f>
        <v/>
      </c>
      <c r="E72" s="33" t="str">
        <f aca="false">IF($A72="","",IF($F72=0,"Not Started",IF($BJ72="Completed",Settings!$U$45,IF($BF72="Completed",Settings!$U$44,IF($BB72="Completed",Settings!$U$43,IF($AX72="Completed",Settings!$U$42,IF($AT72="Completed",Settings!$U$41,IF($AP72="Completed",Settings!$U$40,IF($AL72="Completed",Settings!$U$39,IF($AH72="Completed",Settings!$U$38,IF($AD72="Completed",Settings!$U$37,IF($Z72="Completed",Settings!$U$36,IF($V72="Completed",Settings!$U$35,IF($R72="Completed",Settings!$U$34,IF($N72="Completed",Settings!$U$33,IF($J72="Completed",Settings!$U$32,""))))))))))))))))</f>
        <v/>
      </c>
      <c r="F72" s="30" t="str">
        <f aca="false">IF($A72="","",COUNTIF($J72:$BM72,"Completed"))</f>
        <v/>
      </c>
      <c r="G72" s="35" t="str">
        <f aca="false">IF($A72="","",MIN($F72/13,1))</f>
        <v/>
      </c>
      <c r="H72" s="31" t="str">
        <f aca="false">IF($A72="","",IF($BJ72="Completed","Case Completed",IF($AX72="Completed","Visa Rejected",IF($BF72="Completed","Departed to Europe",IF($F72=0,"Not Started","In Progress")))))</f>
        <v/>
      </c>
      <c r="I72" s="30" t="str">
        <f aca="true">IF($K72="","",IF($BK72&lt;&gt;"",$BK72-$K72,IF($AY72&lt;&gt;"",$AY72-$K72,TODAY()-$K72)))</f>
        <v/>
      </c>
      <c r="J72" s="27"/>
      <c r="K72" s="29"/>
      <c r="L72" s="28"/>
      <c r="M72" s="32"/>
      <c r="N72" s="27"/>
      <c r="O72" s="29"/>
      <c r="P72" s="28"/>
      <c r="Q72" s="32"/>
      <c r="R72" s="27"/>
      <c r="S72" s="29"/>
      <c r="T72" s="28"/>
      <c r="U72" s="32"/>
      <c r="V72" s="27"/>
      <c r="W72" s="29"/>
      <c r="X72" s="28"/>
      <c r="Y72" s="32"/>
      <c r="Z72" s="27"/>
      <c r="AA72" s="29"/>
      <c r="AB72" s="28"/>
      <c r="AC72" s="32"/>
      <c r="AD72" s="27"/>
      <c r="AE72" s="29"/>
      <c r="AF72" s="28"/>
      <c r="AG72" s="32"/>
      <c r="AH72" s="27"/>
      <c r="AI72" s="29"/>
      <c r="AJ72" s="28"/>
      <c r="AK72" s="32"/>
      <c r="AL72" s="27"/>
      <c r="AM72" s="29"/>
      <c r="AN72" s="28"/>
      <c r="AO72" s="32"/>
      <c r="AP72" s="27"/>
      <c r="AQ72" s="29"/>
      <c r="AR72" s="28"/>
      <c r="AS72" s="32"/>
      <c r="AT72" s="27"/>
      <c r="AU72" s="29"/>
      <c r="AV72" s="28"/>
      <c r="AW72" s="32"/>
      <c r="AX72" s="27"/>
      <c r="AY72" s="29"/>
      <c r="AZ72" s="28"/>
      <c r="BA72" s="32"/>
      <c r="BB72" s="27"/>
      <c r="BC72" s="29"/>
      <c r="BD72" s="28"/>
      <c r="BE72" s="32"/>
      <c r="BF72" s="27"/>
      <c r="BG72" s="29"/>
      <c r="BH72" s="28"/>
      <c r="BI72" s="32"/>
      <c r="BJ72" s="27"/>
      <c r="BK72" s="29"/>
      <c r="BL72" s="28"/>
      <c r="BM72" s="32"/>
    </row>
    <row r="73" customFormat="false" ht="15.75" hidden="false" customHeight="true" outlineLevel="0" collapsed="false">
      <c r="A73" s="27"/>
      <c r="B73" s="39" t="str">
        <f aca="false">IFERROR(INDEX(Customers!$C$4:$C$1003,MATCH($A73,Customers!$A$4:$A$1003,0)),"")</f>
        <v/>
      </c>
      <c r="C73" s="31" t="str">
        <f aca="false">IFERROR(INDEX(Customers!$F$4:$F$1003,MATCH($A73,Customers!$A$4:$A$1003,0)),"")</f>
        <v/>
      </c>
      <c r="D73" s="33" t="str">
        <f aca="false">IFERROR(INDEX(Customers!$K$4:$K$1003,MATCH($A73,Customers!$A$4:$A$1003,0)),"")</f>
        <v/>
      </c>
      <c r="E73" s="33" t="str">
        <f aca="false">IF($A73="","",IF($F73=0,"Not Started",IF($BJ73="Completed",Settings!$U$45,IF($BF73="Completed",Settings!$U$44,IF($BB73="Completed",Settings!$U$43,IF($AX73="Completed",Settings!$U$42,IF($AT73="Completed",Settings!$U$41,IF($AP73="Completed",Settings!$U$40,IF($AL73="Completed",Settings!$U$39,IF($AH73="Completed",Settings!$U$38,IF($AD73="Completed",Settings!$U$37,IF($Z73="Completed",Settings!$U$36,IF($V73="Completed",Settings!$U$35,IF($R73="Completed",Settings!$U$34,IF($N73="Completed",Settings!$U$33,IF($J73="Completed",Settings!$U$32,""))))))))))))))))</f>
        <v/>
      </c>
      <c r="F73" s="30" t="str">
        <f aca="false">IF($A73="","",COUNTIF($J73:$BM73,"Completed"))</f>
        <v/>
      </c>
      <c r="G73" s="35" t="str">
        <f aca="false">IF($A73="","",MIN($F73/13,1))</f>
        <v/>
      </c>
      <c r="H73" s="31" t="str">
        <f aca="false">IF($A73="","",IF($BJ73="Completed","Case Completed",IF($AX73="Completed","Visa Rejected",IF($BF73="Completed","Departed to Europe",IF($F73=0,"Not Started","In Progress")))))</f>
        <v/>
      </c>
      <c r="I73" s="30" t="str">
        <f aca="true">IF($K73="","",IF($BK73&lt;&gt;"",$BK73-$K73,IF($AY73&lt;&gt;"",$AY73-$K73,TODAY()-$K73)))</f>
        <v/>
      </c>
      <c r="J73" s="27"/>
      <c r="K73" s="29"/>
      <c r="L73" s="28"/>
      <c r="M73" s="32"/>
      <c r="N73" s="27"/>
      <c r="O73" s="29"/>
      <c r="P73" s="28"/>
      <c r="Q73" s="32"/>
      <c r="R73" s="27"/>
      <c r="S73" s="29"/>
      <c r="T73" s="28"/>
      <c r="U73" s="32"/>
      <c r="V73" s="27"/>
      <c r="W73" s="29"/>
      <c r="X73" s="28"/>
      <c r="Y73" s="32"/>
      <c r="Z73" s="27"/>
      <c r="AA73" s="29"/>
      <c r="AB73" s="28"/>
      <c r="AC73" s="32"/>
      <c r="AD73" s="27"/>
      <c r="AE73" s="29"/>
      <c r="AF73" s="28"/>
      <c r="AG73" s="32"/>
      <c r="AH73" s="27"/>
      <c r="AI73" s="29"/>
      <c r="AJ73" s="28"/>
      <c r="AK73" s="32"/>
      <c r="AL73" s="27"/>
      <c r="AM73" s="29"/>
      <c r="AN73" s="28"/>
      <c r="AO73" s="32"/>
      <c r="AP73" s="27"/>
      <c r="AQ73" s="29"/>
      <c r="AR73" s="28"/>
      <c r="AS73" s="32"/>
      <c r="AT73" s="27"/>
      <c r="AU73" s="29"/>
      <c r="AV73" s="28"/>
      <c r="AW73" s="32"/>
      <c r="AX73" s="27"/>
      <c r="AY73" s="29"/>
      <c r="AZ73" s="28"/>
      <c r="BA73" s="32"/>
      <c r="BB73" s="27"/>
      <c r="BC73" s="29"/>
      <c r="BD73" s="28"/>
      <c r="BE73" s="32"/>
      <c r="BF73" s="27"/>
      <c r="BG73" s="29"/>
      <c r="BH73" s="28"/>
      <c r="BI73" s="32"/>
      <c r="BJ73" s="27"/>
      <c r="BK73" s="29"/>
      <c r="BL73" s="28"/>
      <c r="BM73" s="32"/>
    </row>
    <row r="74" customFormat="false" ht="15.75" hidden="false" customHeight="true" outlineLevel="0" collapsed="false">
      <c r="A74" s="27"/>
      <c r="B74" s="39" t="str">
        <f aca="false">IFERROR(INDEX(Customers!$C$4:$C$1003,MATCH($A74,Customers!$A$4:$A$1003,0)),"")</f>
        <v/>
      </c>
      <c r="C74" s="31" t="str">
        <f aca="false">IFERROR(INDEX(Customers!$F$4:$F$1003,MATCH($A74,Customers!$A$4:$A$1003,0)),"")</f>
        <v/>
      </c>
      <c r="D74" s="33" t="str">
        <f aca="false">IFERROR(INDEX(Customers!$K$4:$K$1003,MATCH($A74,Customers!$A$4:$A$1003,0)),"")</f>
        <v/>
      </c>
      <c r="E74" s="33" t="str">
        <f aca="false">IF($A74="","",IF($F74=0,"Not Started",IF($BJ74="Completed",Settings!$U$45,IF($BF74="Completed",Settings!$U$44,IF($BB74="Completed",Settings!$U$43,IF($AX74="Completed",Settings!$U$42,IF($AT74="Completed",Settings!$U$41,IF($AP74="Completed",Settings!$U$40,IF($AL74="Completed",Settings!$U$39,IF($AH74="Completed",Settings!$U$38,IF($AD74="Completed",Settings!$U$37,IF($Z74="Completed",Settings!$U$36,IF($V74="Completed",Settings!$U$35,IF($R74="Completed",Settings!$U$34,IF($N74="Completed",Settings!$U$33,IF($J74="Completed",Settings!$U$32,""))))))))))))))))</f>
        <v/>
      </c>
      <c r="F74" s="30" t="str">
        <f aca="false">IF($A74="","",COUNTIF($J74:$BM74,"Completed"))</f>
        <v/>
      </c>
      <c r="G74" s="35" t="str">
        <f aca="false">IF($A74="","",MIN($F74/13,1))</f>
        <v/>
      </c>
      <c r="H74" s="31" t="str">
        <f aca="false">IF($A74="","",IF($BJ74="Completed","Case Completed",IF($AX74="Completed","Visa Rejected",IF($BF74="Completed","Departed to Europe",IF($F74=0,"Not Started","In Progress")))))</f>
        <v/>
      </c>
      <c r="I74" s="30" t="str">
        <f aca="true">IF($K74="","",IF($BK74&lt;&gt;"",$BK74-$K74,IF($AY74&lt;&gt;"",$AY74-$K74,TODAY()-$K74)))</f>
        <v/>
      </c>
      <c r="J74" s="27"/>
      <c r="K74" s="29"/>
      <c r="L74" s="28"/>
      <c r="M74" s="32"/>
      <c r="N74" s="27"/>
      <c r="O74" s="29"/>
      <c r="P74" s="28"/>
      <c r="Q74" s="32"/>
      <c r="R74" s="27"/>
      <c r="S74" s="29"/>
      <c r="T74" s="28"/>
      <c r="U74" s="32"/>
      <c r="V74" s="27"/>
      <c r="W74" s="29"/>
      <c r="X74" s="28"/>
      <c r="Y74" s="32"/>
      <c r="Z74" s="27"/>
      <c r="AA74" s="29"/>
      <c r="AB74" s="28"/>
      <c r="AC74" s="32"/>
      <c r="AD74" s="27"/>
      <c r="AE74" s="29"/>
      <c r="AF74" s="28"/>
      <c r="AG74" s="32"/>
      <c r="AH74" s="27"/>
      <c r="AI74" s="29"/>
      <c r="AJ74" s="28"/>
      <c r="AK74" s="32"/>
      <c r="AL74" s="27"/>
      <c r="AM74" s="29"/>
      <c r="AN74" s="28"/>
      <c r="AO74" s="32"/>
      <c r="AP74" s="27"/>
      <c r="AQ74" s="29"/>
      <c r="AR74" s="28"/>
      <c r="AS74" s="32"/>
      <c r="AT74" s="27"/>
      <c r="AU74" s="29"/>
      <c r="AV74" s="28"/>
      <c r="AW74" s="32"/>
      <c r="AX74" s="27"/>
      <c r="AY74" s="29"/>
      <c r="AZ74" s="28"/>
      <c r="BA74" s="32"/>
      <c r="BB74" s="27"/>
      <c r="BC74" s="29"/>
      <c r="BD74" s="28"/>
      <c r="BE74" s="32"/>
      <c r="BF74" s="27"/>
      <c r="BG74" s="29"/>
      <c r="BH74" s="28"/>
      <c r="BI74" s="32"/>
      <c r="BJ74" s="27"/>
      <c r="BK74" s="29"/>
      <c r="BL74" s="28"/>
      <c r="BM74" s="32"/>
    </row>
    <row r="75" customFormat="false" ht="15.75" hidden="false" customHeight="true" outlineLevel="0" collapsed="false">
      <c r="A75" s="27"/>
      <c r="B75" s="39" t="str">
        <f aca="false">IFERROR(INDEX(Customers!$C$4:$C$1003,MATCH($A75,Customers!$A$4:$A$1003,0)),"")</f>
        <v/>
      </c>
      <c r="C75" s="31" t="str">
        <f aca="false">IFERROR(INDEX(Customers!$F$4:$F$1003,MATCH($A75,Customers!$A$4:$A$1003,0)),"")</f>
        <v/>
      </c>
      <c r="D75" s="33" t="str">
        <f aca="false">IFERROR(INDEX(Customers!$K$4:$K$1003,MATCH($A75,Customers!$A$4:$A$1003,0)),"")</f>
        <v/>
      </c>
      <c r="E75" s="33" t="str">
        <f aca="false">IF($A75="","",IF($F75=0,"Not Started",IF($BJ75="Completed",Settings!$U$45,IF($BF75="Completed",Settings!$U$44,IF($BB75="Completed",Settings!$U$43,IF($AX75="Completed",Settings!$U$42,IF($AT75="Completed",Settings!$U$41,IF($AP75="Completed",Settings!$U$40,IF($AL75="Completed",Settings!$U$39,IF($AH75="Completed",Settings!$U$38,IF($AD75="Completed",Settings!$U$37,IF($Z75="Completed",Settings!$U$36,IF($V75="Completed",Settings!$U$35,IF($R75="Completed",Settings!$U$34,IF($N75="Completed",Settings!$U$33,IF($J75="Completed",Settings!$U$32,""))))))))))))))))</f>
        <v/>
      </c>
      <c r="F75" s="30" t="str">
        <f aca="false">IF($A75="","",COUNTIF($J75:$BM75,"Completed"))</f>
        <v/>
      </c>
      <c r="G75" s="35" t="str">
        <f aca="false">IF($A75="","",MIN($F75/13,1))</f>
        <v/>
      </c>
      <c r="H75" s="31" t="str">
        <f aca="false">IF($A75="","",IF($BJ75="Completed","Case Completed",IF($AX75="Completed","Visa Rejected",IF($BF75="Completed","Departed to Europe",IF($F75=0,"Not Started","In Progress")))))</f>
        <v/>
      </c>
      <c r="I75" s="30" t="str">
        <f aca="true">IF($K75="","",IF($BK75&lt;&gt;"",$BK75-$K75,IF($AY75&lt;&gt;"",$AY75-$K75,TODAY()-$K75)))</f>
        <v/>
      </c>
      <c r="J75" s="27"/>
      <c r="K75" s="29"/>
      <c r="L75" s="28"/>
      <c r="M75" s="32"/>
      <c r="N75" s="27"/>
      <c r="O75" s="29"/>
      <c r="P75" s="28"/>
      <c r="Q75" s="32"/>
      <c r="R75" s="27"/>
      <c r="S75" s="29"/>
      <c r="T75" s="28"/>
      <c r="U75" s="32"/>
      <c r="V75" s="27"/>
      <c r="W75" s="29"/>
      <c r="X75" s="28"/>
      <c r="Y75" s="32"/>
      <c r="Z75" s="27"/>
      <c r="AA75" s="29"/>
      <c r="AB75" s="28"/>
      <c r="AC75" s="32"/>
      <c r="AD75" s="27"/>
      <c r="AE75" s="29"/>
      <c r="AF75" s="28"/>
      <c r="AG75" s="32"/>
      <c r="AH75" s="27"/>
      <c r="AI75" s="29"/>
      <c r="AJ75" s="28"/>
      <c r="AK75" s="32"/>
      <c r="AL75" s="27"/>
      <c r="AM75" s="29"/>
      <c r="AN75" s="28"/>
      <c r="AO75" s="32"/>
      <c r="AP75" s="27"/>
      <c r="AQ75" s="29"/>
      <c r="AR75" s="28"/>
      <c r="AS75" s="32"/>
      <c r="AT75" s="27"/>
      <c r="AU75" s="29"/>
      <c r="AV75" s="28"/>
      <c r="AW75" s="32"/>
      <c r="AX75" s="27"/>
      <c r="AY75" s="29"/>
      <c r="AZ75" s="28"/>
      <c r="BA75" s="32"/>
      <c r="BB75" s="27"/>
      <c r="BC75" s="29"/>
      <c r="BD75" s="28"/>
      <c r="BE75" s="32"/>
      <c r="BF75" s="27"/>
      <c r="BG75" s="29"/>
      <c r="BH75" s="28"/>
      <c r="BI75" s="32"/>
      <c r="BJ75" s="27"/>
      <c r="BK75" s="29"/>
      <c r="BL75" s="28"/>
      <c r="BM75" s="32"/>
    </row>
    <row r="76" customFormat="false" ht="15.75" hidden="false" customHeight="true" outlineLevel="0" collapsed="false">
      <c r="A76" s="27"/>
      <c r="B76" s="39" t="str">
        <f aca="false">IFERROR(INDEX(Customers!$C$4:$C$1003,MATCH($A76,Customers!$A$4:$A$1003,0)),"")</f>
        <v/>
      </c>
      <c r="C76" s="31" t="str">
        <f aca="false">IFERROR(INDEX(Customers!$F$4:$F$1003,MATCH($A76,Customers!$A$4:$A$1003,0)),"")</f>
        <v/>
      </c>
      <c r="D76" s="33" t="str">
        <f aca="false">IFERROR(INDEX(Customers!$K$4:$K$1003,MATCH($A76,Customers!$A$4:$A$1003,0)),"")</f>
        <v/>
      </c>
      <c r="E76" s="33" t="str">
        <f aca="false">IF($A76="","",IF($F76=0,"Not Started",IF($BJ76="Completed",Settings!$U$45,IF($BF76="Completed",Settings!$U$44,IF($BB76="Completed",Settings!$U$43,IF($AX76="Completed",Settings!$U$42,IF($AT76="Completed",Settings!$U$41,IF($AP76="Completed",Settings!$U$40,IF($AL76="Completed",Settings!$U$39,IF($AH76="Completed",Settings!$U$38,IF($AD76="Completed",Settings!$U$37,IF($Z76="Completed",Settings!$U$36,IF($V76="Completed",Settings!$U$35,IF($R76="Completed",Settings!$U$34,IF($N76="Completed",Settings!$U$33,IF($J76="Completed",Settings!$U$32,""))))))))))))))))</f>
        <v/>
      </c>
      <c r="F76" s="30" t="str">
        <f aca="false">IF($A76="","",COUNTIF($J76:$BM76,"Completed"))</f>
        <v/>
      </c>
      <c r="G76" s="35" t="str">
        <f aca="false">IF($A76="","",MIN($F76/13,1))</f>
        <v/>
      </c>
      <c r="H76" s="31" t="str">
        <f aca="false">IF($A76="","",IF($BJ76="Completed","Case Completed",IF($AX76="Completed","Visa Rejected",IF($BF76="Completed","Departed to Europe",IF($F76=0,"Not Started","In Progress")))))</f>
        <v/>
      </c>
      <c r="I76" s="30" t="str">
        <f aca="true">IF($K76="","",IF($BK76&lt;&gt;"",$BK76-$K76,IF($AY76&lt;&gt;"",$AY76-$K76,TODAY()-$K76)))</f>
        <v/>
      </c>
      <c r="J76" s="27"/>
      <c r="K76" s="29"/>
      <c r="L76" s="28"/>
      <c r="M76" s="32"/>
      <c r="N76" s="27"/>
      <c r="O76" s="29"/>
      <c r="P76" s="28"/>
      <c r="Q76" s="32"/>
      <c r="R76" s="27"/>
      <c r="S76" s="29"/>
      <c r="T76" s="28"/>
      <c r="U76" s="32"/>
      <c r="V76" s="27"/>
      <c r="W76" s="29"/>
      <c r="X76" s="28"/>
      <c r="Y76" s="32"/>
      <c r="Z76" s="27"/>
      <c r="AA76" s="29"/>
      <c r="AB76" s="28"/>
      <c r="AC76" s="32"/>
      <c r="AD76" s="27"/>
      <c r="AE76" s="29"/>
      <c r="AF76" s="28"/>
      <c r="AG76" s="32"/>
      <c r="AH76" s="27"/>
      <c r="AI76" s="29"/>
      <c r="AJ76" s="28"/>
      <c r="AK76" s="32"/>
      <c r="AL76" s="27"/>
      <c r="AM76" s="29"/>
      <c r="AN76" s="28"/>
      <c r="AO76" s="32"/>
      <c r="AP76" s="27"/>
      <c r="AQ76" s="29"/>
      <c r="AR76" s="28"/>
      <c r="AS76" s="32"/>
      <c r="AT76" s="27"/>
      <c r="AU76" s="29"/>
      <c r="AV76" s="28"/>
      <c r="AW76" s="32"/>
      <c r="AX76" s="27"/>
      <c r="AY76" s="29"/>
      <c r="AZ76" s="28"/>
      <c r="BA76" s="32"/>
      <c r="BB76" s="27"/>
      <c r="BC76" s="29"/>
      <c r="BD76" s="28"/>
      <c r="BE76" s="32"/>
      <c r="BF76" s="27"/>
      <c r="BG76" s="29"/>
      <c r="BH76" s="28"/>
      <c r="BI76" s="32"/>
      <c r="BJ76" s="27"/>
      <c r="BK76" s="29"/>
      <c r="BL76" s="28"/>
      <c r="BM76" s="32"/>
    </row>
    <row r="77" customFormat="false" ht="15.75" hidden="false" customHeight="true" outlineLevel="0" collapsed="false">
      <c r="A77" s="27"/>
      <c r="B77" s="39" t="str">
        <f aca="false">IFERROR(INDEX(Customers!$C$4:$C$1003,MATCH($A77,Customers!$A$4:$A$1003,0)),"")</f>
        <v/>
      </c>
      <c r="C77" s="31" t="str">
        <f aca="false">IFERROR(INDEX(Customers!$F$4:$F$1003,MATCH($A77,Customers!$A$4:$A$1003,0)),"")</f>
        <v/>
      </c>
      <c r="D77" s="33" t="str">
        <f aca="false">IFERROR(INDEX(Customers!$K$4:$K$1003,MATCH($A77,Customers!$A$4:$A$1003,0)),"")</f>
        <v/>
      </c>
      <c r="E77" s="33" t="str">
        <f aca="false">IF($A77="","",IF($F77=0,"Not Started",IF($BJ77="Completed",Settings!$U$45,IF($BF77="Completed",Settings!$U$44,IF($BB77="Completed",Settings!$U$43,IF($AX77="Completed",Settings!$U$42,IF($AT77="Completed",Settings!$U$41,IF($AP77="Completed",Settings!$U$40,IF($AL77="Completed",Settings!$U$39,IF($AH77="Completed",Settings!$U$38,IF($AD77="Completed",Settings!$U$37,IF($Z77="Completed",Settings!$U$36,IF($V77="Completed",Settings!$U$35,IF($R77="Completed",Settings!$U$34,IF($N77="Completed",Settings!$U$33,IF($J77="Completed",Settings!$U$32,""))))))))))))))))</f>
        <v/>
      </c>
      <c r="F77" s="30" t="str">
        <f aca="false">IF($A77="","",COUNTIF($J77:$BM77,"Completed"))</f>
        <v/>
      </c>
      <c r="G77" s="35" t="str">
        <f aca="false">IF($A77="","",MIN($F77/13,1))</f>
        <v/>
      </c>
      <c r="H77" s="31" t="str">
        <f aca="false">IF($A77="","",IF($BJ77="Completed","Case Completed",IF($AX77="Completed","Visa Rejected",IF($BF77="Completed","Departed to Europe",IF($F77=0,"Not Started","In Progress")))))</f>
        <v/>
      </c>
      <c r="I77" s="30" t="str">
        <f aca="true">IF($K77="","",IF($BK77&lt;&gt;"",$BK77-$K77,IF($AY77&lt;&gt;"",$AY77-$K77,TODAY()-$K77)))</f>
        <v/>
      </c>
      <c r="J77" s="27"/>
      <c r="K77" s="29"/>
      <c r="L77" s="28"/>
      <c r="M77" s="32"/>
      <c r="N77" s="27"/>
      <c r="O77" s="29"/>
      <c r="P77" s="28"/>
      <c r="Q77" s="32"/>
      <c r="R77" s="27"/>
      <c r="S77" s="29"/>
      <c r="T77" s="28"/>
      <c r="U77" s="32"/>
      <c r="V77" s="27"/>
      <c r="W77" s="29"/>
      <c r="X77" s="28"/>
      <c r="Y77" s="32"/>
      <c r="Z77" s="27"/>
      <c r="AA77" s="29"/>
      <c r="AB77" s="28"/>
      <c r="AC77" s="32"/>
      <c r="AD77" s="27"/>
      <c r="AE77" s="29"/>
      <c r="AF77" s="28"/>
      <c r="AG77" s="32"/>
      <c r="AH77" s="27"/>
      <c r="AI77" s="29"/>
      <c r="AJ77" s="28"/>
      <c r="AK77" s="32"/>
      <c r="AL77" s="27"/>
      <c r="AM77" s="29"/>
      <c r="AN77" s="28"/>
      <c r="AO77" s="32"/>
      <c r="AP77" s="27"/>
      <c r="AQ77" s="29"/>
      <c r="AR77" s="28"/>
      <c r="AS77" s="32"/>
      <c r="AT77" s="27"/>
      <c r="AU77" s="29"/>
      <c r="AV77" s="28"/>
      <c r="AW77" s="32"/>
      <c r="AX77" s="27"/>
      <c r="AY77" s="29"/>
      <c r="AZ77" s="28"/>
      <c r="BA77" s="32"/>
      <c r="BB77" s="27"/>
      <c r="BC77" s="29"/>
      <c r="BD77" s="28"/>
      <c r="BE77" s="32"/>
      <c r="BF77" s="27"/>
      <c r="BG77" s="29"/>
      <c r="BH77" s="28"/>
      <c r="BI77" s="32"/>
      <c r="BJ77" s="27"/>
      <c r="BK77" s="29"/>
      <c r="BL77" s="28"/>
      <c r="BM77" s="32"/>
    </row>
    <row r="78" customFormat="false" ht="15.75" hidden="false" customHeight="true" outlineLevel="0" collapsed="false">
      <c r="A78" s="27"/>
      <c r="B78" s="39" t="str">
        <f aca="false">IFERROR(INDEX(Customers!$C$4:$C$1003,MATCH($A78,Customers!$A$4:$A$1003,0)),"")</f>
        <v/>
      </c>
      <c r="C78" s="31" t="str">
        <f aca="false">IFERROR(INDEX(Customers!$F$4:$F$1003,MATCH($A78,Customers!$A$4:$A$1003,0)),"")</f>
        <v/>
      </c>
      <c r="D78" s="33" t="str">
        <f aca="false">IFERROR(INDEX(Customers!$K$4:$K$1003,MATCH($A78,Customers!$A$4:$A$1003,0)),"")</f>
        <v/>
      </c>
      <c r="E78" s="33" t="str">
        <f aca="false">IF($A78="","",IF($F78=0,"Not Started",IF($BJ78="Completed",Settings!$U$45,IF($BF78="Completed",Settings!$U$44,IF($BB78="Completed",Settings!$U$43,IF($AX78="Completed",Settings!$U$42,IF($AT78="Completed",Settings!$U$41,IF($AP78="Completed",Settings!$U$40,IF($AL78="Completed",Settings!$U$39,IF($AH78="Completed",Settings!$U$38,IF($AD78="Completed",Settings!$U$37,IF($Z78="Completed",Settings!$U$36,IF($V78="Completed",Settings!$U$35,IF($R78="Completed",Settings!$U$34,IF($N78="Completed",Settings!$U$33,IF($J78="Completed",Settings!$U$32,""))))))))))))))))</f>
        <v/>
      </c>
      <c r="F78" s="30" t="str">
        <f aca="false">IF($A78="","",COUNTIF($J78:$BM78,"Completed"))</f>
        <v/>
      </c>
      <c r="G78" s="35" t="str">
        <f aca="false">IF($A78="","",MIN($F78/13,1))</f>
        <v/>
      </c>
      <c r="H78" s="31" t="str">
        <f aca="false">IF($A78="","",IF($BJ78="Completed","Case Completed",IF($AX78="Completed","Visa Rejected",IF($BF78="Completed","Departed to Europe",IF($F78=0,"Not Started","In Progress")))))</f>
        <v/>
      </c>
      <c r="I78" s="30" t="str">
        <f aca="true">IF($K78="","",IF($BK78&lt;&gt;"",$BK78-$K78,IF($AY78&lt;&gt;"",$AY78-$K78,TODAY()-$K78)))</f>
        <v/>
      </c>
      <c r="J78" s="27"/>
      <c r="K78" s="29"/>
      <c r="L78" s="28"/>
      <c r="M78" s="32"/>
      <c r="N78" s="27"/>
      <c r="O78" s="29"/>
      <c r="P78" s="28"/>
      <c r="Q78" s="32"/>
      <c r="R78" s="27"/>
      <c r="S78" s="29"/>
      <c r="T78" s="28"/>
      <c r="U78" s="32"/>
      <c r="V78" s="27"/>
      <c r="W78" s="29"/>
      <c r="X78" s="28"/>
      <c r="Y78" s="32"/>
      <c r="Z78" s="27"/>
      <c r="AA78" s="29"/>
      <c r="AB78" s="28"/>
      <c r="AC78" s="32"/>
      <c r="AD78" s="27"/>
      <c r="AE78" s="29"/>
      <c r="AF78" s="28"/>
      <c r="AG78" s="32"/>
      <c r="AH78" s="27"/>
      <c r="AI78" s="29"/>
      <c r="AJ78" s="28"/>
      <c r="AK78" s="32"/>
      <c r="AL78" s="27"/>
      <c r="AM78" s="29"/>
      <c r="AN78" s="28"/>
      <c r="AO78" s="32"/>
      <c r="AP78" s="27"/>
      <c r="AQ78" s="29"/>
      <c r="AR78" s="28"/>
      <c r="AS78" s="32"/>
      <c r="AT78" s="27"/>
      <c r="AU78" s="29"/>
      <c r="AV78" s="28"/>
      <c r="AW78" s="32"/>
      <c r="AX78" s="27"/>
      <c r="AY78" s="29"/>
      <c r="AZ78" s="28"/>
      <c r="BA78" s="32"/>
      <c r="BB78" s="27"/>
      <c r="BC78" s="29"/>
      <c r="BD78" s="28"/>
      <c r="BE78" s="32"/>
      <c r="BF78" s="27"/>
      <c r="BG78" s="29"/>
      <c r="BH78" s="28"/>
      <c r="BI78" s="32"/>
      <c r="BJ78" s="27"/>
      <c r="BK78" s="29"/>
      <c r="BL78" s="28"/>
      <c r="BM78" s="32"/>
    </row>
    <row r="79" customFormat="false" ht="15.75" hidden="false" customHeight="true" outlineLevel="0" collapsed="false">
      <c r="A79" s="27"/>
      <c r="B79" s="39" t="str">
        <f aca="false">IFERROR(INDEX(Customers!$C$4:$C$1003,MATCH($A79,Customers!$A$4:$A$1003,0)),"")</f>
        <v/>
      </c>
      <c r="C79" s="31" t="str">
        <f aca="false">IFERROR(INDEX(Customers!$F$4:$F$1003,MATCH($A79,Customers!$A$4:$A$1003,0)),"")</f>
        <v/>
      </c>
      <c r="D79" s="33" t="str">
        <f aca="false">IFERROR(INDEX(Customers!$K$4:$K$1003,MATCH($A79,Customers!$A$4:$A$1003,0)),"")</f>
        <v/>
      </c>
      <c r="E79" s="33" t="str">
        <f aca="false">IF($A79="","",IF($F79=0,"Not Started",IF($BJ79="Completed",Settings!$U$45,IF($BF79="Completed",Settings!$U$44,IF($BB79="Completed",Settings!$U$43,IF($AX79="Completed",Settings!$U$42,IF($AT79="Completed",Settings!$U$41,IF($AP79="Completed",Settings!$U$40,IF($AL79="Completed",Settings!$U$39,IF($AH79="Completed",Settings!$U$38,IF($AD79="Completed",Settings!$U$37,IF($Z79="Completed",Settings!$U$36,IF($V79="Completed",Settings!$U$35,IF($R79="Completed",Settings!$U$34,IF($N79="Completed",Settings!$U$33,IF($J79="Completed",Settings!$U$32,""))))))))))))))))</f>
        <v/>
      </c>
      <c r="F79" s="30" t="str">
        <f aca="false">IF($A79="","",COUNTIF($J79:$BM79,"Completed"))</f>
        <v/>
      </c>
      <c r="G79" s="35" t="str">
        <f aca="false">IF($A79="","",MIN($F79/13,1))</f>
        <v/>
      </c>
      <c r="H79" s="31" t="str">
        <f aca="false">IF($A79="","",IF($BJ79="Completed","Case Completed",IF($AX79="Completed","Visa Rejected",IF($BF79="Completed","Departed to Europe",IF($F79=0,"Not Started","In Progress")))))</f>
        <v/>
      </c>
      <c r="I79" s="30" t="str">
        <f aca="true">IF($K79="","",IF($BK79&lt;&gt;"",$BK79-$K79,IF($AY79&lt;&gt;"",$AY79-$K79,TODAY()-$K79)))</f>
        <v/>
      </c>
      <c r="J79" s="27"/>
      <c r="K79" s="29"/>
      <c r="L79" s="28"/>
      <c r="M79" s="32"/>
      <c r="N79" s="27"/>
      <c r="O79" s="29"/>
      <c r="P79" s="28"/>
      <c r="Q79" s="32"/>
      <c r="R79" s="27"/>
      <c r="S79" s="29"/>
      <c r="T79" s="28"/>
      <c r="U79" s="32"/>
      <c r="V79" s="27"/>
      <c r="W79" s="29"/>
      <c r="X79" s="28"/>
      <c r="Y79" s="32"/>
      <c r="Z79" s="27"/>
      <c r="AA79" s="29"/>
      <c r="AB79" s="28"/>
      <c r="AC79" s="32"/>
      <c r="AD79" s="27"/>
      <c r="AE79" s="29"/>
      <c r="AF79" s="28"/>
      <c r="AG79" s="32"/>
      <c r="AH79" s="27"/>
      <c r="AI79" s="29"/>
      <c r="AJ79" s="28"/>
      <c r="AK79" s="32"/>
      <c r="AL79" s="27"/>
      <c r="AM79" s="29"/>
      <c r="AN79" s="28"/>
      <c r="AO79" s="32"/>
      <c r="AP79" s="27"/>
      <c r="AQ79" s="29"/>
      <c r="AR79" s="28"/>
      <c r="AS79" s="32"/>
      <c r="AT79" s="27"/>
      <c r="AU79" s="29"/>
      <c r="AV79" s="28"/>
      <c r="AW79" s="32"/>
      <c r="AX79" s="27"/>
      <c r="AY79" s="29"/>
      <c r="AZ79" s="28"/>
      <c r="BA79" s="32"/>
      <c r="BB79" s="27"/>
      <c r="BC79" s="29"/>
      <c r="BD79" s="28"/>
      <c r="BE79" s="32"/>
      <c r="BF79" s="27"/>
      <c r="BG79" s="29"/>
      <c r="BH79" s="28"/>
      <c r="BI79" s="32"/>
      <c r="BJ79" s="27"/>
      <c r="BK79" s="29"/>
      <c r="BL79" s="28"/>
      <c r="BM79" s="32"/>
    </row>
    <row r="80" customFormat="false" ht="15.75" hidden="false" customHeight="true" outlineLevel="0" collapsed="false">
      <c r="A80" s="27"/>
      <c r="B80" s="39" t="str">
        <f aca="false">IFERROR(INDEX(Customers!$C$4:$C$1003,MATCH($A80,Customers!$A$4:$A$1003,0)),"")</f>
        <v/>
      </c>
      <c r="C80" s="31" t="str">
        <f aca="false">IFERROR(INDEX(Customers!$F$4:$F$1003,MATCH($A80,Customers!$A$4:$A$1003,0)),"")</f>
        <v/>
      </c>
      <c r="D80" s="33" t="str">
        <f aca="false">IFERROR(INDEX(Customers!$K$4:$K$1003,MATCH($A80,Customers!$A$4:$A$1003,0)),"")</f>
        <v/>
      </c>
      <c r="E80" s="33" t="str">
        <f aca="false">IF($A80="","",IF($F80=0,"Not Started",IF($BJ80="Completed",Settings!$U$45,IF($BF80="Completed",Settings!$U$44,IF($BB80="Completed",Settings!$U$43,IF($AX80="Completed",Settings!$U$42,IF($AT80="Completed",Settings!$U$41,IF($AP80="Completed",Settings!$U$40,IF($AL80="Completed",Settings!$U$39,IF($AH80="Completed",Settings!$U$38,IF($AD80="Completed",Settings!$U$37,IF($Z80="Completed",Settings!$U$36,IF($V80="Completed",Settings!$U$35,IF($R80="Completed",Settings!$U$34,IF($N80="Completed",Settings!$U$33,IF($J80="Completed",Settings!$U$32,""))))))))))))))))</f>
        <v/>
      </c>
      <c r="F80" s="30" t="str">
        <f aca="false">IF($A80="","",COUNTIF($J80:$BM80,"Completed"))</f>
        <v/>
      </c>
      <c r="G80" s="35" t="str">
        <f aca="false">IF($A80="","",MIN($F80/13,1))</f>
        <v/>
      </c>
      <c r="H80" s="31" t="str">
        <f aca="false">IF($A80="","",IF($BJ80="Completed","Case Completed",IF($AX80="Completed","Visa Rejected",IF($BF80="Completed","Departed to Europe",IF($F80=0,"Not Started","In Progress")))))</f>
        <v/>
      </c>
      <c r="I80" s="30" t="str">
        <f aca="true">IF($K80="","",IF($BK80&lt;&gt;"",$BK80-$K80,IF($AY80&lt;&gt;"",$AY80-$K80,TODAY()-$K80)))</f>
        <v/>
      </c>
      <c r="J80" s="27"/>
      <c r="K80" s="29"/>
      <c r="L80" s="28"/>
      <c r="M80" s="32"/>
      <c r="N80" s="27"/>
      <c r="O80" s="29"/>
      <c r="P80" s="28"/>
      <c r="Q80" s="32"/>
      <c r="R80" s="27"/>
      <c r="S80" s="29"/>
      <c r="T80" s="28"/>
      <c r="U80" s="32"/>
      <c r="V80" s="27"/>
      <c r="W80" s="29"/>
      <c r="X80" s="28"/>
      <c r="Y80" s="32"/>
      <c r="Z80" s="27"/>
      <c r="AA80" s="29"/>
      <c r="AB80" s="28"/>
      <c r="AC80" s="32"/>
      <c r="AD80" s="27"/>
      <c r="AE80" s="29"/>
      <c r="AF80" s="28"/>
      <c r="AG80" s="32"/>
      <c r="AH80" s="27"/>
      <c r="AI80" s="29"/>
      <c r="AJ80" s="28"/>
      <c r="AK80" s="32"/>
      <c r="AL80" s="27"/>
      <c r="AM80" s="29"/>
      <c r="AN80" s="28"/>
      <c r="AO80" s="32"/>
      <c r="AP80" s="27"/>
      <c r="AQ80" s="29"/>
      <c r="AR80" s="28"/>
      <c r="AS80" s="32"/>
      <c r="AT80" s="27"/>
      <c r="AU80" s="29"/>
      <c r="AV80" s="28"/>
      <c r="AW80" s="32"/>
      <c r="AX80" s="27"/>
      <c r="AY80" s="29"/>
      <c r="AZ80" s="28"/>
      <c r="BA80" s="32"/>
      <c r="BB80" s="27"/>
      <c r="BC80" s="29"/>
      <c r="BD80" s="28"/>
      <c r="BE80" s="32"/>
      <c r="BF80" s="27"/>
      <c r="BG80" s="29"/>
      <c r="BH80" s="28"/>
      <c r="BI80" s="32"/>
      <c r="BJ80" s="27"/>
      <c r="BK80" s="29"/>
      <c r="BL80" s="28"/>
      <c r="BM80" s="32"/>
    </row>
    <row r="81" customFormat="false" ht="15.75" hidden="false" customHeight="true" outlineLevel="0" collapsed="false">
      <c r="A81" s="27"/>
      <c r="B81" s="39" t="str">
        <f aca="false">IFERROR(INDEX(Customers!$C$4:$C$1003,MATCH($A81,Customers!$A$4:$A$1003,0)),"")</f>
        <v/>
      </c>
      <c r="C81" s="31" t="str">
        <f aca="false">IFERROR(INDEX(Customers!$F$4:$F$1003,MATCH($A81,Customers!$A$4:$A$1003,0)),"")</f>
        <v/>
      </c>
      <c r="D81" s="33" t="str">
        <f aca="false">IFERROR(INDEX(Customers!$K$4:$K$1003,MATCH($A81,Customers!$A$4:$A$1003,0)),"")</f>
        <v/>
      </c>
      <c r="E81" s="33" t="str">
        <f aca="false">IF($A81="","",IF($F81=0,"Not Started",IF($BJ81="Completed",Settings!$U$45,IF($BF81="Completed",Settings!$U$44,IF($BB81="Completed",Settings!$U$43,IF($AX81="Completed",Settings!$U$42,IF($AT81="Completed",Settings!$U$41,IF($AP81="Completed",Settings!$U$40,IF($AL81="Completed",Settings!$U$39,IF($AH81="Completed",Settings!$U$38,IF($AD81="Completed",Settings!$U$37,IF($Z81="Completed",Settings!$U$36,IF($V81="Completed",Settings!$U$35,IF($R81="Completed",Settings!$U$34,IF($N81="Completed",Settings!$U$33,IF($J81="Completed",Settings!$U$32,""))))))))))))))))</f>
        <v/>
      </c>
      <c r="F81" s="30" t="str">
        <f aca="false">IF($A81="","",COUNTIF($J81:$BM81,"Completed"))</f>
        <v/>
      </c>
      <c r="G81" s="35" t="str">
        <f aca="false">IF($A81="","",MIN($F81/13,1))</f>
        <v/>
      </c>
      <c r="H81" s="31" t="str">
        <f aca="false">IF($A81="","",IF($BJ81="Completed","Case Completed",IF($AX81="Completed","Visa Rejected",IF($BF81="Completed","Departed to Europe",IF($F81=0,"Not Started","In Progress")))))</f>
        <v/>
      </c>
      <c r="I81" s="30" t="str">
        <f aca="true">IF($K81="","",IF($BK81&lt;&gt;"",$BK81-$K81,IF($AY81&lt;&gt;"",$AY81-$K81,TODAY()-$K81)))</f>
        <v/>
      </c>
      <c r="J81" s="27"/>
      <c r="K81" s="29"/>
      <c r="L81" s="28"/>
      <c r="M81" s="32"/>
      <c r="N81" s="27"/>
      <c r="O81" s="29"/>
      <c r="P81" s="28"/>
      <c r="Q81" s="32"/>
      <c r="R81" s="27"/>
      <c r="S81" s="29"/>
      <c r="T81" s="28"/>
      <c r="U81" s="32"/>
      <c r="V81" s="27"/>
      <c r="W81" s="29"/>
      <c r="X81" s="28"/>
      <c r="Y81" s="32"/>
      <c r="Z81" s="27"/>
      <c r="AA81" s="29"/>
      <c r="AB81" s="28"/>
      <c r="AC81" s="32"/>
      <c r="AD81" s="27"/>
      <c r="AE81" s="29"/>
      <c r="AF81" s="28"/>
      <c r="AG81" s="32"/>
      <c r="AH81" s="27"/>
      <c r="AI81" s="29"/>
      <c r="AJ81" s="28"/>
      <c r="AK81" s="32"/>
      <c r="AL81" s="27"/>
      <c r="AM81" s="29"/>
      <c r="AN81" s="28"/>
      <c r="AO81" s="32"/>
      <c r="AP81" s="27"/>
      <c r="AQ81" s="29"/>
      <c r="AR81" s="28"/>
      <c r="AS81" s="32"/>
      <c r="AT81" s="27"/>
      <c r="AU81" s="29"/>
      <c r="AV81" s="28"/>
      <c r="AW81" s="32"/>
      <c r="AX81" s="27"/>
      <c r="AY81" s="29"/>
      <c r="AZ81" s="28"/>
      <c r="BA81" s="32"/>
      <c r="BB81" s="27"/>
      <c r="BC81" s="29"/>
      <c r="BD81" s="28"/>
      <c r="BE81" s="32"/>
      <c r="BF81" s="27"/>
      <c r="BG81" s="29"/>
      <c r="BH81" s="28"/>
      <c r="BI81" s="32"/>
      <c r="BJ81" s="27"/>
      <c r="BK81" s="29"/>
      <c r="BL81" s="28"/>
      <c r="BM81" s="32"/>
    </row>
    <row r="82" customFormat="false" ht="15.75" hidden="false" customHeight="true" outlineLevel="0" collapsed="false">
      <c r="A82" s="27"/>
      <c r="B82" s="39" t="str">
        <f aca="false">IFERROR(INDEX(Customers!$C$4:$C$1003,MATCH($A82,Customers!$A$4:$A$1003,0)),"")</f>
        <v/>
      </c>
      <c r="C82" s="31" t="str">
        <f aca="false">IFERROR(INDEX(Customers!$F$4:$F$1003,MATCH($A82,Customers!$A$4:$A$1003,0)),"")</f>
        <v/>
      </c>
      <c r="D82" s="33" t="str">
        <f aca="false">IFERROR(INDEX(Customers!$K$4:$K$1003,MATCH($A82,Customers!$A$4:$A$1003,0)),"")</f>
        <v/>
      </c>
      <c r="E82" s="33" t="str">
        <f aca="false">IF($A82="","",IF($F82=0,"Not Started",IF($BJ82="Completed",Settings!$U$45,IF($BF82="Completed",Settings!$U$44,IF($BB82="Completed",Settings!$U$43,IF($AX82="Completed",Settings!$U$42,IF($AT82="Completed",Settings!$U$41,IF($AP82="Completed",Settings!$U$40,IF($AL82="Completed",Settings!$U$39,IF($AH82="Completed",Settings!$U$38,IF($AD82="Completed",Settings!$U$37,IF($Z82="Completed",Settings!$U$36,IF($V82="Completed",Settings!$U$35,IF($R82="Completed",Settings!$U$34,IF($N82="Completed",Settings!$U$33,IF($J82="Completed",Settings!$U$32,""))))))))))))))))</f>
        <v/>
      </c>
      <c r="F82" s="30" t="str">
        <f aca="false">IF($A82="","",COUNTIF($J82:$BM82,"Completed"))</f>
        <v/>
      </c>
      <c r="G82" s="35" t="str">
        <f aca="false">IF($A82="","",MIN($F82/13,1))</f>
        <v/>
      </c>
      <c r="H82" s="31" t="str">
        <f aca="false">IF($A82="","",IF($BJ82="Completed","Case Completed",IF($AX82="Completed","Visa Rejected",IF($BF82="Completed","Departed to Europe",IF($F82=0,"Not Started","In Progress")))))</f>
        <v/>
      </c>
      <c r="I82" s="30" t="str">
        <f aca="true">IF($K82="","",IF($BK82&lt;&gt;"",$BK82-$K82,IF($AY82&lt;&gt;"",$AY82-$K82,TODAY()-$K82)))</f>
        <v/>
      </c>
      <c r="J82" s="27"/>
      <c r="K82" s="29"/>
      <c r="L82" s="28"/>
      <c r="M82" s="32"/>
      <c r="N82" s="27"/>
      <c r="O82" s="29"/>
      <c r="P82" s="28"/>
      <c r="Q82" s="32"/>
      <c r="R82" s="27"/>
      <c r="S82" s="29"/>
      <c r="T82" s="28"/>
      <c r="U82" s="32"/>
      <c r="V82" s="27"/>
      <c r="W82" s="29"/>
      <c r="X82" s="28"/>
      <c r="Y82" s="32"/>
      <c r="Z82" s="27"/>
      <c r="AA82" s="29"/>
      <c r="AB82" s="28"/>
      <c r="AC82" s="32"/>
      <c r="AD82" s="27"/>
      <c r="AE82" s="29"/>
      <c r="AF82" s="28"/>
      <c r="AG82" s="32"/>
      <c r="AH82" s="27"/>
      <c r="AI82" s="29"/>
      <c r="AJ82" s="28"/>
      <c r="AK82" s="32"/>
      <c r="AL82" s="27"/>
      <c r="AM82" s="29"/>
      <c r="AN82" s="28"/>
      <c r="AO82" s="32"/>
      <c r="AP82" s="27"/>
      <c r="AQ82" s="29"/>
      <c r="AR82" s="28"/>
      <c r="AS82" s="32"/>
      <c r="AT82" s="27"/>
      <c r="AU82" s="29"/>
      <c r="AV82" s="28"/>
      <c r="AW82" s="32"/>
      <c r="AX82" s="27"/>
      <c r="AY82" s="29"/>
      <c r="AZ82" s="28"/>
      <c r="BA82" s="32"/>
      <c r="BB82" s="27"/>
      <c r="BC82" s="29"/>
      <c r="BD82" s="28"/>
      <c r="BE82" s="32"/>
      <c r="BF82" s="27"/>
      <c r="BG82" s="29"/>
      <c r="BH82" s="28"/>
      <c r="BI82" s="32"/>
      <c r="BJ82" s="27"/>
      <c r="BK82" s="29"/>
      <c r="BL82" s="28"/>
      <c r="BM82" s="32"/>
    </row>
    <row r="83" customFormat="false" ht="15.75" hidden="false" customHeight="true" outlineLevel="0" collapsed="false">
      <c r="A83" s="27"/>
      <c r="B83" s="39" t="str">
        <f aca="false">IFERROR(INDEX(Customers!$C$4:$C$1003,MATCH($A83,Customers!$A$4:$A$1003,0)),"")</f>
        <v/>
      </c>
      <c r="C83" s="31" t="str">
        <f aca="false">IFERROR(INDEX(Customers!$F$4:$F$1003,MATCH($A83,Customers!$A$4:$A$1003,0)),"")</f>
        <v/>
      </c>
      <c r="D83" s="33" t="str">
        <f aca="false">IFERROR(INDEX(Customers!$K$4:$K$1003,MATCH($A83,Customers!$A$4:$A$1003,0)),"")</f>
        <v/>
      </c>
      <c r="E83" s="33" t="str">
        <f aca="false">IF($A83="","",IF($F83=0,"Not Started",IF($BJ83="Completed",Settings!$U$45,IF($BF83="Completed",Settings!$U$44,IF($BB83="Completed",Settings!$U$43,IF($AX83="Completed",Settings!$U$42,IF($AT83="Completed",Settings!$U$41,IF($AP83="Completed",Settings!$U$40,IF($AL83="Completed",Settings!$U$39,IF($AH83="Completed",Settings!$U$38,IF($AD83="Completed",Settings!$U$37,IF($Z83="Completed",Settings!$U$36,IF($V83="Completed",Settings!$U$35,IF($R83="Completed",Settings!$U$34,IF($N83="Completed",Settings!$U$33,IF($J83="Completed",Settings!$U$32,""))))))))))))))))</f>
        <v/>
      </c>
      <c r="F83" s="30" t="str">
        <f aca="false">IF($A83="","",COUNTIF($J83:$BM83,"Completed"))</f>
        <v/>
      </c>
      <c r="G83" s="35" t="str">
        <f aca="false">IF($A83="","",MIN($F83/13,1))</f>
        <v/>
      </c>
      <c r="H83" s="31" t="str">
        <f aca="false">IF($A83="","",IF($BJ83="Completed","Case Completed",IF($AX83="Completed","Visa Rejected",IF($BF83="Completed","Departed to Europe",IF($F83=0,"Not Started","In Progress")))))</f>
        <v/>
      </c>
      <c r="I83" s="30" t="str">
        <f aca="true">IF($K83="","",IF($BK83&lt;&gt;"",$BK83-$K83,IF($AY83&lt;&gt;"",$AY83-$K83,TODAY()-$K83)))</f>
        <v/>
      </c>
      <c r="J83" s="27"/>
      <c r="K83" s="29"/>
      <c r="L83" s="28"/>
      <c r="M83" s="32"/>
      <c r="N83" s="27"/>
      <c r="O83" s="29"/>
      <c r="P83" s="28"/>
      <c r="Q83" s="32"/>
      <c r="R83" s="27"/>
      <c r="S83" s="29"/>
      <c r="T83" s="28"/>
      <c r="U83" s="32"/>
      <c r="V83" s="27"/>
      <c r="W83" s="29"/>
      <c r="X83" s="28"/>
      <c r="Y83" s="32"/>
      <c r="Z83" s="27"/>
      <c r="AA83" s="29"/>
      <c r="AB83" s="28"/>
      <c r="AC83" s="32"/>
      <c r="AD83" s="27"/>
      <c r="AE83" s="29"/>
      <c r="AF83" s="28"/>
      <c r="AG83" s="32"/>
      <c r="AH83" s="27"/>
      <c r="AI83" s="29"/>
      <c r="AJ83" s="28"/>
      <c r="AK83" s="32"/>
      <c r="AL83" s="27"/>
      <c r="AM83" s="29"/>
      <c r="AN83" s="28"/>
      <c r="AO83" s="32"/>
      <c r="AP83" s="27"/>
      <c r="AQ83" s="29"/>
      <c r="AR83" s="28"/>
      <c r="AS83" s="32"/>
      <c r="AT83" s="27"/>
      <c r="AU83" s="29"/>
      <c r="AV83" s="28"/>
      <c r="AW83" s="32"/>
      <c r="AX83" s="27"/>
      <c r="AY83" s="29"/>
      <c r="AZ83" s="28"/>
      <c r="BA83" s="32"/>
      <c r="BB83" s="27"/>
      <c r="BC83" s="29"/>
      <c r="BD83" s="28"/>
      <c r="BE83" s="32"/>
      <c r="BF83" s="27"/>
      <c r="BG83" s="29"/>
      <c r="BH83" s="28"/>
      <c r="BI83" s="32"/>
      <c r="BJ83" s="27"/>
      <c r="BK83" s="29"/>
      <c r="BL83" s="28"/>
      <c r="BM83" s="32"/>
    </row>
    <row r="84" customFormat="false" ht="15.75" hidden="false" customHeight="true" outlineLevel="0" collapsed="false">
      <c r="A84" s="27"/>
      <c r="B84" s="39" t="str">
        <f aca="false">IFERROR(INDEX(Customers!$C$4:$C$1003,MATCH($A84,Customers!$A$4:$A$1003,0)),"")</f>
        <v/>
      </c>
      <c r="C84" s="31" t="str">
        <f aca="false">IFERROR(INDEX(Customers!$F$4:$F$1003,MATCH($A84,Customers!$A$4:$A$1003,0)),"")</f>
        <v/>
      </c>
      <c r="D84" s="33" t="str">
        <f aca="false">IFERROR(INDEX(Customers!$K$4:$K$1003,MATCH($A84,Customers!$A$4:$A$1003,0)),"")</f>
        <v/>
      </c>
      <c r="E84" s="33" t="str">
        <f aca="false">IF($A84="","",IF($F84=0,"Not Started",IF($BJ84="Completed",Settings!$U$45,IF($BF84="Completed",Settings!$U$44,IF($BB84="Completed",Settings!$U$43,IF($AX84="Completed",Settings!$U$42,IF($AT84="Completed",Settings!$U$41,IF($AP84="Completed",Settings!$U$40,IF($AL84="Completed",Settings!$U$39,IF($AH84="Completed",Settings!$U$38,IF($AD84="Completed",Settings!$U$37,IF($Z84="Completed",Settings!$U$36,IF($V84="Completed",Settings!$U$35,IF($R84="Completed",Settings!$U$34,IF($N84="Completed",Settings!$U$33,IF($J84="Completed",Settings!$U$32,""))))))))))))))))</f>
        <v/>
      </c>
      <c r="F84" s="30" t="str">
        <f aca="false">IF($A84="","",COUNTIF($J84:$BM84,"Completed"))</f>
        <v/>
      </c>
      <c r="G84" s="35" t="str">
        <f aca="false">IF($A84="","",MIN($F84/13,1))</f>
        <v/>
      </c>
      <c r="H84" s="31" t="str">
        <f aca="false">IF($A84="","",IF($BJ84="Completed","Case Completed",IF($AX84="Completed","Visa Rejected",IF($BF84="Completed","Departed to Europe",IF($F84=0,"Not Started","In Progress")))))</f>
        <v/>
      </c>
      <c r="I84" s="30" t="str">
        <f aca="true">IF($K84="","",IF($BK84&lt;&gt;"",$BK84-$K84,IF($AY84&lt;&gt;"",$AY84-$K84,TODAY()-$K84)))</f>
        <v/>
      </c>
      <c r="J84" s="27"/>
      <c r="K84" s="29"/>
      <c r="L84" s="28"/>
      <c r="M84" s="32"/>
      <c r="N84" s="27"/>
      <c r="O84" s="29"/>
      <c r="P84" s="28"/>
      <c r="Q84" s="32"/>
      <c r="R84" s="27"/>
      <c r="S84" s="29"/>
      <c r="T84" s="28"/>
      <c r="U84" s="32"/>
      <c r="V84" s="27"/>
      <c r="W84" s="29"/>
      <c r="X84" s="28"/>
      <c r="Y84" s="32"/>
      <c r="Z84" s="27"/>
      <c r="AA84" s="29"/>
      <c r="AB84" s="28"/>
      <c r="AC84" s="32"/>
      <c r="AD84" s="27"/>
      <c r="AE84" s="29"/>
      <c r="AF84" s="28"/>
      <c r="AG84" s="32"/>
      <c r="AH84" s="27"/>
      <c r="AI84" s="29"/>
      <c r="AJ84" s="28"/>
      <c r="AK84" s="32"/>
      <c r="AL84" s="27"/>
      <c r="AM84" s="29"/>
      <c r="AN84" s="28"/>
      <c r="AO84" s="32"/>
      <c r="AP84" s="27"/>
      <c r="AQ84" s="29"/>
      <c r="AR84" s="28"/>
      <c r="AS84" s="32"/>
      <c r="AT84" s="27"/>
      <c r="AU84" s="29"/>
      <c r="AV84" s="28"/>
      <c r="AW84" s="32"/>
      <c r="AX84" s="27"/>
      <c r="AY84" s="29"/>
      <c r="AZ84" s="28"/>
      <c r="BA84" s="32"/>
      <c r="BB84" s="27"/>
      <c r="BC84" s="29"/>
      <c r="BD84" s="28"/>
      <c r="BE84" s="32"/>
      <c r="BF84" s="27"/>
      <c r="BG84" s="29"/>
      <c r="BH84" s="28"/>
      <c r="BI84" s="32"/>
      <c r="BJ84" s="27"/>
      <c r="BK84" s="29"/>
      <c r="BL84" s="28"/>
      <c r="BM84" s="32"/>
    </row>
    <row r="85" customFormat="false" ht="15.75" hidden="false" customHeight="true" outlineLevel="0" collapsed="false">
      <c r="A85" s="27"/>
      <c r="B85" s="39" t="str">
        <f aca="false">IFERROR(INDEX(Customers!$C$4:$C$1003,MATCH($A85,Customers!$A$4:$A$1003,0)),"")</f>
        <v/>
      </c>
      <c r="C85" s="31" t="str">
        <f aca="false">IFERROR(INDEX(Customers!$F$4:$F$1003,MATCH($A85,Customers!$A$4:$A$1003,0)),"")</f>
        <v/>
      </c>
      <c r="D85" s="33" t="str">
        <f aca="false">IFERROR(INDEX(Customers!$K$4:$K$1003,MATCH($A85,Customers!$A$4:$A$1003,0)),"")</f>
        <v/>
      </c>
      <c r="E85" s="33" t="str">
        <f aca="false">IF($A85="","",IF($F85=0,"Not Started",IF($BJ85="Completed",Settings!$U$45,IF($BF85="Completed",Settings!$U$44,IF($BB85="Completed",Settings!$U$43,IF($AX85="Completed",Settings!$U$42,IF($AT85="Completed",Settings!$U$41,IF($AP85="Completed",Settings!$U$40,IF($AL85="Completed",Settings!$U$39,IF($AH85="Completed",Settings!$U$38,IF($AD85="Completed",Settings!$U$37,IF($Z85="Completed",Settings!$U$36,IF($V85="Completed",Settings!$U$35,IF($R85="Completed",Settings!$U$34,IF($N85="Completed",Settings!$U$33,IF($J85="Completed",Settings!$U$32,""))))))))))))))))</f>
        <v/>
      </c>
      <c r="F85" s="30" t="str">
        <f aca="false">IF($A85="","",COUNTIF($J85:$BM85,"Completed"))</f>
        <v/>
      </c>
      <c r="G85" s="35" t="str">
        <f aca="false">IF($A85="","",MIN($F85/13,1))</f>
        <v/>
      </c>
      <c r="H85" s="31" t="str">
        <f aca="false">IF($A85="","",IF($BJ85="Completed","Case Completed",IF($AX85="Completed","Visa Rejected",IF($BF85="Completed","Departed to Europe",IF($F85=0,"Not Started","In Progress")))))</f>
        <v/>
      </c>
      <c r="I85" s="30" t="str">
        <f aca="true">IF($K85="","",IF($BK85&lt;&gt;"",$BK85-$K85,IF($AY85&lt;&gt;"",$AY85-$K85,TODAY()-$K85)))</f>
        <v/>
      </c>
      <c r="J85" s="27"/>
      <c r="K85" s="29"/>
      <c r="L85" s="28"/>
      <c r="M85" s="32"/>
      <c r="N85" s="27"/>
      <c r="O85" s="29"/>
      <c r="P85" s="28"/>
      <c r="Q85" s="32"/>
      <c r="R85" s="27"/>
      <c r="S85" s="29"/>
      <c r="T85" s="28"/>
      <c r="U85" s="32"/>
      <c r="V85" s="27"/>
      <c r="W85" s="29"/>
      <c r="X85" s="28"/>
      <c r="Y85" s="32"/>
      <c r="Z85" s="27"/>
      <c r="AA85" s="29"/>
      <c r="AB85" s="28"/>
      <c r="AC85" s="32"/>
      <c r="AD85" s="27"/>
      <c r="AE85" s="29"/>
      <c r="AF85" s="28"/>
      <c r="AG85" s="32"/>
      <c r="AH85" s="27"/>
      <c r="AI85" s="29"/>
      <c r="AJ85" s="28"/>
      <c r="AK85" s="32"/>
      <c r="AL85" s="27"/>
      <c r="AM85" s="29"/>
      <c r="AN85" s="28"/>
      <c r="AO85" s="32"/>
      <c r="AP85" s="27"/>
      <c r="AQ85" s="29"/>
      <c r="AR85" s="28"/>
      <c r="AS85" s="32"/>
      <c r="AT85" s="27"/>
      <c r="AU85" s="29"/>
      <c r="AV85" s="28"/>
      <c r="AW85" s="32"/>
      <c r="AX85" s="27"/>
      <c r="AY85" s="29"/>
      <c r="AZ85" s="28"/>
      <c r="BA85" s="32"/>
      <c r="BB85" s="27"/>
      <c r="BC85" s="29"/>
      <c r="BD85" s="28"/>
      <c r="BE85" s="32"/>
      <c r="BF85" s="27"/>
      <c r="BG85" s="29"/>
      <c r="BH85" s="28"/>
      <c r="BI85" s="32"/>
      <c r="BJ85" s="27"/>
      <c r="BK85" s="29"/>
      <c r="BL85" s="28"/>
      <c r="BM85" s="32"/>
    </row>
    <row r="86" customFormat="false" ht="15.75" hidden="false" customHeight="true" outlineLevel="0" collapsed="false">
      <c r="A86" s="27"/>
      <c r="B86" s="39" t="str">
        <f aca="false">IFERROR(INDEX(Customers!$C$4:$C$1003,MATCH($A86,Customers!$A$4:$A$1003,0)),"")</f>
        <v/>
      </c>
      <c r="C86" s="31" t="str">
        <f aca="false">IFERROR(INDEX(Customers!$F$4:$F$1003,MATCH($A86,Customers!$A$4:$A$1003,0)),"")</f>
        <v/>
      </c>
      <c r="D86" s="33" t="str">
        <f aca="false">IFERROR(INDEX(Customers!$K$4:$K$1003,MATCH($A86,Customers!$A$4:$A$1003,0)),"")</f>
        <v/>
      </c>
      <c r="E86" s="33" t="str">
        <f aca="false">IF($A86="","",IF($F86=0,"Not Started",IF($BJ86="Completed",Settings!$U$45,IF($BF86="Completed",Settings!$U$44,IF($BB86="Completed",Settings!$U$43,IF($AX86="Completed",Settings!$U$42,IF($AT86="Completed",Settings!$U$41,IF($AP86="Completed",Settings!$U$40,IF($AL86="Completed",Settings!$U$39,IF($AH86="Completed",Settings!$U$38,IF($AD86="Completed",Settings!$U$37,IF($Z86="Completed",Settings!$U$36,IF($V86="Completed",Settings!$U$35,IF($R86="Completed",Settings!$U$34,IF($N86="Completed",Settings!$U$33,IF($J86="Completed",Settings!$U$32,""))))))))))))))))</f>
        <v/>
      </c>
      <c r="F86" s="30" t="str">
        <f aca="false">IF($A86="","",COUNTIF($J86:$BM86,"Completed"))</f>
        <v/>
      </c>
      <c r="G86" s="35" t="str">
        <f aca="false">IF($A86="","",MIN($F86/13,1))</f>
        <v/>
      </c>
      <c r="H86" s="31" t="str">
        <f aca="false">IF($A86="","",IF($BJ86="Completed","Case Completed",IF($AX86="Completed","Visa Rejected",IF($BF86="Completed","Departed to Europe",IF($F86=0,"Not Started","In Progress")))))</f>
        <v/>
      </c>
      <c r="I86" s="30" t="str">
        <f aca="true">IF($K86="","",IF($BK86&lt;&gt;"",$BK86-$K86,IF($AY86&lt;&gt;"",$AY86-$K86,TODAY()-$K86)))</f>
        <v/>
      </c>
      <c r="J86" s="27"/>
      <c r="K86" s="29"/>
      <c r="L86" s="28"/>
      <c r="M86" s="32"/>
      <c r="N86" s="27"/>
      <c r="O86" s="29"/>
      <c r="P86" s="28"/>
      <c r="Q86" s="32"/>
      <c r="R86" s="27"/>
      <c r="S86" s="29"/>
      <c r="T86" s="28"/>
      <c r="U86" s="32"/>
      <c r="V86" s="27"/>
      <c r="W86" s="29"/>
      <c r="X86" s="28"/>
      <c r="Y86" s="32"/>
      <c r="Z86" s="27"/>
      <c r="AA86" s="29"/>
      <c r="AB86" s="28"/>
      <c r="AC86" s="32"/>
      <c r="AD86" s="27"/>
      <c r="AE86" s="29"/>
      <c r="AF86" s="28"/>
      <c r="AG86" s="32"/>
      <c r="AH86" s="27"/>
      <c r="AI86" s="29"/>
      <c r="AJ86" s="28"/>
      <c r="AK86" s="32"/>
      <c r="AL86" s="27"/>
      <c r="AM86" s="29"/>
      <c r="AN86" s="28"/>
      <c r="AO86" s="32"/>
      <c r="AP86" s="27"/>
      <c r="AQ86" s="29"/>
      <c r="AR86" s="28"/>
      <c r="AS86" s="32"/>
      <c r="AT86" s="27"/>
      <c r="AU86" s="29"/>
      <c r="AV86" s="28"/>
      <c r="AW86" s="32"/>
      <c r="AX86" s="27"/>
      <c r="AY86" s="29"/>
      <c r="AZ86" s="28"/>
      <c r="BA86" s="32"/>
      <c r="BB86" s="27"/>
      <c r="BC86" s="29"/>
      <c r="BD86" s="28"/>
      <c r="BE86" s="32"/>
      <c r="BF86" s="27"/>
      <c r="BG86" s="29"/>
      <c r="BH86" s="28"/>
      <c r="BI86" s="32"/>
      <c r="BJ86" s="27"/>
      <c r="BK86" s="29"/>
      <c r="BL86" s="28"/>
      <c r="BM86" s="32"/>
    </row>
    <row r="87" customFormat="false" ht="15.75" hidden="false" customHeight="true" outlineLevel="0" collapsed="false">
      <c r="A87" s="27"/>
      <c r="B87" s="39" t="str">
        <f aca="false">IFERROR(INDEX(Customers!$C$4:$C$1003,MATCH($A87,Customers!$A$4:$A$1003,0)),"")</f>
        <v/>
      </c>
      <c r="C87" s="31" t="str">
        <f aca="false">IFERROR(INDEX(Customers!$F$4:$F$1003,MATCH($A87,Customers!$A$4:$A$1003,0)),"")</f>
        <v/>
      </c>
      <c r="D87" s="33" t="str">
        <f aca="false">IFERROR(INDEX(Customers!$K$4:$K$1003,MATCH($A87,Customers!$A$4:$A$1003,0)),"")</f>
        <v/>
      </c>
      <c r="E87" s="33" t="str">
        <f aca="false">IF($A87="","",IF($F87=0,"Not Started",IF($BJ87="Completed",Settings!$U$45,IF($BF87="Completed",Settings!$U$44,IF($BB87="Completed",Settings!$U$43,IF($AX87="Completed",Settings!$U$42,IF($AT87="Completed",Settings!$U$41,IF($AP87="Completed",Settings!$U$40,IF($AL87="Completed",Settings!$U$39,IF($AH87="Completed",Settings!$U$38,IF($AD87="Completed",Settings!$U$37,IF($Z87="Completed",Settings!$U$36,IF($V87="Completed",Settings!$U$35,IF($R87="Completed",Settings!$U$34,IF($N87="Completed",Settings!$U$33,IF($J87="Completed",Settings!$U$32,""))))))))))))))))</f>
        <v/>
      </c>
      <c r="F87" s="30" t="str">
        <f aca="false">IF($A87="","",COUNTIF($J87:$BM87,"Completed"))</f>
        <v/>
      </c>
      <c r="G87" s="35" t="str">
        <f aca="false">IF($A87="","",MIN($F87/13,1))</f>
        <v/>
      </c>
      <c r="H87" s="31" t="str">
        <f aca="false">IF($A87="","",IF($BJ87="Completed","Case Completed",IF($AX87="Completed","Visa Rejected",IF($BF87="Completed","Departed to Europe",IF($F87=0,"Not Started","In Progress")))))</f>
        <v/>
      </c>
      <c r="I87" s="30" t="str">
        <f aca="true">IF($K87="","",IF($BK87&lt;&gt;"",$BK87-$K87,IF($AY87&lt;&gt;"",$AY87-$K87,TODAY()-$K87)))</f>
        <v/>
      </c>
      <c r="J87" s="27"/>
      <c r="K87" s="29"/>
      <c r="L87" s="28"/>
      <c r="M87" s="32"/>
      <c r="N87" s="27"/>
      <c r="O87" s="29"/>
      <c r="P87" s="28"/>
      <c r="Q87" s="32"/>
      <c r="R87" s="27"/>
      <c r="S87" s="29"/>
      <c r="T87" s="28"/>
      <c r="U87" s="32"/>
      <c r="V87" s="27"/>
      <c r="W87" s="29"/>
      <c r="X87" s="28"/>
      <c r="Y87" s="32"/>
      <c r="Z87" s="27"/>
      <c r="AA87" s="29"/>
      <c r="AB87" s="28"/>
      <c r="AC87" s="32"/>
      <c r="AD87" s="27"/>
      <c r="AE87" s="29"/>
      <c r="AF87" s="28"/>
      <c r="AG87" s="32"/>
      <c r="AH87" s="27"/>
      <c r="AI87" s="29"/>
      <c r="AJ87" s="28"/>
      <c r="AK87" s="32"/>
      <c r="AL87" s="27"/>
      <c r="AM87" s="29"/>
      <c r="AN87" s="28"/>
      <c r="AO87" s="32"/>
      <c r="AP87" s="27"/>
      <c r="AQ87" s="29"/>
      <c r="AR87" s="28"/>
      <c r="AS87" s="32"/>
      <c r="AT87" s="27"/>
      <c r="AU87" s="29"/>
      <c r="AV87" s="28"/>
      <c r="AW87" s="32"/>
      <c r="AX87" s="27"/>
      <c r="AY87" s="29"/>
      <c r="AZ87" s="28"/>
      <c r="BA87" s="32"/>
      <c r="BB87" s="27"/>
      <c r="BC87" s="29"/>
      <c r="BD87" s="28"/>
      <c r="BE87" s="32"/>
      <c r="BF87" s="27"/>
      <c r="BG87" s="29"/>
      <c r="BH87" s="28"/>
      <c r="BI87" s="32"/>
      <c r="BJ87" s="27"/>
      <c r="BK87" s="29"/>
      <c r="BL87" s="28"/>
      <c r="BM87" s="32"/>
    </row>
    <row r="88" customFormat="false" ht="15.75" hidden="false" customHeight="true" outlineLevel="0" collapsed="false">
      <c r="A88" s="27"/>
      <c r="B88" s="39" t="str">
        <f aca="false">IFERROR(INDEX(Customers!$C$4:$C$1003,MATCH($A88,Customers!$A$4:$A$1003,0)),"")</f>
        <v/>
      </c>
      <c r="C88" s="31" t="str">
        <f aca="false">IFERROR(INDEX(Customers!$F$4:$F$1003,MATCH($A88,Customers!$A$4:$A$1003,0)),"")</f>
        <v/>
      </c>
      <c r="D88" s="33" t="str">
        <f aca="false">IFERROR(INDEX(Customers!$K$4:$K$1003,MATCH($A88,Customers!$A$4:$A$1003,0)),"")</f>
        <v/>
      </c>
      <c r="E88" s="33" t="str">
        <f aca="false">IF($A88="","",IF($F88=0,"Not Started",IF($BJ88="Completed",Settings!$U$45,IF($BF88="Completed",Settings!$U$44,IF($BB88="Completed",Settings!$U$43,IF($AX88="Completed",Settings!$U$42,IF($AT88="Completed",Settings!$U$41,IF($AP88="Completed",Settings!$U$40,IF($AL88="Completed",Settings!$U$39,IF($AH88="Completed",Settings!$U$38,IF($AD88="Completed",Settings!$U$37,IF($Z88="Completed",Settings!$U$36,IF($V88="Completed",Settings!$U$35,IF($R88="Completed",Settings!$U$34,IF($N88="Completed",Settings!$U$33,IF($J88="Completed",Settings!$U$32,""))))))))))))))))</f>
        <v/>
      </c>
      <c r="F88" s="30" t="str">
        <f aca="false">IF($A88="","",COUNTIF($J88:$BM88,"Completed"))</f>
        <v/>
      </c>
      <c r="G88" s="35" t="str">
        <f aca="false">IF($A88="","",MIN($F88/13,1))</f>
        <v/>
      </c>
      <c r="H88" s="31" t="str">
        <f aca="false">IF($A88="","",IF($BJ88="Completed","Case Completed",IF($AX88="Completed","Visa Rejected",IF($BF88="Completed","Departed to Europe",IF($F88=0,"Not Started","In Progress")))))</f>
        <v/>
      </c>
      <c r="I88" s="30" t="str">
        <f aca="true">IF($K88="","",IF($BK88&lt;&gt;"",$BK88-$K88,IF($AY88&lt;&gt;"",$AY88-$K88,TODAY()-$K88)))</f>
        <v/>
      </c>
      <c r="J88" s="27"/>
      <c r="K88" s="29"/>
      <c r="L88" s="28"/>
      <c r="M88" s="32"/>
      <c r="N88" s="27"/>
      <c r="O88" s="29"/>
      <c r="P88" s="28"/>
      <c r="Q88" s="32"/>
      <c r="R88" s="27"/>
      <c r="S88" s="29"/>
      <c r="T88" s="28"/>
      <c r="U88" s="32"/>
      <c r="V88" s="27"/>
      <c r="W88" s="29"/>
      <c r="X88" s="28"/>
      <c r="Y88" s="32"/>
      <c r="Z88" s="27"/>
      <c r="AA88" s="29"/>
      <c r="AB88" s="28"/>
      <c r="AC88" s="32"/>
      <c r="AD88" s="27"/>
      <c r="AE88" s="29"/>
      <c r="AF88" s="28"/>
      <c r="AG88" s="32"/>
      <c r="AH88" s="27"/>
      <c r="AI88" s="29"/>
      <c r="AJ88" s="28"/>
      <c r="AK88" s="32"/>
      <c r="AL88" s="27"/>
      <c r="AM88" s="29"/>
      <c r="AN88" s="28"/>
      <c r="AO88" s="32"/>
      <c r="AP88" s="27"/>
      <c r="AQ88" s="29"/>
      <c r="AR88" s="28"/>
      <c r="AS88" s="32"/>
      <c r="AT88" s="27"/>
      <c r="AU88" s="29"/>
      <c r="AV88" s="28"/>
      <c r="AW88" s="32"/>
      <c r="AX88" s="27"/>
      <c r="AY88" s="29"/>
      <c r="AZ88" s="28"/>
      <c r="BA88" s="32"/>
      <c r="BB88" s="27"/>
      <c r="BC88" s="29"/>
      <c r="BD88" s="28"/>
      <c r="BE88" s="32"/>
      <c r="BF88" s="27"/>
      <c r="BG88" s="29"/>
      <c r="BH88" s="28"/>
      <c r="BI88" s="32"/>
      <c r="BJ88" s="27"/>
      <c r="BK88" s="29"/>
      <c r="BL88" s="28"/>
      <c r="BM88" s="32"/>
    </row>
    <row r="89" customFormat="false" ht="15.75" hidden="false" customHeight="true" outlineLevel="0" collapsed="false">
      <c r="A89" s="27"/>
      <c r="B89" s="39" t="str">
        <f aca="false">IFERROR(INDEX(Customers!$C$4:$C$1003,MATCH($A89,Customers!$A$4:$A$1003,0)),"")</f>
        <v/>
      </c>
      <c r="C89" s="31" t="str">
        <f aca="false">IFERROR(INDEX(Customers!$F$4:$F$1003,MATCH($A89,Customers!$A$4:$A$1003,0)),"")</f>
        <v/>
      </c>
      <c r="D89" s="33" t="str">
        <f aca="false">IFERROR(INDEX(Customers!$K$4:$K$1003,MATCH($A89,Customers!$A$4:$A$1003,0)),"")</f>
        <v/>
      </c>
      <c r="E89" s="33" t="str">
        <f aca="false">IF($A89="","",IF($F89=0,"Not Started",IF($BJ89="Completed",Settings!$U$45,IF($BF89="Completed",Settings!$U$44,IF($BB89="Completed",Settings!$U$43,IF($AX89="Completed",Settings!$U$42,IF($AT89="Completed",Settings!$U$41,IF($AP89="Completed",Settings!$U$40,IF($AL89="Completed",Settings!$U$39,IF($AH89="Completed",Settings!$U$38,IF($AD89="Completed",Settings!$U$37,IF($Z89="Completed",Settings!$U$36,IF($V89="Completed",Settings!$U$35,IF($R89="Completed",Settings!$U$34,IF($N89="Completed",Settings!$U$33,IF($J89="Completed",Settings!$U$32,""))))))))))))))))</f>
        <v/>
      </c>
      <c r="F89" s="30" t="str">
        <f aca="false">IF($A89="","",COUNTIF($J89:$BM89,"Completed"))</f>
        <v/>
      </c>
      <c r="G89" s="35" t="str">
        <f aca="false">IF($A89="","",MIN($F89/13,1))</f>
        <v/>
      </c>
      <c r="H89" s="31" t="str">
        <f aca="false">IF($A89="","",IF($BJ89="Completed","Case Completed",IF($AX89="Completed","Visa Rejected",IF($BF89="Completed","Departed to Europe",IF($F89=0,"Not Started","In Progress")))))</f>
        <v/>
      </c>
      <c r="I89" s="30" t="str">
        <f aca="true">IF($K89="","",IF($BK89&lt;&gt;"",$BK89-$K89,IF($AY89&lt;&gt;"",$AY89-$K89,TODAY()-$K89)))</f>
        <v/>
      </c>
      <c r="J89" s="27"/>
      <c r="K89" s="29"/>
      <c r="L89" s="28"/>
      <c r="M89" s="32"/>
      <c r="N89" s="27"/>
      <c r="O89" s="29"/>
      <c r="P89" s="28"/>
      <c r="Q89" s="32"/>
      <c r="R89" s="27"/>
      <c r="S89" s="29"/>
      <c r="T89" s="28"/>
      <c r="U89" s="32"/>
      <c r="V89" s="27"/>
      <c r="W89" s="29"/>
      <c r="X89" s="28"/>
      <c r="Y89" s="32"/>
      <c r="Z89" s="27"/>
      <c r="AA89" s="29"/>
      <c r="AB89" s="28"/>
      <c r="AC89" s="32"/>
      <c r="AD89" s="27"/>
      <c r="AE89" s="29"/>
      <c r="AF89" s="28"/>
      <c r="AG89" s="32"/>
      <c r="AH89" s="27"/>
      <c r="AI89" s="29"/>
      <c r="AJ89" s="28"/>
      <c r="AK89" s="32"/>
      <c r="AL89" s="27"/>
      <c r="AM89" s="29"/>
      <c r="AN89" s="28"/>
      <c r="AO89" s="32"/>
      <c r="AP89" s="27"/>
      <c r="AQ89" s="29"/>
      <c r="AR89" s="28"/>
      <c r="AS89" s="32"/>
      <c r="AT89" s="27"/>
      <c r="AU89" s="29"/>
      <c r="AV89" s="28"/>
      <c r="AW89" s="32"/>
      <c r="AX89" s="27"/>
      <c r="AY89" s="29"/>
      <c r="AZ89" s="28"/>
      <c r="BA89" s="32"/>
      <c r="BB89" s="27"/>
      <c r="BC89" s="29"/>
      <c r="BD89" s="28"/>
      <c r="BE89" s="32"/>
      <c r="BF89" s="27"/>
      <c r="BG89" s="29"/>
      <c r="BH89" s="28"/>
      <c r="BI89" s="32"/>
      <c r="BJ89" s="27"/>
      <c r="BK89" s="29"/>
      <c r="BL89" s="28"/>
      <c r="BM89" s="32"/>
    </row>
    <row r="90" customFormat="false" ht="15.75" hidden="false" customHeight="true" outlineLevel="0" collapsed="false">
      <c r="A90" s="27"/>
      <c r="B90" s="39" t="str">
        <f aca="false">IFERROR(INDEX(Customers!$C$4:$C$1003,MATCH($A90,Customers!$A$4:$A$1003,0)),"")</f>
        <v/>
      </c>
      <c r="C90" s="31" t="str">
        <f aca="false">IFERROR(INDEX(Customers!$F$4:$F$1003,MATCH($A90,Customers!$A$4:$A$1003,0)),"")</f>
        <v/>
      </c>
      <c r="D90" s="33" t="str">
        <f aca="false">IFERROR(INDEX(Customers!$K$4:$K$1003,MATCH($A90,Customers!$A$4:$A$1003,0)),"")</f>
        <v/>
      </c>
      <c r="E90" s="33" t="str">
        <f aca="false">IF($A90="","",IF($F90=0,"Not Started",IF($BJ90="Completed",Settings!$U$45,IF($BF90="Completed",Settings!$U$44,IF($BB90="Completed",Settings!$U$43,IF($AX90="Completed",Settings!$U$42,IF($AT90="Completed",Settings!$U$41,IF($AP90="Completed",Settings!$U$40,IF($AL90="Completed",Settings!$U$39,IF($AH90="Completed",Settings!$U$38,IF($AD90="Completed",Settings!$U$37,IF($Z90="Completed",Settings!$U$36,IF($V90="Completed",Settings!$U$35,IF($R90="Completed",Settings!$U$34,IF($N90="Completed",Settings!$U$33,IF($J90="Completed",Settings!$U$32,""))))))))))))))))</f>
        <v/>
      </c>
      <c r="F90" s="30" t="str">
        <f aca="false">IF($A90="","",COUNTIF($J90:$BM90,"Completed"))</f>
        <v/>
      </c>
      <c r="G90" s="35" t="str">
        <f aca="false">IF($A90="","",MIN($F90/13,1))</f>
        <v/>
      </c>
      <c r="H90" s="31" t="str">
        <f aca="false">IF($A90="","",IF($BJ90="Completed","Case Completed",IF($AX90="Completed","Visa Rejected",IF($BF90="Completed","Departed to Europe",IF($F90=0,"Not Started","In Progress")))))</f>
        <v/>
      </c>
      <c r="I90" s="30" t="str">
        <f aca="true">IF($K90="","",IF($BK90&lt;&gt;"",$BK90-$K90,IF($AY90&lt;&gt;"",$AY90-$K90,TODAY()-$K90)))</f>
        <v/>
      </c>
      <c r="J90" s="27"/>
      <c r="K90" s="29"/>
      <c r="L90" s="28"/>
      <c r="M90" s="32"/>
      <c r="N90" s="27"/>
      <c r="O90" s="29"/>
      <c r="P90" s="28"/>
      <c r="Q90" s="32"/>
      <c r="R90" s="27"/>
      <c r="S90" s="29"/>
      <c r="T90" s="28"/>
      <c r="U90" s="32"/>
      <c r="V90" s="27"/>
      <c r="W90" s="29"/>
      <c r="X90" s="28"/>
      <c r="Y90" s="32"/>
      <c r="Z90" s="27"/>
      <c r="AA90" s="29"/>
      <c r="AB90" s="28"/>
      <c r="AC90" s="32"/>
      <c r="AD90" s="27"/>
      <c r="AE90" s="29"/>
      <c r="AF90" s="28"/>
      <c r="AG90" s="32"/>
      <c r="AH90" s="27"/>
      <c r="AI90" s="29"/>
      <c r="AJ90" s="28"/>
      <c r="AK90" s="32"/>
      <c r="AL90" s="27"/>
      <c r="AM90" s="29"/>
      <c r="AN90" s="28"/>
      <c r="AO90" s="32"/>
      <c r="AP90" s="27"/>
      <c r="AQ90" s="29"/>
      <c r="AR90" s="28"/>
      <c r="AS90" s="32"/>
      <c r="AT90" s="27"/>
      <c r="AU90" s="29"/>
      <c r="AV90" s="28"/>
      <c r="AW90" s="32"/>
      <c r="AX90" s="27"/>
      <c r="AY90" s="29"/>
      <c r="AZ90" s="28"/>
      <c r="BA90" s="32"/>
      <c r="BB90" s="27"/>
      <c r="BC90" s="29"/>
      <c r="BD90" s="28"/>
      <c r="BE90" s="32"/>
      <c r="BF90" s="27"/>
      <c r="BG90" s="29"/>
      <c r="BH90" s="28"/>
      <c r="BI90" s="32"/>
      <c r="BJ90" s="27"/>
      <c r="BK90" s="29"/>
      <c r="BL90" s="28"/>
      <c r="BM90" s="32"/>
    </row>
    <row r="91" customFormat="false" ht="15.75" hidden="false" customHeight="true" outlineLevel="0" collapsed="false">
      <c r="A91" s="27"/>
      <c r="B91" s="39" t="str">
        <f aca="false">IFERROR(INDEX(Customers!$C$4:$C$1003,MATCH($A91,Customers!$A$4:$A$1003,0)),"")</f>
        <v/>
      </c>
      <c r="C91" s="31" t="str">
        <f aca="false">IFERROR(INDEX(Customers!$F$4:$F$1003,MATCH($A91,Customers!$A$4:$A$1003,0)),"")</f>
        <v/>
      </c>
      <c r="D91" s="33" t="str">
        <f aca="false">IFERROR(INDEX(Customers!$K$4:$K$1003,MATCH($A91,Customers!$A$4:$A$1003,0)),"")</f>
        <v/>
      </c>
      <c r="E91" s="33" t="str">
        <f aca="false">IF($A91="","",IF($F91=0,"Not Started",IF($BJ91="Completed",Settings!$U$45,IF($BF91="Completed",Settings!$U$44,IF($BB91="Completed",Settings!$U$43,IF($AX91="Completed",Settings!$U$42,IF($AT91="Completed",Settings!$U$41,IF($AP91="Completed",Settings!$U$40,IF($AL91="Completed",Settings!$U$39,IF($AH91="Completed",Settings!$U$38,IF($AD91="Completed",Settings!$U$37,IF($Z91="Completed",Settings!$U$36,IF($V91="Completed",Settings!$U$35,IF($R91="Completed",Settings!$U$34,IF($N91="Completed",Settings!$U$33,IF($J91="Completed",Settings!$U$32,""))))))))))))))))</f>
        <v/>
      </c>
      <c r="F91" s="30" t="str">
        <f aca="false">IF($A91="","",COUNTIF($J91:$BM91,"Completed"))</f>
        <v/>
      </c>
      <c r="G91" s="35" t="str">
        <f aca="false">IF($A91="","",MIN($F91/13,1))</f>
        <v/>
      </c>
      <c r="H91" s="31" t="str">
        <f aca="false">IF($A91="","",IF($BJ91="Completed","Case Completed",IF($AX91="Completed","Visa Rejected",IF($BF91="Completed","Departed to Europe",IF($F91=0,"Not Started","In Progress")))))</f>
        <v/>
      </c>
      <c r="I91" s="30" t="str">
        <f aca="true">IF($K91="","",IF($BK91&lt;&gt;"",$BK91-$K91,IF($AY91&lt;&gt;"",$AY91-$K91,TODAY()-$K91)))</f>
        <v/>
      </c>
      <c r="J91" s="27"/>
      <c r="K91" s="29"/>
      <c r="L91" s="28"/>
      <c r="M91" s="32"/>
      <c r="N91" s="27"/>
      <c r="O91" s="29"/>
      <c r="P91" s="28"/>
      <c r="Q91" s="32"/>
      <c r="R91" s="27"/>
      <c r="S91" s="29"/>
      <c r="T91" s="28"/>
      <c r="U91" s="32"/>
      <c r="V91" s="27"/>
      <c r="W91" s="29"/>
      <c r="X91" s="28"/>
      <c r="Y91" s="32"/>
      <c r="Z91" s="27"/>
      <c r="AA91" s="29"/>
      <c r="AB91" s="28"/>
      <c r="AC91" s="32"/>
      <c r="AD91" s="27"/>
      <c r="AE91" s="29"/>
      <c r="AF91" s="28"/>
      <c r="AG91" s="32"/>
      <c r="AH91" s="27"/>
      <c r="AI91" s="29"/>
      <c r="AJ91" s="28"/>
      <c r="AK91" s="32"/>
      <c r="AL91" s="27"/>
      <c r="AM91" s="29"/>
      <c r="AN91" s="28"/>
      <c r="AO91" s="32"/>
      <c r="AP91" s="27"/>
      <c r="AQ91" s="29"/>
      <c r="AR91" s="28"/>
      <c r="AS91" s="32"/>
      <c r="AT91" s="27"/>
      <c r="AU91" s="29"/>
      <c r="AV91" s="28"/>
      <c r="AW91" s="32"/>
      <c r="AX91" s="27"/>
      <c r="AY91" s="29"/>
      <c r="AZ91" s="28"/>
      <c r="BA91" s="32"/>
      <c r="BB91" s="27"/>
      <c r="BC91" s="29"/>
      <c r="BD91" s="28"/>
      <c r="BE91" s="32"/>
      <c r="BF91" s="27"/>
      <c r="BG91" s="29"/>
      <c r="BH91" s="28"/>
      <c r="BI91" s="32"/>
      <c r="BJ91" s="27"/>
      <c r="BK91" s="29"/>
      <c r="BL91" s="28"/>
      <c r="BM91" s="32"/>
    </row>
    <row r="92" customFormat="false" ht="15.75" hidden="false" customHeight="true" outlineLevel="0" collapsed="false">
      <c r="A92" s="27"/>
      <c r="B92" s="39" t="str">
        <f aca="false">IFERROR(INDEX(Customers!$C$4:$C$1003,MATCH($A92,Customers!$A$4:$A$1003,0)),"")</f>
        <v/>
      </c>
      <c r="C92" s="31" t="str">
        <f aca="false">IFERROR(INDEX(Customers!$F$4:$F$1003,MATCH($A92,Customers!$A$4:$A$1003,0)),"")</f>
        <v/>
      </c>
      <c r="D92" s="33" t="str">
        <f aca="false">IFERROR(INDEX(Customers!$K$4:$K$1003,MATCH($A92,Customers!$A$4:$A$1003,0)),"")</f>
        <v/>
      </c>
      <c r="E92" s="33" t="str">
        <f aca="false">IF($A92="","",IF($F92=0,"Not Started",IF($BJ92="Completed",Settings!$U$45,IF($BF92="Completed",Settings!$U$44,IF($BB92="Completed",Settings!$U$43,IF($AX92="Completed",Settings!$U$42,IF($AT92="Completed",Settings!$U$41,IF($AP92="Completed",Settings!$U$40,IF($AL92="Completed",Settings!$U$39,IF($AH92="Completed",Settings!$U$38,IF($AD92="Completed",Settings!$U$37,IF($Z92="Completed",Settings!$U$36,IF($V92="Completed",Settings!$U$35,IF($R92="Completed",Settings!$U$34,IF($N92="Completed",Settings!$U$33,IF($J92="Completed",Settings!$U$32,""))))))))))))))))</f>
        <v/>
      </c>
      <c r="F92" s="30" t="str">
        <f aca="false">IF($A92="","",COUNTIF($J92:$BM92,"Completed"))</f>
        <v/>
      </c>
      <c r="G92" s="35" t="str">
        <f aca="false">IF($A92="","",MIN($F92/13,1))</f>
        <v/>
      </c>
      <c r="H92" s="31" t="str">
        <f aca="false">IF($A92="","",IF($BJ92="Completed","Case Completed",IF($AX92="Completed","Visa Rejected",IF($BF92="Completed","Departed to Europe",IF($F92=0,"Not Started","In Progress")))))</f>
        <v/>
      </c>
      <c r="I92" s="30" t="str">
        <f aca="true">IF($K92="","",IF($BK92&lt;&gt;"",$BK92-$K92,IF($AY92&lt;&gt;"",$AY92-$K92,TODAY()-$K92)))</f>
        <v/>
      </c>
      <c r="J92" s="27"/>
      <c r="K92" s="29"/>
      <c r="L92" s="28"/>
      <c r="M92" s="32"/>
      <c r="N92" s="27"/>
      <c r="O92" s="29"/>
      <c r="P92" s="28"/>
      <c r="Q92" s="32"/>
      <c r="R92" s="27"/>
      <c r="S92" s="29"/>
      <c r="T92" s="28"/>
      <c r="U92" s="32"/>
      <c r="V92" s="27"/>
      <c r="W92" s="29"/>
      <c r="X92" s="28"/>
      <c r="Y92" s="32"/>
      <c r="Z92" s="27"/>
      <c r="AA92" s="29"/>
      <c r="AB92" s="28"/>
      <c r="AC92" s="32"/>
      <c r="AD92" s="27"/>
      <c r="AE92" s="29"/>
      <c r="AF92" s="28"/>
      <c r="AG92" s="32"/>
      <c r="AH92" s="27"/>
      <c r="AI92" s="29"/>
      <c r="AJ92" s="28"/>
      <c r="AK92" s="32"/>
      <c r="AL92" s="27"/>
      <c r="AM92" s="29"/>
      <c r="AN92" s="28"/>
      <c r="AO92" s="32"/>
      <c r="AP92" s="27"/>
      <c r="AQ92" s="29"/>
      <c r="AR92" s="28"/>
      <c r="AS92" s="32"/>
      <c r="AT92" s="27"/>
      <c r="AU92" s="29"/>
      <c r="AV92" s="28"/>
      <c r="AW92" s="32"/>
      <c r="AX92" s="27"/>
      <c r="AY92" s="29"/>
      <c r="AZ92" s="28"/>
      <c r="BA92" s="32"/>
      <c r="BB92" s="27"/>
      <c r="BC92" s="29"/>
      <c r="BD92" s="28"/>
      <c r="BE92" s="32"/>
      <c r="BF92" s="27"/>
      <c r="BG92" s="29"/>
      <c r="BH92" s="28"/>
      <c r="BI92" s="32"/>
      <c r="BJ92" s="27"/>
      <c r="BK92" s="29"/>
      <c r="BL92" s="28"/>
      <c r="BM92" s="32"/>
    </row>
    <row r="93" customFormat="false" ht="15.75" hidden="false" customHeight="true" outlineLevel="0" collapsed="false">
      <c r="A93" s="27"/>
      <c r="B93" s="39" t="str">
        <f aca="false">IFERROR(INDEX(Customers!$C$4:$C$1003,MATCH($A93,Customers!$A$4:$A$1003,0)),"")</f>
        <v/>
      </c>
      <c r="C93" s="31" t="str">
        <f aca="false">IFERROR(INDEX(Customers!$F$4:$F$1003,MATCH($A93,Customers!$A$4:$A$1003,0)),"")</f>
        <v/>
      </c>
      <c r="D93" s="33" t="str">
        <f aca="false">IFERROR(INDEX(Customers!$K$4:$K$1003,MATCH($A93,Customers!$A$4:$A$1003,0)),"")</f>
        <v/>
      </c>
      <c r="E93" s="33" t="str">
        <f aca="false">IF($A93="","",IF($F93=0,"Not Started",IF($BJ93="Completed",Settings!$U$45,IF($BF93="Completed",Settings!$U$44,IF($BB93="Completed",Settings!$U$43,IF($AX93="Completed",Settings!$U$42,IF($AT93="Completed",Settings!$U$41,IF($AP93="Completed",Settings!$U$40,IF($AL93="Completed",Settings!$U$39,IF($AH93="Completed",Settings!$U$38,IF($AD93="Completed",Settings!$U$37,IF($Z93="Completed",Settings!$U$36,IF($V93="Completed",Settings!$U$35,IF($R93="Completed",Settings!$U$34,IF($N93="Completed",Settings!$U$33,IF($J93="Completed",Settings!$U$32,""))))))))))))))))</f>
        <v/>
      </c>
      <c r="F93" s="30" t="str">
        <f aca="false">IF($A93="","",COUNTIF($J93:$BM93,"Completed"))</f>
        <v/>
      </c>
      <c r="G93" s="35" t="str">
        <f aca="false">IF($A93="","",MIN($F93/13,1))</f>
        <v/>
      </c>
      <c r="H93" s="31" t="str">
        <f aca="false">IF($A93="","",IF($BJ93="Completed","Case Completed",IF($AX93="Completed","Visa Rejected",IF($BF93="Completed","Departed to Europe",IF($F93=0,"Not Started","In Progress")))))</f>
        <v/>
      </c>
      <c r="I93" s="30" t="str">
        <f aca="true">IF($K93="","",IF($BK93&lt;&gt;"",$BK93-$K93,IF($AY93&lt;&gt;"",$AY93-$K93,TODAY()-$K93)))</f>
        <v/>
      </c>
      <c r="J93" s="27"/>
      <c r="K93" s="29"/>
      <c r="L93" s="28"/>
      <c r="M93" s="32"/>
      <c r="N93" s="27"/>
      <c r="O93" s="29"/>
      <c r="P93" s="28"/>
      <c r="Q93" s="32"/>
      <c r="R93" s="27"/>
      <c r="S93" s="29"/>
      <c r="T93" s="28"/>
      <c r="U93" s="32"/>
      <c r="V93" s="27"/>
      <c r="W93" s="29"/>
      <c r="X93" s="28"/>
      <c r="Y93" s="32"/>
      <c r="Z93" s="27"/>
      <c r="AA93" s="29"/>
      <c r="AB93" s="28"/>
      <c r="AC93" s="32"/>
      <c r="AD93" s="27"/>
      <c r="AE93" s="29"/>
      <c r="AF93" s="28"/>
      <c r="AG93" s="32"/>
      <c r="AH93" s="27"/>
      <c r="AI93" s="29"/>
      <c r="AJ93" s="28"/>
      <c r="AK93" s="32"/>
      <c r="AL93" s="27"/>
      <c r="AM93" s="29"/>
      <c r="AN93" s="28"/>
      <c r="AO93" s="32"/>
      <c r="AP93" s="27"/>
      <c r="AQ93" s="29"/>
      <c r="AR93" s="28"/>
      <c r="AS93" s="32"/>
      <c r="AT93" s="27"/>
      <c r="AU93" s="29"/>
      <c r="AV93" s="28"/>
      <c r="AW93" s="32"/>
      <c r="AX93" s="27"/>
      <c r="AY93" s="29"/>
      <c r="AZ93" s="28"/>
      <c r="BA93" s="32"/>
      <c r="BB93" s="27"/>
      <c r="BC93" s="29"/>
      <c r="BD93" s="28"/>
      <c r="BE93" s="32"/>
      <c r="BF93" s="27"/>
      <c r="BG93" s="29"/>
      <c r="BH93" s="28"/>
      <c r="BI93" s="32"/>
      <c r="BJ93" s="27"/>
      <c r="BK93" s="29"/>
      <c r="BL93" s="28"/>
      <c r="BM93" s="32"/>
    </row>
    <row r="94" customFormat="false" ht="15.75" hidden="false" customHeight="true" outlineLevel="0" collapsed="false">
      <c r="A94" s="27"/>
      <c r="B94" s="39" t="str">
        <f aca="false">IFERROR(INDEX(Customers!$C$4:$C$1003,MATCH($A94,Customers!$A$4:$A$1003,0)),"")</f>
        <v/>
      </c>
      <c r="C94" s="31" t="str">
        <f aca="false">IFERROR(INDEX(Customers!$F$4:$F$1003,MATCH($A94,Customers!$A$4:$A$1003,0)),"")</f>
        <v/>
      </c>
      <c r="D94" s="33" t="str">
        <f aca="false">IFERROR(INDEX(Customers!$K$4:$K$1003,MATCH($A94,Customers!$A$4:$A$1003,0)),"")</f>
        <v/>
      </c>
      <c r="E94" s="33" t="str">
        <f aca="false">IF($A94="","",IF($F94=0,"Not Started",IF($BJ94="Completed",Settings!$U$45,IF($BF94="Completed",Settings!$U$44,IF($BB94="Completed",Settings!$U$43,IF($AX94="Completed",Settings!$U$42,IF($AT94="Completed",Settings!$U$41,IF($AP94="Completed",Settings!$U$40,IF($AL94="Completed",Settings!$U$39,IF($AH94="Completed",Settings!$U$38,IF($AD94="Completed",Settings!$U$37,IF($Z94="Completed",Settings!$U$36,IF($V94="Completed",Settings!$U$35,IF($R94="Completed",Settings!$U$34,IF($N94="Completed",Settings!$U$33,IF($J94="Completed",Settings!$U$32,""))))))))))))))))</f>
        <v/>
      </c>
      <c r="F94" s="30" t="str">
        <f aca="false">IF($A94="","",COUNTIF($J94:$BM94,"Completed"))</f>
        <v/>
      </c>
      <c r="G94" s="35" t="str">
        <f aca="false">IF($A94="","",MIN($F94/13,1))</f>
        <v/>
      </c>
      <c r="H94" s="31" t="str">
        <f aca="false">IF($A94="","",IF($BJ94="Completed","Case Completed",IF($AX94="Completed","Visa Rejected",IF($BF94="Completed","Departed to Europe",IF($F94=0,"Not Started","In Progress")))))</f>
        <v/>
      </c>
      <c r="I94" s="30" t="str">
        <f aca="true">IF($K94="","",IF($BK94&lt;&gt;"",$BK94-$K94,IF($AY94&lt;&gt;"",$AY94-$K94,TODAY()-$K94)))</f>
        <v/>
      </c>
      <c r="J94" s="27"/>
      <c r="K94" s="29"/>
      <c r="L94" s="28"/>
      <c r="M94" s="32"/>
      <c r="N94" s="27"/>
      <c r="O94" s="29"/>
      <c r="P94" s="28"/>
      <c r="Q94" s="32"/>
      <c r="R94" s="27"/>
      <c r="S94" s="29"/>
      <c r="T94" s="28"/>
      <c r="U94" s="32"/>
      <c r="V94" s="27"/>
      <c r="W94" s="29"/>
      <c r="X94" s="28"/>
      <c r="Y94" s="32"/>
      <c r="Z94" s="27"/>
      <c r="AA94" s="29"/>
      <c r="AB94" s="28"/>
      <c r="AC94" s="32"/>
      <c r="AD94" s="27"/>
      <c r="AE94" s="29"/>
      <c r="AF94" s="28"/>
      <c r="AG94" s="32"/>
      <c r="AH94" s="27"/>
      <c r="AI94" s="29"/>
      <c r="AJ94" s="28"/>
      <c r="AK94" s="32"/>
      <c r="AL94" s="27"/>
      <c r="AM94" s="29"/>
      <c r="AN94" s="28"/>
      <c r="AO94" s="32"/>
      <c r="AP94" s="27"/>
      <c r="AQ94" s="29"/>
      <c r="AR94" s="28"/>
      <c r="AS94" s="32"/>
      <c r="AT94" s="27"/>
      <c r="AU94" s="29"/>
      <c r="AV94" s="28"/>
      <c r="AW94" s="32"/>
      <c r="AX94" s="27"/>
      <c r="AY94" s="29"/>
      <c r="AZ94" s="28"/>
      <c r="BA94" s="32"/>
      <c r="BB94" s="27"/>
      <c r="BC94" s="29"/>
      <c r="BD94" s="28"/>
      <c r="BE94" s="32"/>
      <c r="BF94" s="27"/>
      <c r="BG94" s="29"/>
      <c r="BH94" s="28"/>
      <c r="BI94" s="32"/>
      <c r="BJ94" s="27"/>
      <c r="BK94" s="29"/>
      <c r="BL94" s="28"/>
      <c r="BM94" s="32"/>
    </row>
    <row r="95" customFormat="false" ht="15.75" hidden="false" customHeight="true" outlineLevel="0" collapsed="false">
      <c r="A95" s="27"/>
      <c r="B95" s="39" t="str">
        <f aca="false">IFERROR(INDEX(Customers!$C$4:$C$1003,MATCH($A95,Customers!$A$4:$A$1003,0)),"")</f>
        <v/>
      </c>
      <c r="C95" s="31" t="str">
        <f aca="false">IFERROR(INDEX(Customers!$F$4:$F$1003,MATCH($A95,Customers!$A$4:$A$1003,0)),"")</f>
        <v/>
      </c>
      <c r="D95" s="33" t="str">
        <f aca="false">IFERROR(INDEX(Customers!$K$4:$K$1003,MATCH($A95,Customers!$A$4:$A$1003,0)),"")</f>
        <v/>
      </c>
      <c r="E95" s="33" t="str">
        <f aca="false">IF($A95="","",IF($F95=0,"Not Started",IF($BJ95="Completed",Settings!$U$45,IF($BF95="Completed",Settings!$U$44,IF($BB95="Completed",Settings!$U$43,IF($AX95="Completed",Settings!$U$42,IF($AT95="Completed",Settings!$U$41,IF($AP95="Completed",Settings!$U$40,IF($AL95="Completed",Settings!$U$39,IF($AH95="Completed",Settings!$U$38,IF($AD95="Completed",Settings!$U$37,IF($Z95="Completed",Settings!$U$36,IF($V95="Completed",Settings!$U$35,IF($R95="Completed",Settings!$U$34,IF($N95="Completed",Settings!$U$33,IF($J95="Completed",Settings!$U$32,""))))))))))))))))</f>
        <v/>
      </c>
      <c r="F95" s="30" t="str">
        <f aca="false">IF($A95="","",COUNTIF($J95:$BM95,"Completed"))</f>
        <v/>
      </c>
      <c r="G95" s="35" t="str">
        <f aca="false">IF($A95="","",MIN($F95/13,1))</f>
        <v/>
      </c>
      <c r="H95" s="31" t="str">
        <f aca="false">IF($A95="","",IF($BJ95="Completed","Case Completed",IF($AX95="Completed","Visa Rejected",IF($BF95="Completed","Departed to Europe",IF($F95=0,"Not Started","In Progress")))))</f>
        <v/>
      </c>
      <c r="I95" s="30" t="str">
        <f aca="true">IF($K95="","",IF($BK95&lt;&gt;"",$BK95-$K95,IF($AY95&lt;&gt;"",$AY95-$K95,TODAY()-$K95)))</f>
        <v/>
      </c>
      <c r="J95" s="27"/>
      <c r="K95" s="29"/>
      <c r="L95" s="28"/>
      <c r="M95" s="32"/>
      <c r="N95" s="27"/>
      <c r="O95" s="29"/>
      <c r="P95" s="28"/>
      <c r="Q95" s="32"/>
      <c r="R95" s="27"/>
      <c r="S95" s="29"/>
      <c r="T95" s="28"/>
      <c r="U95" s="32"/>
      <c r="V95" s="27"/>
      <c r="W95" s="29"/>
      <c r="X95" s="28"/>
      <c r="Y95" s="32"/>
      <c r="Z95" s="27"/>
      <c r="AA95" s="29"/>
      <c r="AB95" s="28"/>
      <c r="AC95" s="32"/>
      <c r="AD95" s="27"/>
      <c r="AE95" s="29"/>
      <c r="AF95" s="28"/>
      <c r="AG95" s="32"/>
      <c r="AH95" s="27"/>
      <c r="AI95" s="29"/>
      <c r="AJ95" s="28"/>
      <c r="AK95" s="32"/>
      <c r="AL95" s="27"/>
      <c r="AM95" s="29"/>
      <c r="AN95" s="28"/>
      <c r="AO95" s="32"/>
      <c r="AP95" s="27"/>
      <c r="AQ95" s="29"/>
      <c r="AR95" s="28"/>
      <c r="AS95" s="32"/>
      <c r="AT95" s="27"/>
      <c r="AU95" s="29"/>
      <c r="AV95" s="28"/>
      <c r="AW95" s="32"/>
      <c r="AX95" s="27"/>
      <c r="AY95" s="29"/>
      <c r="AZ95" s="28"/>
      <c r="BA95" s="32"/>
      <c r="BB95" s="27"/>
      <c r="BC95" s="29"/>
      <c r="BD95" s="28"/>
      <c r="BE95" s="32"/>
      <c r="BF95" s="27"/>
      <c r="BG95" s="29"/>
      <c r="BH95" s="28"/>
      <c r="BI95" s="32"/>
      <c r="BJ95" s="27"/>
      <c r="BK95" s="29"/>
      <c r="BL95" s="28"/>
      <c r="BM95" s="32"/>
    </row>
    <row r="96" customFormat="false" ht="15.75" hidden="false" customHeight="true" outlineLevel="0" collapsed="false">
      <c r="A96" s="27"/>
      <c r="B96" s="39" t="str">
        <f aca="false">IFERROR(INDEX(Customers!$C$4:$C$1003,MATCH($A96,Customers!$A$4:$A$1003,0)),"")</f>
        <v/>
      </c>
      <c r="C96" s="31" t="str">
        <f aca="false">IFERROR(INDEX(Customers!$F$4:$F$1003,MATCH($A96,Customers!$A$4:$A$1003,0)),"")</f>
        <v/>
      </c>
      <c r="D96" s="33" t="str">
        <f aca="false">IFERROR(INDEX(Customers!$K$4:$K$1003,MATCH($A96,Customers!$A$4:$A$1003,0)),"")</f>
        <v/>
      </c>
      <c r="E96" s="33" t="str">
        <f aca="false">IF($A96="","",IF($F96=0,"Not Started",IF($BJ96="Completed",Settings!$U$45,IF($BF96="Completed",Settings!$U$44,IF($BB96="Completed",Settings!$U$43,IF($AX96="Completed",Settings!$U$42,IF($AT96="Completed",Settings!$U$41,IF($AP96="Completed",Settings!$U$40,IF($AL96="Completed",Settings!$U$39,IF($AH96="Completed",Settings!$U$38,IF($AD96="Completed",Settings!$U$37,IF($Z96="Completed",Settings!$U$36,IF($V96="Completed",Settings!$U$35,IF($R96="Completed",Settings!$U$34,IF($N96="Completed",Settings!$U$33,IF($J96="Completed",Settings!$U$32,""))))))))))))))))</f>
        <v/>
      </c>
      <c r="F96" s="30" t="str">
        <f aca="false">IF($A96="","",COUNTIF($J96:$BM96,"Completed"))</f>
        <v/>
      </c>
      <c r="G96" s="35" t="str">
        <f aca="false">IF($A96="","",MIN($F96/13,1))</f>
        <v/>
      </c>
      <c r="H96" s="31" t="str">
        <f aca="false">IF($A96="","",IF($BJ96="Completed","Case Completed",IF($AX96="Completed","Visa Rejected",IF($BF96="Completed","Departed to Europe",IF($F96=0,"Not Started","In Progress")))))</f>
        <v/>
      </c>
      <c r="I96" s="30" t="str">
        <f aca="true">IF($K96="","",IF($BK96&lt;&gt;"",$BK96-$K96,IF($AY96&lt;&gt;"",$AY96-$K96,TODAY()-$K96)))</f>
        <v/>
      </c>
      <c r="J96" s="27"/>
      <c r="K96" s="29"/>
      <c r="L96" s="28"/>
      <c r="M96" s="32"/>
      <c r="N96" s="27"/>
      <c r="O96" s="29"/>
      <c r="P96" s="28"/>
      <c r="Q96" s="32"/>
      <c r="R96" s="27"/>
      <c r="S96" s="29"/>
      <c r="T96" s="28"/>
      <c r="U96" s="32"/>
      <c r="V96" s="27"/>
      <c r="W96" s="29"/>
      <c r="X96" s="28"/>
      <c r="Y96" s="32"/>
      <c r="Z96" s="27"/>
      <c r="AA96" s="29"/>
      <c r="AB96" s="28"/>
      <c r="AC96" s="32"/>
      <c r="AD96" s="27"/>
      <c r="AE96" s="29"/>
      <c r="AF96" s="28"/>
      <c r="AG96" s="32"/>
      <c r="AH96" s="27"/>
      <c r="AI96" s="29"/>
      <c r="AJ96" s="28"/>
      <c r="AK96" s="32"/>
      <c r="AL96" s="27"/>
      <c r="AM96" s="29"/>
      <c r="AN96" s="28"/>
      <c r="AO96" s="32"/>
      <c r="AP96" s="27"/>
      <c r="AQ96" s="29"/>
      <c r="AR96" s="28"/>
      <c r="AS96" s="32"/>
      <c r="AT96" s="27"/>
      <c r="AU96" s="29"/>
      <c r="AV96" s="28"/>
      <c r="AW96" s="32"/>
      <c r="AX96" s="27"/>
      <c r="AY96" s="29"/>
      <c r="AZ96" s="28"/>
      <c r="BA96" s="32"/>
      <c r="BB96" s="27"/>
      <c r="BC96" s="29"/>
      <c r="BD96" s="28"/>
      <c r="BE96" s="32"/>
      <c r="BF96" s="27"/>
      <c r="BG96" s="29"/>
      <c r="BH96" s="28"/>
      <c r="BI96" s="32"/>
      <c r="BJ96" s="27"/>
      <c r="BK96" s="29"/>
      <c r="BL96" s="28"/>
      <c r="BM96" s="32"/>
    </row>
    <row r="97" customFormat="false" ht="15.75" hidden="false" customHeight="true" outlineLevel="0" collapsed="false">
      <c r="A97" s="27"/>
      <c r="B97" s="39" t="str">
        <f aca="false">IFERROR(INDEX(Customers!$C$4:$C$1003,MATCH($A97,Customers!$A$4:$A$1003,0)),"")</f>
        <v/>
      </c>
      <c r="C97" s="31" t="str">
        <f aca="false">IFERROR(INDEX(Customers!$F$4:$F$1003,MATCH($A97,Customers!$A$4:$A$1003,0)),"")</f>
        <v/>
      </c>
      <c r="D97" s="33" t="str">
        <f aca="false">IFERROR(INDEX(Customers!$K$4:$K$1003,MATCH($A97,Customers!$A$4:$A$1003,0)),"")</f>
        <v/>
      </c>
      <c r="E97" s="33" t="str">
        <f aca="false">IF($A97="","",IF($F97=0,"Not Started",IF($BJ97="Completed",Settings!$U$45,IF($BF97="Completed",Settings!$U$44,IF($BB97="Completed",Settings!$U$43,IF($AX97="Completed",Settings!$U$42,IF($AT97="Completed",Settings!$U$41,IF($AP97="Completed",Settings!$U$40,IF($AL97="Completed",Settings!$U$39,IF($AH97="Completed",Settings!$U$38,IF($AD97="Completed",Settings!$U$37,IF($Z97="Completed",Settings!$U$36,IF($V97="Completed",Settings!$U$35,IF($R97="Completed",Settings!$U$34,IF($N97="Completed",Settings!$U$33,IF($J97="Completed",Settings!$U$32,""))))))))))))))))</f>
        <v/>
      </c>
      <c r="F97" s="30" t="str">
        <f aca="false">IF($A97="","",COUNTIF($J97:$BM97,"Completed"))</f>
        <v/>
      </c>
      <c r="G97" s="35" t="str">
        <f aca="false">IF($A97="","",MIN($F97/13,1))</f>
        <v/>
      </c>
      <c r="H97" s="31" t="str">
        <f aca="false">IF($A97="","",IF($BJ97="Completed","Case Completed",IF($AX97="Completed","Visa Rejected",IF($BF97="Completed","Departed to Europe",IF($F97=0,"Not Started","In Progress")))))</f>
        <v/>
      </c>
      <c r="I97" s="30" t="str">
        <f aca="true">IF($K97="","",IF($BK97&lt;&gt;"",$BK97-$K97,IF($AY97&lt;&gt;"",$AY97-$K97,TODAY()-$K97)))</f>
        <v/>
      </c>
      <c r="J97" s="27"/>
      <c r="K97" s="29"/>
      <c r="L97" s="28"/>
      <c r="M97" s="32"/>
      <c r="N97" s="27"/>
      <c r="O97" s="29"/>
      <c r="P97" s="28"/>
      <c r="Q97" s="32"/>
      <c r="R97" s="27"/>
      <c r="S97" s="29"/>
      <c r="T97" s="28"/>
      <c r="U97" s="32"/>
      <c r="V97" s="27"/>
      <c r="W97" s="29"/>
      <c r="X97" s="28"/>
      <c r="Y97" s="32"/>
      <c r="Z97" s="27"/>
      <c r="AA97" s="29"/>
      <c r="AB97" s="28"/>
      <c r="AC97" s="32"/>
      <c r="AD97" s="27"/>
      <c r="AE97" s="29"/>
      <c r="AF97" s="28"/>
      <c r="AG97" s="32"/>
      <c r="AH97" s="27"/>
      <c r="AI97" s="29"/>
      <c r="AJ97" s="28"/>
      <c r="AK97" s="32"/>
      <c r="AL97" s="27"/>
      <c r="AM97" s="29"/>
      <c r="AN97" s="28"/>
      <c r="AO97" s="32"/>
      <c r="AP97" s="27"/>
      <c r="AQ97" s="29"/>
      <c r="AR97" s="28"/>
      <c r="AS97" s="32"/>
      <c r="AT97" s="27"/>
      <c r="AU97" s="29"/>
      <c r="AV97" s="28"/>
      <c r="AW97" s="32"/>
      <c r="AX97" s="27"/>
      <c r="AY97" s="29"/>
      <c r="AZ97" s="28"/>
      <c r="BA97" s="32"/>
      <c r="BB97" s="27"/>
      <c r="BC97" s="29"/>
      <c r="BD97" s="28"/>
      <c r="BE97" s="32"/>
      <c r="BF97" s="27"/>
      <c r="BG97" s="29"/>
      <c r="BH97" s="28"/>
      <c r="BI97" s="32"/>
      <c r="BJ97" s="27"/>
      <c r="BK97" s="29"/>
      <c r="BL97" s="28"/>
      <c r="BM97" s="32"/>
    </row>
    <row r="98" customFormat="false" ht="15.75" hidden="false" customHeight="true" outlineLevel="0" collapsed="false">
      <c r="A98" s="27"/>
      <c r="B98" s="39" t="str">
        <f aca="false">IFERROR(INDEX(Customers!$C$4:$C$1003,MATCH($A98,Customers!$A$4:$A$1003,0)),"")</f>
        <v/>
      </c>
      <c r="C98" s="31" t="str">
        <f aca="false">IFERROR(INDEX(Customers!$F$4:$F$1003,MATCH($A98,Customers!$A$4:$A$1003,0)),"")</f>
        <v/>
      </c>
      <c r="D98" s="33" t="str">
        <f aca="false">IFERROR(INDEX(Customers!$K$4:$K$1003,MATCH($A98,Customers!$A$4:$A$1003,0)),"")</f>
        <v/>
      </c>
      <c r="E98" s="33" t="str">
        <f aca="false">IF($A98="","",IF($F98=0,"Not Started",IF($BJ98="Completed",Settings!$U$45,IF($BF98="Completed",Settings!$U$44,IF($BB98="Completed",Settings!$U$43,IF($AX98="Completed",Settings!$U$42,IF($AT98="Completed",Settings!$U$41,IF($AP98="Completed",Settings!$U$40,IF($AL98="Completed",Settings!$U$39,IF($AH98="Completed",Settings!$U$38,IF($AD98="Completed",Settings!$U$37,IF($Z98="Completed",Settings!$U$36,IF($V98="Completed",Settings!$U$35,IF($R98="Completed",Settings!$U$34,IF($N98="Completed",Settings!$U$33,IF($J98="Completed",Settings!$U$32,""))))))))))))))))</f>
        <v/>
      </c>
      <c r="F98" s="30" t="str">
        <f aca="false">IF($A98="","",COUNTIF($J98:$BM98,"Completed"))</f>
        <v/>
      </c>
      <c r="G98" s="35" t="str">
        <f aca="false">IF($A98="","",MIN($F98/13,1))</f>
        <v/>
      </c>
      <c r="H98" s="31" t="str">
        <f aca="false">IF($A98="","",IF($BJ98="Completed","Case Completed",IF($AX98="Completed","Visa Rejected",IF($BF98="Completed","Departed to Europe",IF($F98=0,"Not Started","In Progress")))))</f>
        <v/>
      </c>
      <c r="I98" s="30" t="str">
        <f aca="true">IF($K98="","",IF($BK98&lt;&gt;"",$BK98-$K98,IF($AY98&lt;&gt;"",$AY98-$K98,TODAY()-$K98)))</f>
        <v/>
      </c>
      <c r="J98" s="27"/>
      <c r="K98" s="29"/>
      <c r="L98" s="28"/>
      <c r="M98" s="32"/>
      <c r="N98" s="27"/>
      <c r="O98" s="29"/>
      <c r="P98" s="28"/>
      <c r="Q98" s="32"/>
      <c r="R98" s="27"/>
      <c r="S98" s="29"/>
      <c r="T98" s="28"/>
      <c r="U98" s="32"/>
      <c r="V98" s="27"/>
      <c r="W98" s="29"/>
      <c r="X98" s="28"/>
      <c r="Y98" s="32"/>
      <c r="Z98" s="27"/>
      <c r="AA98" s="29"/>
      <c r="AB98" s="28"/>
      <c r="AC98" s="32"/>
      <c r="AD98" s="27"/>
      <c r="AE98" s="29"/>
      <c r="AF98" s="28"/>
      <c r="AG98" s="32"/>
      <c r="AH98" s="27"/>
      <c r="AI98" s="29"/>
      <c r="AJ98" s="28"/>
      <c r="AK98" s="32"/>
      <c r="AL98" s="27"/>
      <c r="AM98" s="29"/>
      <c r="AN98" s="28"/>
      <c r="AO98" s="32"/>
      <c r="AP98" s="27"/>
      <c r="AQ98" s="29"/>
      <c r="AR98" s="28"/>
      <c r="AS98" s="32"/>
      <c r="AT98" s="27"/>
      <c r="AU98" s="29"/>
      <c r="AV98" s="28"/>
      <c r="AW98" s="32"/>
      <c r="AX98" s="27"/>
      <c r="AY98" s="29"/>
      <c r="AZ98" s="28"/>
      <c r="BA98" s="32"/>
      <c r="BB98" s="27"/>
      <c r="BC98" s="29"/>
      <c r="BD98" s="28"/>
      <c r="BE98" s="32"/>
      <c r="BF98" s="27"/>
      <c r="BG98" s="29"/>
      <c r="BH98" s="28"/>
      <c r="BI98" s="32"/>
      <c r="BJ98" s="27"/>
      <c r="BK98" s="29"/>
      <c r="BL98" s="28"/>
      <c r="BM98" s="32"/>
    </row>
    <row r="99" customFormat="false" ht="15.75" hidden="false" customHeight="true" outlineLevel="0" collapsed="false">
      <c r="A99" s="27"/>
      <c r="B99" s="39" t="str">
        <f aca="false">IFERROR(INDEX(Customers!$C$4:$C$1003,MATCH($A99,Customers!$A$4:$A$1003,0)),"")</f>
        <v/>
      </c>
      <c r="C99" s="31" t="str">
        <f aca="false">IFERROR(INDEX(Customers!$F$4:$F$1003,MATCH($A99,Customers!$A$4:$A$1003,0)),"")</f>
        <v/>
      </c>
      <c r="D99" s="33" t="str">
        <f aca="false">IFERROR(INDEX(Customers!$K$4:$K$1003,MATCH($A99,Customers!$A$4:$A$1003,0)),"")</f>
        <v/>
      </c>
      <c r="E99" s="33" t="str">
        <f aca="false">IF($A99="","",IF($F99=0,"Not Started",IF($BJ99="Completed",Settings!$U$45,IF($BF99="Completed",Settings!$U$44,IF($BB99="Completed",Settings!$U$43,IF($AX99="Completed",Settings!$U$42,IF($AT99="Completed",Settings!$U$41,IF($AP99="Completed",Settings!$U$40,IF($AL99="Completed",Settings!$U$39,IF($AH99="Completed",Settings!$U$38,IF($AD99="Completed",Settings!$U$37,IF($Z99="Completed",Settings!$U$36,IF($V99="Completed",Settings!$U$35,IF($R99="Completed",Settings!$U$34,IF($N99="Completed",Settings!$U$33,IF($J99="Completed",Settings!$U$32,""))))))))))))))))</f>
        <v/>
      </c>
      <c r="F99" s="30" t="str">
        <f aca="false">IF($A99="","",COUNTIF($J99:$BM99,"Completed"))</f>
        <v/>
      </c>
      <c r="G99" s="35" t="str">
        <f aca="false">IF($A99="","",MIN($F99/13,1))</f>
        <v/>
      </c>
      <c r="H99" s="31" t="str">
        <f aca="false">IF($A99="","",IF($BJ99="Completed","Case Completed",IF($AX99="Completed","Visa Rejected",IF($BF99="Completed","Departed to Europe",IF($F99=0,"Not Started","In Progress")))))</f>
        <v/>
      </c>
      <c r="I99" s="30" t="str">
        <f aca="true">IF($K99="","",IF($BK99&lt;&gt;"",$BK99-$K99,IF($AY99&lt;&gt;"",$AY99-$K99,TODAY()-$K99)))</f>
        <v/>
      </c>
      <c r="J99" s="27"/>
      <c r="K99" s="29"/>
      <c r="L99" s="28"/>
      <c r="M99" s="32"/>
      <c r="N99" s="27"/>
      <c r="O99" s="29"/>
      <c r="P99" s="28"/>
      <c r="Q99" s="32"/>
      <c r="R99" s="27"/>
      <c r="S99" s="29"/>
      <c r="T99" s="28"/>
      <c r="U99" s="32"/>
      <c r="V99" s="27"/>
      <c r="W99" s="29"/>
      <c r="X99" s="28"/>
      <c r="Y99" s="32"/>
      <c r="Z99" s="27"/>
      <c r="AA99" s="29"/>
      <c r="AB99" s="28"/>
      <c r="AC99" s="32"/>
      <c r="AD99" s="27"/>
      <c r="AE99" s="29"/>
      <c r="AF99" s="28"/>
      <c r="AG99" s="32"/>
      <c r="AH99" s="27"/>
      <c r="AI99" s="29"/>
      <c r="AJ99" s="28"/>
      <c r="AK99" s="32"/>
      <c r="AL99" s="27"/>
      <c r="AM99" s="29"/>
      <c r="AN99" s="28"/>
      <c r="AO99" s="32"/>
      <c r="AP99" s="27"/>
      <c r="AQ99" s="29"/>
      <c r="AR99" s="28"/>
      <c r="AS99" s="32"/>
      <c r="AT99" s="27"/>
      <c r="AU99" s="29"/>
      <c r="AV99" s="28"/>
      <c r="AW99" s="32"/>
      <c r="AX99" s="27"/>
      <c r="AY99" s="29"/>
      <c r="AZ99" s="28"/>
      <c r="BA99" s="32"/>
      <c r="BB99" s="27"/>
      <c r="BC99" s="29"/>
      <c r="BD99" s="28"/>
      <c r="BE99" s="32"/>
      <c r="BF99" s="27"/>
      <c r="BG99" s="29"/>
      <c r="BH99" s="28"/>
      <c r="BI99" s="32"/>
      <c r="BJ99" s="27"/>
      <c r="BK99" s="29"/>
      <c r="BL99" s="28"/>
      <c r="BM99" s="32"/>
    </row>
    <row r="100" customFormat="false" ht="15.75" hidden="false" customHeight="true" outlineLevel="0" collapsed="false">
      <c r="A100" s="27"/>
      <c r="B100" s="39" t="str">
        <f aca="false">IFERROR(INDEX(Customers!$C$4:$C$1003,MATCH($A100,Customers!$A$4:$A$1003,0)),"")</f>
        <v/>
      </c>
      <c r="C100" s="31" t="str">
        <f aca="false">IFERROR(INDEX(Customers!$F$4:$F$1003,MATCH($A100,Customers!$A$4:$A$1003,0)),"")</f>
        <v/>
      </c>
      <c r="D100" s="33" t="str">
        <f aca="false">IFERROR(INDEX(Customers!$K$4:$K$1003,MATCH($A100,Customers!$A$4:$A$1003,0)),"")</f>
        <v/>
      </c>
      <c r="E100" s="33" t="str">
        <f aca="false">IF($A100="","",IF($F100=0,"Not Started",IF($BJ100="Completed",Settings!$U$45,IF($BF100="Completed",Settings!$U$44,IF($BB100="Completed",Settings!$U$43,IF($AX100="Completed",Settings!$U$42,IF($AT100="Completed",Settings!$U$41,IF($AP100="Completed",Settings!$U$40,IF($AL100="Completed",Settings!$U$39,IF($AH100="Completed",Settings!$U$38,IF($AD100="Completed",Settings!$U$37,IF($Z100="Completed",Settings!$U$36,IF($V100="Completed",Settings!$U$35,IF($R100="Completed",Settings!$U$34,IF($N100="Completed",Settings!$U$33,IF($J100="Completed",Settings!$U$32,""))))))))))))))))</f>
        <v/>
      </c>
      <c r="F100" s="30" t="str">
        <f aca="false">IF($A100="","",COUNTIF($J100:$BM100,"Completed"))</f>
        <v/>
      </c>
      <c r="G100" s="35" t="str">
        <f aca="false">IF($A100="","",MIN($F100/13,1))</f>
        <v/>
      </c>
      <c r="H100" s="31" t="str">
        <f aca="false">IF($A100="","",IF($BJ100="Completed","Case Completed",IF($AX100="Completed","Visa Rejected",IF($BF100="Completed","Departed to Europe",IF($F100=0,"Not Started","In Progress")))))</f>
        <v/>
      </c>
      <c r="I100" s="30" t="str">
        <f aca="true">IF($K100="","",IF($BK100&lt;&gt;"",$BK100-$K100,IF($AY100&lt;&gt;"",$AY100-$K100,TODAY()-$K100)))</f>
        <v/>
      </c>
      <c r="J100" s="27"/>
      <c r="K100" s="29"/>
      <c r="L100" s="28"/>
      <c r="M100" s="32"/>
      <c r="N100" s="27"/>
      <c r="O100" s="29"/>
      <c r="P100" s="28"/>
      <c r="Q100" s="32"/>
      <c r="R100" s="27"/>
      <c r="S100" s="29"/>
      <c r="T100" s="28"/>
      <c r="U100" s="32"/>
      <c r="V100" s="27"/>
      <c r="W100" s="29"/>
      <c r="X100" s="28"/>
      <c r="Y100" s="32"/>
      <c r="Z100" s="27"/>
      <c r="AA100" s="29"/>
      <c r="AB100" s="28"/>
      <c r="AC100" s="32"/>
      <c r="AD100" s="27"/>
      <c r="AE100" s="29"/>
      <c r="AF100" s="28"/>
      <c r="AG100" s="32"/>
      <c r="AH100" s="27"/>
      <c r="AI100" s="29"/>
      <c r="AJ100" s="28"/>
      <c r="AK100" s="32"/>
      <c r="AL100" s="27"/>
      <c r="AM100" s="29"/>
      <c r="AN100" s="28"/>
      <c r="AO100" s="32"/>
      <c r="AP100" s="27"/>
      <c r="AQ100" s="29"/>
      <c r="AR100" s="28"/>
      <c r="AS100" s="32"/>
      <c r="AT100" s="27"/>
      <c r="AU100" s="29"/>
      <c r="AV100" s="28"/>
      <c r="AW100" s="32"/>
      <c r="AX100" s="27"/>
      <c r="AY100" s="29"/>
      <c r="AZ100" s="28"/>
      <c r="BA100" s="32"/>
      <c r="BB100" s="27"/>
      <c r="BC100" s="29"/>
      <c r="BD100" s="28"/>
      <c r="BE100" s="32"/>
      <c r="BF100" s="27"/>
      <c r="BG100" s="29"/>
      <c r="BH100" s="28"/>
      <c r="BI100" s="32"/>
      <c r="BJ100" s="27"/>
      <c r="BK100" s="29"/>
      <c r="BL100" s="28"/>
      <c r="BM100" s="32"/>
    </row>
    <row r="101" customFormat="false" ht="15.75" hidden="false" customHeight="true" outlineLevel="0" collapsed="false">
      <c r="A101" s="27"/>
      <c r="B101" s="39" t="str">
        <f aca="false">IFERROR(INDEX(Customers!$C$4:$C$1003,MATCH($A101,Customers!$A$4:$A$1003,0)),"")</f>
        <v/>
      </c>
      <c r="C101" s="31" t="str">
        <f aca="false">IFERROR(INDEX(Customers!$F$4:$F$1003,MATCH($A101,Customers!$A$4:$A$1003,0)),"")</f>
        <v/>
      </c>
      <c r="D101" s="33" t="str">
        <f aca="false">IFERROR(INDEX(Customers!$K$4:$K$1003,MATCH($A101,Customers!$A$4:$A$1003,0)),"")</f>
        <v/>
      </c>
      <c r="E101" s="33" t="str">
        <f aca="false">IF($A101="","",IF($F101=0,"Not Started",IF($BJ101="Completed",Settings!$U$45,IF($BF101="Completed",Settings!$U$44,IF($BB101="Completed",Settings!$U$43,IF($AX101="Completed",Settings!$U$42,IF($AT101="Completed",Settings!$U$41,IF($AP101="Completed",Settings!$U$40,IF($AL101="Completed",Settings!$U$39,IF($AH101="Completed",Settings!$U$38,IF($AD101="Completed",Settings!$U$37,IF($Z101="Completed",Settings!$U$36,IF($V101="Completed",Settings!$U$35,IF($R101="Completed",Settings!$U$34,IF($N101="Completed",Settings!$U$33,IF($J101="Completed",Settings!$U$32,""))))))))))))))))</f>
        <v/>
      </c>
      <c r="F101" s="30" t="str">
        <f aca="false">IF($A101="","",COUNTIF($J101:$BM101,"Completed"))</f>
        <v/>
      </c>
      <c r="G101" s="35" t="str">
        <f aca="false">IF($A101="","",MIN($F101/13,1))</f>
        <v/>
      </c>
      <c r="H101" s="31" t="str">
        <f aca="false">IF($A101="","",IF($BJ101="Completed","Case Completed",IF($AX101="Completed","Visa Rejected",IF($BF101="Completed","Departed to Europe",IF($F101=0,"Not Started","In Progress")))))</f>
        <v/>
      </c>
      <c r="I101" s="30" t="str">
        <f aca="true">IF($K101="","",IF($BK101&lt;&gt;"",$BK101-$K101,IF($AY101&lt;&gt;"",$AY101-$K101,TODAY()-$K101)))</f>
        <v/>
      </c>
      <c r="J101" s="27"/>
      <c r="K101" s="29"/>
      <c r="L101" s="28"/>
      <c r="M101" s="32"/>
      <c r="N101" s="27"/>
      <c r="O101" s="29"/>
      <c r="P101" s="28"/>
      <c r="Q101" s="32"/>
      <c r="R101" s="27"/>
      <c r="S101" s="29"/>
      <c r="T101" s="28"/>
      <c r="U101" s="32"/>
      <c r="V101" s="27"/>
      <c r="W101" s="29"/>
      <c r="X101" s="28"/>
      <c r="Y101" s="32"/>
      <c r="Z101" s="27"/>
      <c r="AA101" s="29"/>
      <c r="AB101" s="28"/>
      <c r="AC101" s="32"/>
      <c r="AD101" s="27"/>
      <c r="AE101" s="29"/>
      <c r="AF101" s="28"/>
      <c r="AG101" s="32"/>
      <c r="AH101" s="27"/>
      <c r="AI101" s="29"/>
      <c r="AJ101" s="28"/>
      <c r="AK101" s="32"/>
      <c r="AL101" s="27"/>
      <c r="AM101" s="29"/>
      <c r="AN101" s="28"/>
      <c r="AO101" s="32"/>
      <c r="AP101" s="27"/>
      <c r="AQ101" s="29"/>
      <c r="AR101" s="28"/>
      <c r="AS101" s="32"/>
      <c r="AT101" s="27"/>
      <c r="AU101" s="29"/>
      <c r="AV101" s="28"/>
      <c r="AW101" s="32"/>
      <c r="AX101" s="27"/>
      <c r="AY101" s="29"/>
      <c r="AZ101" s="28"/>
      <c r="BA101" s="32"/>
      <c r="BB101" s="27"/>
      <c r="BC101" s="29"/>
      <c r="BD101" s="28"/>
      <c r="BE101" s="32"/>
      <c r="BF101" s="27"/>
      <c r="BG101" s="29"/>
      <c r="BH101" s="28"/>
      <c r="BI101" s="32"/>
      <c r="BJ101" s="27"/>
      <c r="BK101" s="29"/>
      <c r="BL101" s="28"/>
      <c r="BM101" s="32"/>
    </row>
    <row r="102" customFormat="false" ht="15.75" hidden="false" customHeight="true" outlineLevel="0" collapsed="false">
      <c r="A102" s="27"/>
      <c r="B102" s="39" t="str">
        <f aca="false">IFERROR(INDEX(Customers!$C$4:$C$1003,MATCH($A102,Customers!$A$4:$A$1003,0)),"")</f>
        <v/>
      </c>
      <c r="C102" s="31" t="str">
        <f aca="false">IFERROR(INDEX(Customers!$F$4:$F$1003,MATCH($A102,Customers!$A$4:$A$1003,0)),"")</f>
        <v/>
      </c>
      <c r="D102" s="33" t="str">
        <f aca="false">IFERROR(INDEX(Customers!$K$4:$K$1003,MATCH($A102,Customers!$A$4:$A$1003,0)),"")</f>
        <v/>
      </c>
      <c r="E102" s="33" t="str">
        <f aca="false">IF($A102="","",IF($F102=0,"Not Started",IF($BJ102="Completed",Settings!$U$45,IF($BF102="Completed",Settings!$U$44,IF($BB102="Completed",Settings!$U$43,IF($AX102="Completed",Settings!$U$42,IF($AT102="Completed",Settings!$U$41,IF($AP102="Completed",Settings!$U$40,IF($AL102="Completed",Settings!$U$39,IF($AH102="Completed",Settings!$U$38,IF($AD102="Completed",Settings!$U$37,IF($Z102="Completed",Settings!$U$36,IF($V102="Completed",Settings!$U$35,IF($R102="Completed",Settings!$U$34,IF($N102="Completed",Settings!$U$33,IF($J102="Completed",Settings!$U$32,""))))))))))))))))</f>
        <v/>
      </c>
      <c r="F102" s="30" t="str">
        <f aca="false">IF($A102="","",COUNTIF($J102:$BM102,"Completed"))</f>
        <v/>
      </c>
      <c r="G102" s="35" t="str">
        <f aca="false">IF($A102="","",MIN($F102/13,1))</f>
        <v/>
      </c>
      <c r="H102" s="31" t="str">
        <f aca="false">IF($A102="","",IF($BJ102="Completed","Case Completed",IF($AX102="Completed","Visa Rejected",IF($BF102="Completed","Departed to Europe",IF($F102=0,"Not Started","In Progress")))))</f>
        <v/>
      </c>
      <c r="I102" s="30" t="str">
        <f aca="true">IF($K102="","",IF($BK102&lt;&gt;"",$BK102-$K102,IF($AY102&lt;&gt;"",$AY102-$K102,TODAY()-$K102)))</f>
        <v/>
      </c>
      <c r="J102" s="27"/>
      <c r="K102" s="29"/>
      <c r="L102" s="28"/>
      <c r="M102" s="32"/>
      <c r="N102" s="27"/>
      <c r="O102" s="29"/>
      <c r="P102" s="28"/>
      <c r="Q102" s="32"/>
      <c r="R102" s="27"/>
      <c r="S102" s="29"/>
      <c r="T102" s="28"/>
      <c r="U102" s="32"/>
      <c r="V102" s="27"/>
      <c r="W102" s="29"/>
      <c r="X102" s="28"/>
      <c r="Y102" s="32"/>
      <c r="Z102" s="27"/>
      <c r="AA102" s="29"/>
      <c r="AB102" s="28"/>
      <c r="AC102" s="32"/>
      <c r="AD102" s="27"/>
      <c r="AE102" s="29"/>
      <c r="AF102" s="28"/>
      <c r="AG102" s="32"/>
      <c r="AH102" s="27"/>
      <c r="AI102" s="29"/>
      <c r="AJ102" s="28"/>
      <c r="AK102" s="32"/>
      <c r="AL102" s="27"/>
      <c r="AM102" s="29"/>
      <c r="AN102" s="28"/>
      <c r="AO102" s="32"/>
      <c r="AP102" s="27"/>
      <c r="AQ102" s="29"/>
      <c r="AR102" s="28"/>
      <c r="AS102" s="32"/>
      <c r="AT102" s="27"/>
      <c r="AU102" s="29"/>
      <c r="AV102" s="28"/>
      <c r="AW102" s="32"/>
      <c r="AX102" s="27"/>
      <c r="AY102" s="29"/>
      <c r="AZ102" s="28"/>
      <c r="BA102" s="32"/>
      <c r="BB102" s="27"/>
      <c r="BC102" s="29"/>
      <c r="BD102" s="28"/>
      <c r="BE102" s="32"/>
      <c r="BF102" s="27"/>
      <c r="BG102" s="29"/>
      <c r="BH102" s="28"/>
      <c r="BI102" s="32"/>
      <c r="BJ102" s="27"/>
      <c r="BK102" s="29"/>
      <c r="BL102" s="28"/>
      <c r="BM102" s="32"/>
    </row>
    <row r="103" customFormat="false" ht="15.75" hidden="false" customHeight="true" outlineLevel="0" collapsed="false">
      <c r="A103" s="27"/>
      <c r="B103" s="39" t="str">
        <f aca="false">IFERROR(INDEX(Customers!$C$4:$C$1003,MATCH($A103,Customers!$A$4:$A$1003,0)),"")</f>
        <v/>
      </c>
      <c r="C103" s="31" t="str">
        <f aca="false">IFERROR(INDEX(Customers!$F$4:$F$1003,MATCH($A103,Customers!$A$4:$A$1003,0)),"")</f>
        <v/>
      </c>
      <c r="D103" s="33" t="str">
        <f aca="false">IFERROR(INDEX(Customers!$K$4:$K$1003,MATCH($A103,Customers!$A$4:$A$1003,0)),"")</f>
        <v/>
      </c>
      <c r="E103" s="33" t="str">
        <f aca="false">IF($A103="","",IF($F103=0,"Not Started",IF($BJ103="Completed",Settings!$U$45,IF($BF103="Completed",Settings!$U$44,IF($BB103="Completed",Settings!$U$43,IF($AX103="Completed",Settings!$U$42,IF($AT103="Completed",Settings!$U$41,IF($AP103="Completed",Settings!$U$40,IF($AL103="Completed",Settings!$U$39,IF($AH103="Completed",Settings!$U$38,IF($AD103="Completed",Settings!$U$37,IF($Z103="Completed",Settings!$U$36,IF($V103="Completed",Settings!$U$35,IF($R103="Completed",Settings!$U$34,IF($N103="Completed",Settings!$U$33,IF($J103="Completed",Settings!$U$32,""))))))))))))))))</f>
        <v/>
      </c>
      <c r="F103" s="30" t="str">
        <f aca="false">IF($A103="","",COUNTIF($J103:$BM103,"Completed"))</f>
        <v/>
      </c>
      <c r="G103" s="35" t="str">
        <f aca="false">IF($A103="","",MIN($F103/13,1))</f>
        <v/>
      </c>
      <c r="H103" s="31" t="str">
        <f aca="false">IF($A103="","",IF($BJ103="Completed","Case Completed",IF($AX103="Completed","Visa Rejected",IF($BF103="Completed","Departed to Europe",IF($F103=0,"Not Started","In Progress")))))</f>
        <v/>
      </c>
      <c r="I103" s="30" t="str">
        <f aca="true">IF($K103="","",IF($BK103&lt;&gt;"",$BK103-$K103,IF($AY103&lt;&gt;"",$AY103-$K103,TODAY()-$K103)))</f>
        <v/>
      </c>
      <c r="J103" s="27"/>
      <c r="K103" s="29"/>
      <c r="L103" s="28"/>
      <c r="M103" s="32"/>
      <c r="N103" s="27"/>
      <c r="O103" s="29"/>
      <c r="P103" s="28"/>
      <c r="Q103" s="32"/>
      <c r="R103" s="27"/>
      <c r="S103" s="29"/>
      <c r="T103" s="28"/>
      <c r="U103" s="32"/>
      <c r="V103" s="27"/>
      <c r="W103" s="29"/>
      <c r="X103" s="28"/>
      <c r="Y103" s="32"/>
      <c r="Z103" s="27"/>
      <c r="AA103" s="29"/>
      <c r="AB103" s="28"/>
      <c r="AC103" s="32"/>
      <c r="AD103" s="27"/>
      <c r="AE103" s="29"/>
      <c r="AF103" s="28"/>
      <c r="AG103" s="32"/>
      <c r="AH103" s="27"/>
      <c r="AI103" s="29"/>
      <c r="AJ103" s="28"/>
      <c r="AK103" s="32"/>
      <c r="AL103" s="27"/>
      <c r="AM103" s="29"/>
      <c r="AN103" s="28"/>
      <c r="AO103" s="32"/>
      <c r="AP103" s="27"/>
      <c r="AQ103" s="29"/>
      <c r="AR103" s="28"/>
      <c r="AS103" s="32"/>
      <c r="AT103" s="27"/>
      <c r="AU103" s="29"/>
      <c r="AV103" s="28"/>
      <c r="AW103" s="32"/>
      <c r="AX103" s="27"/>
      <c r="AY103" s="29"/>
      <c r="AZ103" s="28"/>
      <c r="BA103" s="32"/>
      <c r="BB103" s="27"/>
      <c r="BC103" s="29"/>
      <c r="BD103" s="28"/>
      <c r="BE103" s="32"/>
      <c r="BF103" s="27"/>
      <c r="BG103" s="29"/>
      <c r="BH103" s="28"/>
      <c r="BI103" s="32"/>
      <c r="BJ103" s="27"/>
      <c r="BK103" s="29"/>
      <c r="BL103" s="28"/>
      <c r="BM103" s="32"/>
    </row>
    <row r="104" customFormat="false" ht="15.75" hidden="false" customHeight="true" outlineLevel="0" collapsed="false">
      <c r="A104" s="27"/>
      <c r="B104" s="39" t="str">
        <f aca="false">IFERROR(INDEX(Customers!$C$4:$C$1003,MATCH($A104,Customers!$A$4:$A$1003,0)),"")</f>
        <v/>
      </c>
      <c r="C104" s="31" t="str">
        <f aca="false">IFERROR(INDEX(Customers!$F$4:$F$1003,MATCH($A104,Customers!$A$4:$A$1003,0)),"")</f>
        <v/>
      </c>
      <c r="D104" s="33" t="str">
        <f aca="false">IFERROR(INDEX(Customers!$K$4:$K$1003,MATCH($A104,Customers!$A$4:$A$1003,0)),"")</f>
        <v/>
      </c>
      <c r="E104" s="33" t="str">
        <f aca="false">IF($A104="","",IF($F104=0,"Not Started",IF($BJ104="Completed",Settings!$U$45,IF($BF104="Completed",Settings!$U$44,IF($BB104="Completed",Settings!$U$43,IF($AX104="Completed",Settings!$U$42,IF($AT104="Completed",Settings!$U$41,IF($AP104="Completed",Settings!$U$40,IF($AL104="Completed",Settings!$U$39,IF($AH104="Completed",Settings!$U$38,IF($AD104="Completed",Settings!$U$37,IF($Z104="Completed",Settings!$U$36,IF($V104="Completed",Settings!$U$35,IF($R104="Completed",Settings!$U$34,IF($N104="Completed",Settings!$U$33,IF($J104="Completed",Settings!$U$32,""))))))))))))))))</f>
        <v/>
      </c>
      <c r="F104" s="30" t="str">
        <f aca="false">IF($A104="","",COUNTIF($J104:$BM104,"Completed"))</f>
        <v/>
      </c>
      <c r="G104" s="35" t="str">
        <f aca="false">IF($A104="","",MIN($F104/13,1))</f>
        <v/>
      </c>
      <c r="H104" s="31" t="str">
        <f aca="false">IF($A104="","",IF($BJ104="Completed","Case Completed",IF($AX104="Completed","Visa Rejected",IF($BF104="Completed","Departed to Europe",IF($F104=0,"Not Started","In Progress")))))</f>
        <v/>
      </c>
      <c r="I104" s="30" t="str">
        <f aca="true">IF($K104="","",IF($BK104&lt;&gt;"",$BK104-$K104,IF($AY104&lt;&gt;"",$AY104-$K104,TODAY()-$K104)))</f>
        <v/>
      </c>
      <c r="J104" s="27"/>
      <c r="K104" s="29"/>
      <c r="L104" s="28"/>
      <c r="M104" s="32"/>
      <c r="N104" s="27"/>
      <c r="O104" s="29"/>
      <c r="P104" s="28"/>
      <c r="Q104" s="32"/>
      <c r="R104" s="27"/>
      <c r="S104" s="29"/>
      <c r="T104" s="28"/>
      <c r="U104" s="32"/>
      <c r="V104" s="27"/>
      <c r="W104" s="29"/>
      <c r="X104" s="28"/>
      <c r="Y104" s="32"/>
      <c r="Z104" s="27"/>
      <c r="AA104" s="29"/>
      <c r="AB104" s="28"/>
      <c r="AC104" s="32"/>
      <c r="AD104" s="27"/>
      <c r="AE104" s="29"/>
      <c r="AF104" s="28"/>
      <c r="AG104" s="32"/>
      <c r="AH104" s="27"/>
      <c r="AI104" s="29"/>
      <c r="AJ104" s="28"/>
      <c r="AK104" s="32"/>
      <c r="AL104" s="27"/>
      <c r="AM104" s="29"/>
      <c r="AN104" s="28"/>
      <c r="AO104" s="32"/>
      <c r="AP104" s="27"/>
      <c r="AQ104" s="29"/>
      <c r="AR104" s="28"/>
      <c r="AS104" s="32"/>
      <c r="AT104" s="27"/>
      <c r="AU104" s="29"/>
      <c r="AV104" s="28"/>
      <c r="AW104" s="32"/>
      <c r="AX104" s="27"/>
      <c r="AY104" s="29"/>
      <c r="AZ104" s="28"/>
      <c r="BA104" s="32"/>
      <c r="BB104" s="27"/>
      <c r="BC104" s="29"/>
      <c r="BD104" s="28"/>
      <c r="BE104" s="32"/>
      <c r="BF104" s="27"/>
      <c r="BG104" s="29"/>
      <c r="BH104" s="28"/>
      <c r="BI104" s="32"/>
      <c r="BJ104" s="27"/>
      <c r="BK104" s="29"/>
      <c r="BL104" s="28"/>
      <c r="BM104" s="32"/>
    </row>
    <row r="105" customFormat="false" ht="15.75" hidden="false" customHeight="true" outlineLevel="0" collapsed="false">
      <c r="A105" s="27"/>
      <c r="B105" s="39" t="str">
        <f aca="false">IFERROR(INDEX(Customers!$C$4:$C$1003,MATCH($A105,Customers!$A$4:$A$1003,0)),"")</f>
        <v/>
      </c>
      <c r="C105" s="31" t="str">
        <f aca="false">IFERROR(INDEX(Customers!$F$4:$F$1003,MATCH($A105,Customers!$A$4:$A$1003,0)),"")</f>
        <v/>
      </c>
      <c r="D105" s="33" t="str">
        <f aca="false">IFERROR(INDEX(Customers!$K$4:$K$1003,MATCH($A105,Customers!$A$4:$A$1003,0)),"")</f>
        <v/>
      </c>
      <c r="E105" s="33" t="str">
        <f aca="false">IF($A105="","",IF($F105=0,"Not Started",IF($BJ105="Completed",Settings!$U$45,IF($BF105="Completed",Settings!$U$44,IF($BB105="Completed",Settings!$U$43,IF($AX105="Completed",Settings!$U$42,IF($AT105="Completed",Settings!$U$41,IF($AP105="Completed",Settings!$U$40,IF($AL105="Completed",Settings!$U$39,IF($AH105="Completed",Settings!$U$38,IF($AD105="Completed",Settings!$U$37,IF($Z105="Completed",Settings!$U$36,IF($V105="Completed",Settings!$U$35,IF($R105="Completed",Settings!$U$34,IF($N105="Completed",Settings!$U$33,IF($J105="Completed",Settings!$U$32,""))))))))))))))))</f>
        <v/>
      </c>
      <c r="F105" s="30" t="str">
        <f aca="false">IF($A105="","",COUNTIF($J105:$BM105,"Completed"))</f>
        <v/>
      </c>
      <c r="G105" s="35" t="str">
        <f aca="false">IF($A105="","",MIN($F105/13,1))</f>
        <v/>
      </c>
      <c r="H105" s="31" t="str">
        <f aca="false">IF($A105="","",IF($BJ105="Completed","Case Completed",IF($AX105="Completed","Visa Rejected",IF($BF105="Completed","Departed to Europe",IF($F105=0,"Not Started","In Progress")))))</f>
        <v/>
      </c>
      <c r="I105" s="30" t="str">
        <f aca="true">IF($K105="","",IF($BK105&lt;&gt;"",$BK105-$K105,IF($AY105&lt;&gt;"",$AY105-$K105,TODAY()-$K105)))</f>
        <v/>
      </c>
      <c r="J105" s="27"/>
      <c r="K105" s="29"/>
      <c r="L105" s="28"/>
      <c r="M105" s="32"/>
      <c r="N105" s="27"/>
      <c r="O105" s="29"/>
      <c r="P105" s="28"/>
      <c r="Q105" s="32"/>
      <c r="R105" s="27"/>
      <c r="S105" s="29"/>
      <c r="T105" s="28"/>
      <c r="U105" s="32"/>
      <c r="V105" s="27"/>
      <c r="W105" s="29"/>
      <c r="X105" s="28"/>
      <c r="Y105" s="32"/>
      <c r="Z105" s="27"/>
      <c r="AA105" s="29"/>
      <c r="AB105" s="28"/>
      <c r="AC105" s="32"/>
      <c r="AD105" s="27"/>
      <c r="AE105" s="29"/>
      <c r="AF105" s="28"/>
      <c r="AG105" s="32"/>
      <c r="AH105" s="27"/>
      <c r="AI105" s="29"/>
      <c r="AJ105" s="28"/>
      <c r="AK105" s="32"/>
      <c r="AL105" s="27"/>
      <c r="AM105" s="29"/>
      <c r="AN105" s="28"/>
      <c r="AO105" s="32"/>
      <c r="AP105" s="27"/>
      <c r="AQ105" s="29"/>
      <c r="AR105" s="28"/>
      <c r="AS105" s="32"/>
      <c r="AT105" s="27"/>
      <c r="AU105" s="29"/>
      <c r="AV105" s="28"/>
      <c r="AW105" s="32"/>
      <c r="AX105" s="27"/>
      <c r="AY105" s="29"/>
      <c r="AZ105" s="28"/>
      <c r="BA105" s="32"/>
      <c r="BB105" s="27"/>
      <c r="BC105" s="29"/>
      <c r="BD105" s="28"/>
      <c r="BE105" s="32"/>
      <c r="BF105" s="27"/>
      <c r="BG105" s="29"/>
      <c r="BH105" s="28"/>
      <c r="BI105" s="32"/>
      <c r="BJ105" s="27"/>
      <c r="BK105" s="29"/>
      <c r="BL105" s="28"/>
      <c r="BM105" s="32"/>
    </row>
    <row r="106" customFormat="false" ht="15.75" hidden="false" customHeight="true" outlineLevel="0" collapsed="false">
      <c r="A106" s="27"/>
      <c r="B106" s="39" t="str">
        <f aca="false">IFERROR(INDEX(Customers!$C$4:$C$1003,MATCH($A106,Customers!$A$4:$A$1003,0)),"")</f>
        <v/>
      </c>
      <c r="C106" s="31" t="str">
        <f aca="false">IFERROR(INDEX(Customers!$F$4:$F$1003,MATCH($A106,Customers!$A$4:$A$1003,0)),"")</f>
        <v/>
      </c>
      <c r="D106" s="33" t="str">
        <f aca="false">IFERROR(INDEX(Customers!$K$4:$K$1003,MATCH($A106,Customers!$A$4:$A$1003,0)),"")</f>
        <v/>
      </c>
      <c r="E106" s="33" t="str">
        <f aca="false">IF($A106="","",IF($F106=0,"Not Started",IF($BJ106="Completed",Settings!$U$45,IF($BF106="Completed",Settings!$U$44,IF($BB106="Completed",Settings!$U$43,IF($AX106="Completed",Settings!$U$42,IF($AT106="Completed",Settings!$U$41,IF($AP106="Completed",Settings!$U$40,IF($AL106="Completed",Settings!$U$39,IF($AH106="Completed",Settings!$U$38,IF($AD106="Completed",Settings!$U$37,IF($Z106="Completed",Settings!$U$36,IF($V106="Completed",Settings!$U$35,IF($R106="Completed",Settings!$U$34,IF($N106="Completed",Settings!$U$33,IF($J106="Completed",Settings!$U$32,""))))))))))))))))</f>
        <v/>
      </c>
      <c r="F106" s="30" t="str">
        <f aca="false">IF($A106="","",COUNTIF($J106:$BM106,"Completed"))</f>
        <v/>
      </c>
      <c r="G106" s="35" t="str">
        <f aca="false">IF($A106="","",MIN($F106/13,1))</f>
        <v/>
      </c>
      <c r="H106" s="31" t="str">
        <f aca="false">IF($A106="","",IF($BJ106="Completed","Case Completed",IF($AX106="Completed","Visa Rejected",IF($BF106="Completed","Departed to Europe",IF($F106=0,"Not Started","In Progress")))))</f>
        <v/>
      </c>
      <c r="I106" s="30" t="str">
        <f aca="true">IF($K106="","",IF($BK106&lt;&gt;"",$BK106-$K106,IF($AY106&lt;&gt;"",$AY106-$K106,TODAY()-$K106)))</f>
        <v/>
      </c>
      <c r="J106" s="27"/>
      <c r="K106" s="29"/>
      <c r="L106" s="28"/>
      <c r="M106" s="32"/>
      <c r="N106" s="27"/>
      <c r="O106" s="29"/>
      <c r="P106" s="28"/>
      <c r="Q106" s="32"/>
      <c r="R106" s="27"/>
      <c r="S106" s="29"/>
      <c r="T106" s="28"/>
      <c r="U106" s="32"/>
      <c r="V106" s="27"/>
      <c r="W106" s="29"/>
      <c r="X106" s="28"/>
      <c r="Y106" s="32"/>
      <c r="Z106" s="27"/>
      <c r="AA106" s="29"/>
      <c r="AB106" s="28"/>
      <c r="AC106" s="32"/>
      <c r="AD106" s="27"/>
      <c r="AE106" s="29"/>
      <c r="AF106" s="28"/>
      <c r="AG106" s="32"/>
      <c r="AH106" s="27"/>
      <c r="AI106" s="29"/>
      <c r="AJ106" s="28"/>
      <c r="AK106" s="32"/>
      <c r="AL106" s="27"/>
      <c r="AM106" s="29"/>
      <c r="AN106" s="28"/>
      <c r="AO106" s="32"/>
      <c r="AP106" s="27"/>
      <c r="AQ106" s="29"/>
      <c r="AR106" s="28"/>
      <c r="AS106" s="32"/>
      <c r="AT106" s="27"/>
      <c r="AU106" s="29"/>
      <c r="AV106" s="28"/>
      <c r="AW106" s="32"/>
      <c r="AX106" s="27"/>
      <c r="AY106" s="29"/>
      <c r="AZ106" s="28"/>
      <c r="BA106" s="32"/>
      <c r="BB106" s="27"/>
      <c r="BC106" s="29"/>
      <c r="BD106" s="28"/>
      <c r="BE106" s="32"/>
      <c r="BF106" s="27"/>
      <c r="BG106" s="29"/>
      <c r="BH106" s="28"/>
      <c r="BI106" s="32"/>
      <c r="BJ106" s="27"/>
      <c r="BK106" s="29"/>
      <c r="BL106" s="28"/>
      <c r="BM106" s="32"/>
    </row>
    <row r="107" customFormat="false" ht="15.75" hidden="false" customHeight="true" outlineLevel="0" collapsed="false">
      <c r="A107" s="27"/>
      <c r="B107" s="39" t="str">
        <f aca="false">IFERROR(INDEX(Customers!$C$4:$C$1003,MATCH($A107,Customers!$A$4:$A$1003,0)),"")</f>
        <v/>
      </c>
      <c r="C107" s="31" t="str">
        <f aca="false">IFERROR(INDEX(Customers!$F$4:$F$1003,MATCH($A107,Customers!$A$4:$A$1003,0)),"")</f>
        <v/>
      </c>
      <c r="D107" s="33" t="str">
        <f aca="false">IFERROR(INDEX(Customers!$K$4:$K$1003,MATCH($A107,Customers!$A$4:$A$1003,0)),"")</f>
        <v/>
      </c>
      <c r="E107" s="33" t="str">
        <f aca="false">IF($A107="","",IF($F107=0,"Not Started",IF($BJ107="Completed",Settings!$U$45,IF($BF107="Completed",Settings!$U$44,IF($BB107="Completed",Settings!$U$43,IF($AX107="Completed",Settings!$U$42,IF($AT107="Completed",Settings!$U$41,IF($AP107="Completed",Settings!$U$40,IF($AL107="Completed",Settings!$U$39,IF($AH107="Completed",Settings!$U$38,IF($AD107="Completed",Settings!$U$37,IF($Z107="Completed",Settings!$U$36,IF($V107="Completed",Settings!$U$35,IF($R107="Completed",Settings!$U$34,IF($N107="Completed",Settings!$U$33,IF($J107="Completed",Settings!$U$32,""))))))))))))))))</f>
        <v/>
      </c>
      <c r="F107" s="30" t="str">
        <f aca="false">IF($A107="","",COUNTIF($J107:$BM107,"Completed"))</f>
        <v/>
      </c>
      <c r="G107" s="35" t="str">
        <f aca="false">IF($A107="","",MIN($F107/13,1))</f>
        <v/>
      </c>
      <c r="H107" s="31" t="str">
        <f aca="false">IF($A107="","",IF($BJ107="Completed","Case Completed",IF($AX107="Completed","Visa Rejected",IF($BF107="Completed","Departed to Europe",IF($F107=0,"Not Started","In Progress")))))</f>
        <v/>
      </c>
      <c r="I107" s="30" t="str">
        <f aca="true">IF($K107="","",IF($BK107&lt;&gt;"",$BK107-$K107,IF($AY107&lt;&gt;"",$AY107-$K107,TODAY()-$K107)))</f>
        <v/>
      </c>
      <c r="J107" s="27"/>
      <c r="K107" s="29"/>
      <c r="L107" s="28"/>
      <c r="M107" s="32"/>
      <c r="N107" s="27"/>
      <c r="O107" s="29"/>
      <c r="P107" s="28"/>
      <c r="Q107" s="32"/>
      <c r="R107" s="27"/>
      <c r="S107" s="29"/>
      <c r="T107" s="28"/>
      <c r="U107" s="32"/>
      <c r="V107" s="27"/>
      <c r="W107" s="29"/>
      <c r="X107" s="28"/>
      <c r="Y107" s="32"/>
      <c r="Z107" s="27"/>
      <c r="AA107" s="29"/>
      <c r="AB107" s="28"/>
      <c r="AC107" s="32"/>
      <c r="AD107" s="27"/>
      <c r="AE107" s="29"/>
      <c r="AF107" s="28"/>
      <c r="AG107" s="32"/>
      <c r="AH107" s="27"/>
      <c r="AI107" s="29"/>
      <c r="AJ107" s="28"/>
      <c r="AK107" s="32"/>
      <c r="AL107" s="27"/>
      <c r="AM107" s="29"/>
      <c r="AN107" s="28"/>
      <c r="AO107" s="32"/>
      <c r="AP107" s="27"/>
      <c r="AQ107" s="29"/>
      <c r="AR107" s="28"/>
      <c r="AS107" s="32"/>
      <c r="AT107" s="27"/>
      <c r="AU107" s="29"/>
      <c r="AV107" s="28"/>
      <c r="AW107" s="32"/>
      <c r="AX107" s="27"/>
      <c r="AY107" s="29"/>
      <c r="AZ107" s="28"/>
      <c r="BA107" s="32"/>
      <c r="BB107" s="27"/>
      <c r="BC107" s="29"/>
      <c r="BD107" s="28"/>
      <c r="BE107" s="32"/>
      <c r="BF107" s="27"/>
      <c r="BG107" s="29"/>
      <c r="BH107" s="28"/>
      <c r="BI107" s="32"/>
      <c r="BJ107" s="27"/>
      <c r="BK107" s="29"/>
      <c r="BL107" s="28"/>
      <c r="BM107" s="32"/>
    </row>
    <row r="108" customFormat="false" ht="15.75" hidden="false" customHeight="true" outlineLevel="0" collapsed="false">
      <c r="A108" s="27"/>
      <c r="B108" s="39" t="str">
        <f aca="false">IFERROR(INDEX(Customers!$C$4:$C$1003,MATCH($A108,Customers!$A$4:$A$1003,0)),"")</f>
        <v/>
      </c>
      <c r="C108" s="31" t="str">
        <f aca="false">IFERROR(INDEX(Customers!$F$4:$F$1003,MATCH($A108,Customers!$A$4:$A$1003,0)),"")</f>
        <v/>
      </c>
      <c r="D108" s="33" t="str">
        <f aca="false">IFERROR(INDEX(Customers!$K$4:$K$1003,MATCH($A108,Customers!$A$4:$A$1003,0)),"")</f>
        <v/>
      </c>
      <c r="E108" s="33" t="str">
        <f aca="false">IF($A108="","",IF($F108=0,"Not Started",IF($BJ108="Completed",Settings!$U$45,IF($BF108="Completed",Settings!$U$44,IF($BB108="Completed",Settings!$U$43,IF($AX108="Completed",Settings!$U$42,IF($AT108="Completed",Settings!$U$41,IF($AP108="Completed",Settings!$U$40,IF($AL108="Completed",Settings!$U$39,IF($AH108="Completed",Settings!$U$38,IF($AD108="Completed",Settings!$U$37,IF($Z108="Completed",Settings!$U$36,IF($V108="Completed",Settings!$U$35,IF($R108="Completed",Settings!$U$34,IF($N108="Completed",Settings!$U$33,IF($J108="Completed",Settings!$U$32,""))))))))))))))))</f>
        <v/>
      </c>
      <c r="F108" s="30" t="str">
        <f aca="false">IF($A108="","",COUNTIF($J108:$BM108,"Completed"))</f>
        <v/>
      </c>
      <c r="G108" s="35" t="str">
        <f aca="false">IF($A108="","",MIN($F108/13,1))</f>
        <v/>
      </c>
      <c r="H108" s="31" t="str">
        <f aca="false">IF($A108="","",IF($BJ108="Completed","Case Completed",IF($AX108="Completed","Visa Rejected",IF($BF108="Completed","Departed to Europe",IF($F108=0,"Not Started","In Progress")))))</f>
        <v/>
      </c>
      <c r="I108" s="30" t="str">
        <f aca="true">IF($K108="","",IF($BK108&lt;&gt;"",$BK108-$K108,IF($AY108&lt;&gt;"",$AY108-$K108,TODAY()-$K108)))</f>
        <v/>
      </c>
      <c r="J108" s="27"/>
      <c r="K108" s="29"/>
      <c r="L108" s="28"/>
      <c r="M108" s="32"/>
      <c r="N108" s="27"/>
      <c r="O108" s="29"/>
      <c r="P108" s="28"/>
      <c r="Q108" s="32"/>
      <c r="R108" s="27"/>
      <c r="S108" s="29"/>
      <c r="T108" s="28"/>
      <c r="U108" s="32"/>
      <c r="V108" s="27"/>
      <c r="W108" s="29"/>
      <c r="X108" s="28"/>
      <c r="Y108" s="32"/>
      <c r="Z108" s="27"/>
      <c r="AA108" s="29"/>
      <c r="AB108" s="28"/>
      <c r="AC108" s="32"/>
      <c r="AD108" s="27"/>
      <c r="AE108" s="29"/>
      <c r="AF108" s="28"/>
      <c r="AG108" s="32"/>
      <c r="AH108" s="27"/>
      <c r="AI108" s="29"/>
      <c r="AJ108" s="28"/>
      <c r="AK108" s="32"/>
      <c r="AL108" s="27"/>
      <c r="AM108" s="29"/>
      <c r="AN108" s="28"/>
      <c r="AO108" s="32"/>
      <c r="AP108" s="27"/>
      <c r="AQ108" s="29"/>
      <c r="AR108" s="28"/>
      <c r="AS108" s="32"/>
      <c r="AT108" s="27"/>
      <c r="AU108" s="29"/>
      <c r="AV108" s="28"/>
      <c r="AW108" s="32"/>
      <c r="AX108" s="27"/>
      <c r="AY108" s="29"/>
      <c r="AZ108" s="28"/>
      <c r="BA108" s="32"/>
      <c r="BB108" s="27"/>
      <c r="BC108" s="29"/>
      <c r="BD108" s="28"/>
      <c r="BE108" s="32"/>
      <c r="BF108" s="27"/>
      <c r="BG108" s="29"/>
      <c r="BH108" s="28"/>
      <c r="BI108" s="32"/>
      <c r="BJ108" s="27"/>
      <c r="BK108" s="29"/>
      <c r="BL108" s="28"/>
      <c r="BM108" s="32"/>
    </row>
    <row r="109" customFormat="false" ht="15.75" hidden="false" customHeight="true" outlineLevel="0" collapsed="false">
      <c r="A109" s="27"/>
      <c r="B109" s="39" t="str">
        <f aca="false">IFERROR(INDEX(Customers!$C$4:$C$1003,MATCH($A109,Customers!$A$4:$A$1003,0)),"")</f>
        <v/>
      </c>
      <c r="C109" s="31" t="str">
        <f aca="false">IFERROR(INDEX(Customers!$F$4:$F$1003,MATCH($A109,Customers!$A$4:$A$1003,0)),"")</f>
        <v/>
      </c>
      <c r="D109" s="33" t="str">
        <f aca="false">IFERROR(INDEX(Customers!$K$4:$K$1003,MATCH($A109,Customers!$A$4:$A$1003,0)),"")</f>
        <v/>
      </c>
      <c r="E109" s="33" t="str">
        <f aca="false">IF($A109="","",IF($F109=0,"Not Started",IF($BJ109="Completed",Settings!$U$45,IF($BF109="Completed",Settings!$U$44,IF($BB109="Completed",Settings!$U$43,IF($AX109="Completed",Settings!$U$42,IF($AT109="Completed",Settings!$U$41,IF($AP109="Completed",Settings!$U$40,IF($AL109="Completed",Settings!$U$39,IF($AH109="Completed",Settings!$U$38,IF($AD109="Completed",Settings!$U$37,IF($Z109="Completed",Settings!$U$36,IF($V109="Completed",Settings!$U$35,IF($R109="Completed",Settings!$U$34,IF($N109="Completed",Settings!$U$33,IF($J109="Completed",Settings!$U$32,""))))))))))))))))</f>
        <v/>
      </c>
      <c r="F109" s="30" t="str">
        <f aca="false">IF($A109="","",COUNTIF($J109:$BM109,"Completed"))</f>
        <v/>
      </c>
      <c r="G109" s="35" t="str">
        <f aca="false">IF($A109="","",MIN($F109/13,1))</f>
        <v/>
      </c>
      <c r="H109" s="31" t="str">
        <f aca="false">IF($A109="","",IF($BJ109="Completed","Case Completed",IF($AX109="Completed","Visa Rejected",IF($BF109="Completed","Departed to Europe",IF($F109=0,"Not Started","In Progress")))))</f>
        <v/>
      </c>
      <c r="I109" s="30" t="str">
        <f aca="true">IF($K109="","",IF($BK109&lt;&gt;"",$BK109-$K109,IF($AY109&lt;&gt;"",$AY109-$K109,TODAY()-$K109)))</f>
        <v/>
      </c>
      <c r="J109" s="27"/>
      <c r="K109" s="29"/>
      <c r="L109" s="28"/>
      <c r="M109" s="32"/>
      <c r="N109" s="27"/>
      <c r="O109" s="29"/>
      <c r="P109" s="28"/>
      <c r="Q109" s="32"/>
      <c r="R109" s="27"/>
      <c r="S109" s="29"/>
      <c r="T109" s="28"/>
      <c r="U109" s="32"/>
      <c r="V109" s="27"/>
      <c r="W109" s="29"/>
      <c r="X109" s="28"/>
      <c r="Y109" s="32"/>
      <c r="Z109" s="27"/>
      <c r="AA109" s="29"/>
      <c r="AB109" s="28"/>
      <c r="AC109" s="32"/>
      <c r="AD109" s="27"/>
      <c r="AE109" s="29"/>
      <c r="AF109" s="28"/>
      <c r="AG109" s="32"/>
      <c r="AH109" s="27"/>
      <c r="AI109" s="29"/>
      <c r="AJ109" s="28"/>
      <c r="AK109" s="32"/>
      <c r="AL109" s="27"/>
      <c r="AM109" s="29"/>
      <c r="AN109" s="28"/>
      <c r="AO109" s="32"/>
      <c r="AP109" s="27"/>
      <c r="AQ109" s="29"/>
      <c r="AR109" s="28"/>
      <c r="AS109" s="32"/>
      <c r="AT109" s="27"/>
      <c r="AU109" s="29"/>
      <c r="AV109" s="28"/>
      <c r="AW109" s="32"/>
      <c r="AX109" s="27"/>
      <c r="AY109" s="29"/>
      <c r="AZ109" s="28"/>
      <c r="BA109" s="32"/>
      <c r="BB109" s="27"/>
      <c r="BC109" s="29"/>
      <c r="BD109" s="28"/>
      <c r="BE109" s="32"/>
      <c r="BF109" s="27"/>
      <c r="BG109" s="29"/>
      <c r="BH109" s="28"/>
      <c r="BI109" s="32"/>
      <c r="BJ109" s="27"/>
      <c r="BK109" s="29"/>
      <c r="BL109" s="28"/>
      <c r="BM109" s="32"/>
    </row>
    <row r="110" customFormat="false" ht="15.75" hidden="false" customHeight="true" outlineLevel="0" collapsed="false">
      <c r="A110" s="27"/>
      <c r="B110" s="39" t="str">
        <f aca="false">IFERROR(INDEX(Customers!$C$4:$C$1003,MATCH($A110,Customers!$A$4:$A$1003,0)),"")</f>
        <v/>
      </c>
      <c r="C110" s="31" t="str">
        <f aca="false">IFERROR(INDEX(Customers!$F$4:$F$1003,MATCH($A110,Customers!$A$4:$A$1003,0)),"")</f>
        <v/>
      </c>
      <c r="D110" s="33" t="str">
        <f aca="false">IFERROR(INDEX(Customers!$K$4:$K$1003,MATCH($A110,Customers!$A$4:$A$1003,0)),"")</f>
        <v/>
      </c>
      <c r="E110" s="33" t="str">
        <f aca="false">IF($A110="","",IF($F110=0,"Not Started",IF($BJ110="Completed",Settings!$U$45,IF($BF110="Completed",Settings!$U$44,IF($BB110="Completed",Settings!$U$43,IF($AX110="Completed",Settings!$U$42,IF($AT110="Completed",Settings!$U$41,IF($AP110="Completed",Settings!$U$40,IF($AL110="Completed",Settings!$U$39,IF($AH110="Completed",Settings!$U$38,IF($AD110="Completed",Settings!$U$37,IF($Z110="Completed",Settings!$U$36,IF($V110="Completed",Settings!$U$35,IF($R110="Completed",Settings!$U$34,IF($N110="Completed",Settings!$U$33,IF($J110="Completed",Settings!$U$32,""))))))))))))))))</f>
        <v/>
      </c>
      <c r="F110" s="30" t="str">
        <f aca="false">IF($A110="","",COUNTIF($J110:$BM110,"Completed"))</f>
        <v/>
      </c>
      <c r="G110" s="35" t="str">
        <f aca="false">IF($A110="","",MIN($F110/13,1))</f>
        <v/>
      </c>
      <c r="H110" s="31" t="str">
        <f aca="false">IF($A110="","",IF($BJ110="Completed","Case Completed",IF($AX110="Completed","Visa Rejected",IF($BF110="Completed","Departed to Europe",IF($F110=0,"Not Started","In Progress")))))</f>
        <v/>
      </c>
      <c r="I110" s="30" t="str">
        <f aca="true">IF($K110="","",IF($BK110&lt;&gt;"",$BK110-$K110,IF($AY110&lt;&gt;"",$AY110-$K110,TODAY()-$K110)))</f>
        <v/>
      </c>
      <c r="J110" s="27"/>
      <c r="K110" s="29"/>
      <c r="L110" s="28"/>
      <c r="M110" s="32"/>
      <c r="N110" s="27"/>
      <c r="O110" s="29"/>
      <c r="P110" s="28"/>
      <c r="Q110" s="32"/>
      <c r="R110" s="27"/>
      <c r="S110" s="29"/>
      <c r="T110" s="28"/>
      <c r="U110" s="32"/>
      <c r="V110" s="27"/>
      <c r="W110" s="29"/>
      <c r="X110" s="28"/>
      <c r="Y110" s="32"/>
      <c r="Z110" s="27"/>
      <c r="AA110" s="29"/>
      <c r="AB110" s="28"/>
      <c r="AC110" s="32"/>
      <c r="AD110" s="27"/>
      <c r="AE110" s="29"/>
      <c r="AF110" s="28"/>
      <c r="AG110" s="32"/>
      <c r="AH110" s="27"/>
      <c r="AI110" s="29"/>
      <c r="AJ110" s="28"/>
      <c r="AK110" s="32"/>
      <c r="AL110" s="27"/>
      <c r="AM110" s="29"/>
      <c r="AN110" s="28"/>
      <c r="AO110" s="32"/>
      <c r="AP110" s="27"/>
      <c r="AQ110" s="29"/>
      <c r="AR110" s="28"/>
      <c r="AS110" s="32"/>
      <c r="AT110" s="27"/>
      <c r="AU110" s="29"/>
      <c r="AV110" s="28"/>
      <c r="AW110" s="32"/>
      <c r="AX110" s="27"/>
      <c r="AY110" s="29"/>
      <c r="AZ110" s="28"/>
      <c r="BA110" s="32"/>
      <c r="BB110" s="27"/>
      <c r="BC110" s="29"/>
      <c r="BD110" s="28"/>
      <c r="BE110" s="32"/>
      <c r="BF110" s="27"/>
      <c r="BG110" s="29"/>
      <c r="BH110" s="28"/>
      <c r="BI110" s="32"/>
      <c r="BJ110" s="27"/>
      <c r="BK110" s="29"/>
      <c r="BL110" s="28"/>
      <c r="BM110" s="32"/>
    </row>
    <row r="111" customFormat="false" ht="15.75" hidden="false" customHeight="true" outlineLevel="0" collapsed="false">
      <c r="A111" s="27"/>
      <c r="B111" s="39" t="str">
        <f aca="false">IFERROR(INDEX(Customers!$C$4:$C$1003,MATCH($A111,Customers!$A$4:$A$1003,0)),"")</f>
        <v/>
      </c>
      <c r="C111" s="31" t="str">
        <f aca="false">IFERROR(INDEX(Customers!$F$4:$F$1003,MATCH($A111,Customers!$A$4:$A$1003,0)),"")</f>
        <v/>
      </c>
      <c r="D111" s="33" t="str">
        <f aca="false">IFERROR(INDEX(Customers!$K$4:$K$1003,MATCH($A111,Customers!$A$4:$A$1003,0)),"")</f>
        <v/>
      </c>
      <c r="E111" s="33" t="str">
        <f aca="false">IF($A111="","",IF($F111=0,"Not Started",IF($BJ111="Completed",Settings!$U$45,IF($BF111="Completed",Settings!$U$44,IF($BB111="Completed",Settings!$U$43,IF($AX111="Completed",Settings!$U$42,IF($AT111="Completed",Settings!$U$41,IF($AP111="Completed",Settings!$U$40,IF($AL111="Completed",Settings!$U$39,IF($AH111="Completed",Settings!$U$38,IF($AD111="Completed",Settings!$U$37,IF($Z111="Completed",Settings!$U$36,IF($V111="Completed",Settings!$U$35,IF($R111="Completed",Settings!$U$34,IF($N111="Completed",Settings!$U$33,IF($J111="Completed",Settings!$U$32,""))))))))))))))))</f>
        <v/>
      </c>
      <c r="F111" s="30" t="str">
        <f aca="false">IF($A111="","",COUNTIF($J111:$BM111,"Completed"))</f>
        <v/>
      </c>
      <c r="G111" s="35" t="str">
        <f aca="false">IF($A111="","",MIN($F111/13,1))</f>
        <v/>
      </c>
      <c r="H111" s="31" t="str">
        <f aca="false">IF($A111="","",IF($BJ111="Completed","Case Completed",IF($AX111="Completed","Visa Rejected",IF($BF111="Completed","Departed to Europe",IF($F111=0,"Not Started","In Progress")))))</f>
        <v/>
      </c>
      <c r="I111" s="30" t="str">
        <f aca="true">IF($K111="","",IF($BK111&lt;&gt;"",$BK111-$K111,IF($AY111&lt;&gt;"",$AY111-$K111,TODAY()-$K111)))</f>
        <v/>
      </c>
      <c r="J111" s="27"/>
      <c r="K111" s="29"/>
      <c r="L111" s="28"/>
      <c r="M111" s="32"/>
      <c r="N111" s="27"/>
      <c r="O111" s="29"/>
      <c r="P111" s="28"/>
      <c r="Q111" s="32"/>
      <c r="R111" s="27"/>
      <c r="S111" s="29"/>
      <c r="T111" s="28"/>
      <c r="U111" s="32"/>
      <c r="V111" s="27"/>
      <c r="W111" s="29"/>
      <c r="X111" s="28"/>
      <c r="Y111" s="32"/>
      <c r="Z111" s="27"/>
      <c r="AA111" s="29"/>
      <c r="AB111" s="28"/>
      <c r="AC111" s="32"/>
      <c r="AD111" s="27"/>
      <c r="AE111" s="29"/>
      <c r="AF111" s="28"/>
      <c r="AG111" s="32"/>
      <c r="AH111" s="27"/>
      <c r="AI111" s="29"/>
      <c r="AJ111" s="28"/>
      <c r="AK111" s="32"/>
      <c r="AL111" s="27"/>
      <c r="AM111" s="29"/>
      <c r="AN111" s="28"/>
      <c r="AO111" s="32"/>
      <c r="AP111" s="27"/>
      <c r="AQ111" s="29"/>
      <c r="AR111" s="28"/>
      <c r="AS111" s="32"/>
      <c r="AT111" s="27"/>
      <c r="AU111" s="29"/>
      <c r="AV111" s="28"/>
      <c r="AW111" s="32"/>
      <c r="AX111" s="27"/>
      <c r="AY111" s="29"/>
      <c r="AZ111" s="28"/>
      <c r="BA111" s="32"/>
      <c r="BB111" s="27"/>
      <c r="BC111" s="29"/>
      <c r="BD111" s="28"/>
      <c r="BE111" s="32"/>
      <c r="BF111" s="27"/>
      <c r="BG111" s="29"/>
      <c r="BH111" s="28"/>
      <c r="BI111" s="32"/>
      <c r="BJ111" s="27"/>
      <c r="BK111" s="29"/>
      <c r="BL111" s="28"/>
      <c r="BM111" s="32"/>
    </row>
    <row r="112" customFormat="false" ht="15.75" hidden="false" customHeight="true" outlineLevel="0" collapsed="false">
      <c r="A112" s="27"/>
      <c r="B112" s="39" t="str">
        <f aca="false">IFERROR(INDEX(Customers!$C$4:$C$1003,MATCH($A112,Customers!$A$4:$A$1003,0)),"")</f>
        <v/>
      </c>
      <c r="C112" s="31" t="str">
        <f aca="false">IFERROR(INDEX(Customers!$F$4:$F$1003,MATCH($A112,Customers!$A$4:$A$1003,0)),"")</f>
        <v/>
      </c>
      <c r="D112" s="33" t="str">
        <f aca="false">IFERROR(INDEX(Customers!$K$4:$K$1003,MATCH($A112,Customers!$A$4:$A$1003,0)),"")</f>
        <v/>
      </c>
      <c r="E112" s="33" t="str">
        <f aca="false">IF($A112="","",IF($F112=0,"Not Started",IF($BJ112="Completed",Settings!$U$45,IF($BF112="Completed",Settings!$U$44,IF($BB112="Completed",Settings!$U$43,IF($AX112="Completed",Settings!$U$42,IF($AT112="Completed",Settings!$U$41,IF($AP112="Completed",Settings!$U$40,IF($AL112="Completed",Settings!$U$39,IF($AH112="Completed",Settings!$U$38,IF($AD112="Completed",Settings!$U$37,IF($Z112="Completed",Settings!$U$36,IF($V112="Completed",Settings!$U$35,IF($R112="Completed",Settings!$U$34,IF($N112="Completed",Settings!$U$33,IF($J112="Completed",Settings!$U$32,""))))))))))))))))</f>
        <v/>
      </c>
      <c r="F112" s="30" t="str">
        <f aca="false">IF($A112="","",COUNTIF($J112:$BM112,"Completed"))</f>
        <v/>
      </c>
      <c r="G112" s="35" t="str">
        <f aca="false">IF($A112="","",MIN($F112/13,1))</f>
        <v/>
      </c>
      <c r="H112" s="31" t="str">
        <f aca="false">IF($A112="","",IF($BJ112="Completed","Case Completed",IF($AX112="Completed","Visa Rejected",IF($BF112="Completed","Departed to Europe",IF($F112=0,"Not Started","In Progress")))))</f>
        <v/>
      </c>
      <c r="I112" s="30" t="str">
        <f aca="true">IF($K112="","",IF($BK112&lt;&gt;"",$BK112-$K112,IF($AY112&lt;&gt;"",$AY112-$K112,TODAY()-$K112)))</f>
        <v/>
      </c>
      <c r="J112" s="27"/>
      <c r="K112" s="29"/>
      <c r="L112" s="28"/>
      <c r="M112" s="32"/>
      <c r="N112" s="27"/>
      <c r="O112" s="29"/>
      <c r="P112" s="28"/>
      <c r="Q112" s="32"/>
      <c r="R112" s="27"/>
      <c r="S112" s="29"/>
      <c r="T112" s="28"/>
      <c r="U112" s="32"/>
      <c r="V112" s="27"/>
      <c r="W112" s="29"/>
      <c r="X112" s="28"/>
      <c r="Y112" s="32"/>
      <c r="Z112" s="27"/>
      <c r="AA112" s="29"/>
      <c r="AB112" s="28"/>
      <c r="AC112" s="32"/>
      <c r="AD112" s="27"/>
      <c r="AE112" s="29"/>
      <c r="AF112" s="28"/>
      <c r="AG112" s="32"/>
      <c r="AH112" s="27"/>
      <c r="AI112" s="29"/>
      <c r="AJ112" s="28"/>
      <c r="AK112" s="32"/>
      <c r="AL112" s="27"/>
      <c r="AM112" s="29"/>
      <c r="AN112" s="28"/>
      <c r="AO112" s="32"/>
      <c r="AP112" s="27"/>
      <c r="AQ112" s="29"/>
      <c r="AR112" s="28"/>
      <c r="AS112" s="32"/>
      <c r="AT112" s="27"/>
      <c r="AU112" s="29"/>
      <c r="AV112" s="28"/>
      <c r="AW112" s="32"/>
      <c r="AX112" s="27"/>
      <c r="AY112" s="29"/>
      <c r="AZ112" s="28"/>
      <c r="BA112" s="32"/>
      <c r="BB112" s="27"/>
      <c r="BC112" s="29"/>
      <c r="BD112" s="28"/>
      <c r="BE112" s="32"/>
      <c r="BF112" s="27"/>
      <c r="BG112" s="29"/>
      <c r="BH112" s="28"/>
      <c r="BI112" s="32"/>
      <c r="BJ112" s="27"/>
      <c r="BK112" s="29"/>
      <c r="BL112" s="28"/>
      <c r="BM112" s="32"/>
    </row>
    <row r="113" customFormat="false" ht="15.75" hidden="false" customHeight="true" outlineLevel="0" collapsed="false">
      <c r="A113" s="27"/>
      <c r="B113" s="39" t="str">
        <f aca="false">IFERROR(INDEX(Customers!$C$4:$C$1003,MATCH($A113,Customers!$A$4:$A$1003,0)),"")</f>
        <v/>
      </c>
      <c r="C113" s="31" t="str">
        <f aca="false">IFERROR(INDEX(Customers!$F$4:$F$1003,MATCH($A113,Customers!$A$4:$A$1003,0)),"")</f>
        <v/>
      </c>
      <c r="D113" s="33" t="str">
        <f aca="false">IFERROR(INDEX(Customers!$K$4:$K$1003,MATCH($A113,Customers!$A$4:$A$1003,0)),"")</f>
        <v/>
      </c>
      <c r="E113" s="33" t="str">
        <f aca="false">IF($A113="","",IF($F113=0,"Not Started",IF($BJ113="Completed",Settings!$U$45,IF($BF113="Completed",Settings!$U$44,IF($BB113="Completed",Settings!$U$43,IF($AX113="Completed",Settings!$U$42,IF($AT113="Completed",Settings!$U$41,IF($AP113="Completed",Settings!$U$40,IF($AL113="Completed",Settings!$U$39,IF($AH113="Completed",Settings!$U$38,IF($AD113="Completed",Settings!$U$37,IF($Z113="Completed",Settings!$U$36,IF($V113="Completed",Settings!$U$35,IF($R113="Completed",Settings!$U$34,IF($N113="Completed",Settings!$U$33,IF($J113="Completed",Settings!$U$32,""))))))))))))))))</f>
        <v/>
      </c>
      <c r="F113" s="30" t="str">
        <f aca="false">IF($A113="","",COUNTIF($J113:$BM113,"Completed"))</f>
        <v/>
      </c>
      <c r="G113" s="35" t="str">
        <f aca="false">IF($A113="","",MIN($F113/13,1))</f>
        <v/>
      </c>
      <c r="H113" s="31" t="str">
        <f aca="false">IF($A113="","",IF($BJ113="Completed","Case Completed",IF($AX113="Completed","Visa Rejected",IF($BF113="Completed","Departed to Europe",IF($F113=0,"Not Started","In Progress")))))</f>
        <v/>
      </c>
      <c r="I113" s="30" t="str">
        <f aca="true">IF($K113="","",IF($BK113&lt;&gt;"",$BK113-$K113,IF($AY113&lt;&gt;"",$AY113-$K113,TODAY()-$K113)))</f>
        <v/>
      </c>
      <c r="J113" s="27"/>
      <c r="K113" s="29"/>
      <c r="L113" s="28"/>
      <c r="M113" s="32"/>
      <c r="N113" s="27"/>
      <c r="O113" s="29"/>
      <c r="P113" s="28"/>
      <c r="Q113" s="32"/>
      <c r="R113" s="27"/>
      <c r="S113" s="29"/>
      <c r="T113" s="28"/>
      <c r="U113" s="32"/>
      <c r="V113" s="27"/>
      <c r="W113" s="29"/>
      <c r="X113" s="28"/>
      <c r="Y113" s="32"/>
      <c r="Z113" s="27"/>
      <c r="AA113" s="29"/>
      <c r="AB113" s="28"/>
      <c r="AC113" s="32"/>
      <c r="AD113" s="27"/>
      <c r="AE113" s="29"/>
      <c r="AF113" s="28"/>
      <c r="AG113" s="32"/>
      <c r="AH113" s="27"/>
      <c r="AI113" s="29"/>
      <c r="AJ113" s="28"/>
      <c r="AK113" s="32"/>
      <c r="AL113" s="27"/>
      <c r="AM113" s="29"/>
      <c r="AN113" s="28"/>
      <c r="AO113" s="32"/>
      <c r="AP113" s="27"/>
      <c r="AQ113" s="29"/>
      <c r="AR113" s="28"/>
      <c r="AS113" s="32"/>
      <c r="AT113" s="27"/>
      <c r="AU113" s="29"/>
      <c r="AV113" s="28"/>
      <c r="AW113" s="32"/>
      <c r="AX113" s="27"/>
      <c r="AY113" s="29"/>
      <c r="AZ113" s="28"/>
      <c r="BA113" s="32"/>
      <c r="BB113" s="27"/>
      <c r="BC113" s="29"/>
      <c r="BD113" s="28"/>
      <c r="BE113" s="32"/>
      <c r="BF113" s="27"/>
      <c r="BG113" s="29"/>
      <c r="BH113" s="28"/>
      <c r="BI113" s="32"/>
      <c r="BJ113" s="27"/>
      <c r="BK113" s="29"/>
      <c r="BL113" s="28"/>
      <c r="BM113" s="32"/>
    </row>
    <row r="114" customFormat="false" ht="15.75" hidden="false" customHeight="true" outlineLevel="0" collapsed="false">
      <c r="A114" s="27"/>
      <c r="B114" s="39" t="str">
        <f aca="false">IFERROR(INDEX(Customers!$C$4:$C$1003,MATCH($A114,Customers!$A$4:$A$1003,0)),"")</f>
        <v/>
      </c>
      <c r="C114" s="31" t="str">
        <f aca="false">IFERROR(INDEX(Customers!$F$4:$F$1003,MATCH($A114,Customers!$A$4:$A$1003,0)),"")</f>
        <v/>
      </c>
      <c r="D114" s="33" t="str">
        <f aca="false">IFERROR(INDEX(Customers!$K$4:$K$1003,MATCH($A114,Customers!$A$4:$A$1003,0)),"")</f>
        <v/>
      </c>
      <c r="E114" s="33" t="str">
        <f aca="false">IF($A114="","",IF($F114=0,"Not Started",IF($BJ114="Completed",Settings!$U$45,IF($BF114="Completed",Settings!$U$44,IF($BB114="Completed",Settings!$U$43,IF($AX114="Completed",Settings!$U$42,IF($AT114="Completed",Settings!$U$41,IF($AP114="Completed",Settings!$U$40,IF($AL114="Completed",Settings!$U$39,IF($AH114="Completed",Settings!$U$38,IF($AD114="Completed",Settings!$U$37,IF($Z114="Completed",Settings!$U$36,IF($V114="Completed",Settings!$U$35,IF($R114="Completed",Settings!$U$34,IF($N114="Completed",Settings!$U$33,IF($J114="Completed",Settings!$U$32,""))))))))))))))))</f>
        <v/>
      </c>
      <c r="F114" s="30" t="str">
        <f aca="false">IF($A114="","",COUNTIF($J114:$BM114,"Completed"))</f>
        <v/>
      </c>
      <c r="G114" s="35" t="str">
        <f aca="false">IF($A114="","",MIN($F114/13,1))</f>
        <v/>
      </c>
      <c r="H114" s="31" t="str">
        <f aca="false">IF($A114="","",IF($BJ114="Completed","Case Completed",IF($AX114="Completed","Visa Rejected",IF($BF114="Completed","Departed to Europe",IF($F114=0,"Not Started","In Progress")))))</f>
        <v/>
      </c>
      <c r="I114" s="30" t="str">
        <f aca="true">IF($K114="","",IF($BK114&lt;&gt;"",$BK114-$K114,IF($AY114&lt;&gt;"",$AY114-$K114,TODAY()-$K114)))</f>
        <v/>
      </c>
      <c r="J114" s="27"/>
      <c r="K114" s="29"/>
      <c r="L114" s="28"/>
      <c r="M114" s="32"/>
      <c r="N114" s="27"/>
      <c r="O114" s="29"/>
      <c r="P114" s="28"/>
      <c r="Q114" s="32"/>
      <c r="R114" s="27"/>
      <c r="S114" s="29"/>
      <c r="T114" s="28"/>
      <c r="U114" s="32"/>
      <c r="V114" s="27"/>
      <c r="W114" s="29"/>
      <c r="X114" s="28"/>
      <c r="Y114" s="32"/>
      <c r="Z114" s="27"/>
      <c r="AA114" s="29"/>
      <c r="AB114" s="28"/>
      <c r="AC114" s="32"/>
      <c r="AD114" s="27"/>
      <c r="AE114" s="29"/>
      <c r="AF114" s="28"/>
      <c r="AG114" s="32"/>
      <c r="AH114" s="27"/>
      <c r="AI114" s="29"/>
      <c r="AJ114" s="28"/>
      <c r="AK114" s="32"/>
      <c r="AL114" s="27"/>
      <c r="AM114" s="29"/>
      <c r="AN114" s="28"/>
      <c r="AO114" s="32"/>
      <c r="AP114" s="27"/>
      <c r="AQ114" s="29"/>
      <c r="AR114" s="28"/>
      <c r="AS114" s="32"/>
      <c r="AT114" s="27"/>
      <c r="AU114" s="29"/>
      <c r="AV114" s="28"/>
      <c r="AW114" s="32"/>
      <c r="AX114" s="27"/>
      <c r="AY114" s="29"/>
      <c r="AZ114" s="28"/>
      <c r="BA114" s="32"/>
      <c r="BB114" s="27"/>
      <c r="BC114" s="29"/>
      <c r="BD114" s="28"/>
      <c r="BE114" s="32"/>
      <c r="BF114" s="27"/>
      <c r="BG114" s="29"/>
      <c r="BH114" s="28"/>
      <c r="BI114" s="32"/>
      <c r="BJ114" s="27"/>
      <c r="BK114" s="29"/>
      <c r="BL114" s="28"/>
      <c r="BM114" s="32"/>
    </row>
    <row r="115" customFormat="false" ht="15.75" hidden="false" customHeight="true" outlineLevel="0" collapsed="false">
      <c r="A115" s="27"/>
      <c r="B115" s="39" t="str">
        <f aca="false">IFERROR(INDEX(Customers!$C$4:$C$1003,MATCH($A115,Customers!$A$4:$A$1003,0)),"")</f>
        <v/>
      </c>
      <c r="C115" s="31" t="str">
        <f aca="false">IFERROR(INDEX(Customers!$F$4:$F$1003,MATCH($A115,Customers!$A$4:$A$1003,0)),"")</f>
        <v/>
      </c>
      <c r="D115" s="33" t="str">
        <f aca="false">IFERROR(INDEX(Customers!$K$4:$K$1003,MATCH($A115,Customers!$A$4:$A$1003,0)),"")</f>
        <v/>
      </c>
      <c r="E115" s="33" t="str">
        <f aca="false">IF($A115="","",IF($F115=0,"Not Started",IF($BJ115="Completed",Settings!$U$45,IF($BF115="Completed",Settings!$U$44,IF($BB115="Completed",Settings!$U$43,IF($AX115="Completed",Settings!$U$42,IF($AT115="Completed",Settings!$U$41,IF($AP115="Completed",Settings!$U$40,IF($AL115="Completed",Settings!$U$39,IF($AH115="Completed",Settings!$U$38,IF($AD115="Completed",Settings!$U$37,IF($Z115="Completed",Settings!$U$36,IF($V115="Completed",Settings!$U$35,IF($R115="Completed",Settings!$U$34,IF($N115="Completed",Settings!$U$33,IF($J115="Completed",Settings!$U$32,""))))))))))))))))</f>
        <v/>
      </c>
      <c r="F115" s="30" t="str">
        <f aca="false">IF($A115="","",COUNTIF($J115:$BM115,"Completed"))</f>
        <v/>
      </c>
      <c r="G115" s="35" t="str">
        <f aca="false">IF($A115="","",MIN($F115/13,1))</f>
        <v/>
      </c>
      <c r="H115" s="31" t="str">
        <f aca="false">IF($A115="","",IF($BJ115="Completed","Case Completed",IF($AX115="Completed","Visa Rejected",IF($BF115="Completed","Departed to Europe",IF($F115=0,"Not Started","In Progress")))))</f>
        <v/>
      </c>
      <c r="I115" s="30" t="str">
        <f aca="true">IF($K115="","",IF($BK115&lt;&gt;"",$BK115-$K115,IF($AY115&lt;&gt;"",$AY115-$K115,TODAY()-$K115)))</f>
        <v/>
      </c>
      <c r="J115" s="27"/>
      <c r="K115" s="29"/>
      <c r="L115" s="28"/>
      <c r="M115" s="32"/>
      <c r="N115" s="27"/>
      <c r="O115" s="29"/>
      <c r="P115" s="28"/>
      <c r="Q115" s="32"/>
      <c r="R115" s="27"/>
      <c r="S115" s="29"/>
      <c r="T115" s="28"/>
      <c r="U115" s="32"/>
      <c r="V115" s="27"/>
      <c r="W115" s="29"/>
      <c r="X115" s="28"/>
      <c r="Y115" s="32"/>
      <c r="Z115" s="27"/>
      <c r="AA115" s="29"/>
      <c r="AB115" s="28"/>
      <c r="AC115" s="32"/>
      <c r="AD115" s="27"/>
      <c r="AE115" s="29"/>
      <c r="AF115" s="28"/>
      <c r="AG115" s="32"/>
      <c r="AH115" s="27"/>
      <c r="AI115" s="29"/>
      <c r="AJ115" s="28"/>
      <c r="AK115" s="32"/>
      <c r="AL115" s="27"/>
      <c r="AM115" s="29"/>
      <c r="AN115" s="28"/>
      <c r="AO115" s="32"/>
      <c r="AP115" s="27"/>
      <c r="AQ115" s="29"/>
      <c r="AR115" s="28"/>
      <c r="AS115" s="32"/>
      <c r="AT115" s="27"/>
      <c r="AU115" s="29"/>
      <c r="AV115" s="28"/>
      <c r="AW115" s="32"/>
      <c r="AX115" s="27"/>
      <c r="AY115" s="29"/>
      <c r="AZ115" s="28"/>
      <c r="BA115" s="32"/>
      <c r="BB115" s="27"/>
      <c r="BC115" s="29"/>
      <c r="BD115" s="28"/>
      <c r="BE115" s="32"/>
      <c r="BF115" s="27"/>
      <c r="BG115" s="29"/>
      <c r="BH115" s="28"/>
      <c r="BI115" s="32"/>
      <c r="BJ115" s="27"/>
      <c r="BK115" s="29"/>
      <c r="BL115" s="28"/>
      <c r="BM115" s="32"/>
    </row>
    <row r="116" customFormat="false" ht="15.75" hidden="false" customHeight="true" outlineLevel="0" collapsed="false">
      <c r="A116" s="27"/>
      <c r="B116" s="39" t="str">
        <f aca="false">IFERROR(INDEX(Customers!$C$4:$C$1003,MATCH($A116,Customers!$A$4:$A$1003,0)),"")</f>
        <v/>
      </c>
      <c r="C116" s="31" t="str">
        <f aca="false">IFERROR(INDEX(Customers!$F$4:$F$1003,MATCH($A116,Customers!$A$4:$A$1003,0)),"")</f>
        <v/>
      </c>
      <c r="D116" s="33" t="str">
        <f aca="false">IFERROR(INDEX(Customers!$K$4:$K$1003,MATCH($A116,Customers!$A$4:$A$1003,0)),"")</f>
        <v/>
      </c>
      <c r="E116" s="33" t="str">
        <f aca="false">IF($A116="","",IF($F116=0,"Not Started",IF($BJ116="Completed",Settings!$U$45,IF($BF116="Completed",Settings!$U$44,IF($BB116="Completed",Settings!$U$43,IF($AX116="Completed",Settings!$U$42,IF($AT116="Completed",Settings!$U$41,IF($AP116="Completed",Settings!$U$40,IF($AL116="Completed",Settings!$U$39,IF($AH116="Completed",Settings!$U$38,IF($AD116="Completed",Settings!$U$37,IF($Z116="Completed",Settings!$U$36,IF($V116="Completed",Settings!$U$35,IF($R116="Completed",Settings!$U$34,IF($N116="Completed",Settings!$U$33,IF($J116="Completed",Settings!$U$32,""))))))))))))))))</f>
        <v/>
      </c>
      <c r="F116" s="30" t="str">
        <f aca="false">IF($A116="","",COUNTIF($J116:$BM116,"Completed"))</f>
        <v/>
      </c>
      <c r="G116" s="35" t="str">
        <f aca="false">IF($A116="","",MIN($F116/13,1))</f>
        <v/>
      </c>
      <c r="H116" s="31" t="str">
        <f aca="false">IF($A116="","",IF($BJ116="Completed","Case Completed",IF($AX116="Completed","Visa Rejected",IF($BF116="Completed","Departed to Europe",IF($F116=0,"Not Started","In Progress")))))</f>
        <v/>
      </c>
      <c r="I116" s="30" t="str">
        <f aca="true">IF($K116="","",IF($BK116&lt;&gt;"",$BK116-$K116,IF($AY116&lt;&gt;"",$AY116-$K116,TODAY()-$K116)))</f>
        <v/>
      </c>
      <c r="J116" s="27"/>
      <c r="K116" s="29"/>
      <c r="L116" s="28"/>
      <c r="M116" s="32"/>
      <c r="N116" s="27"/>
      <c r="O116" s="29"/>
      <c r="P116" s="28"/>
      <c r="Q116" s="32"/>
      <c r="R116" s="27"/>
      <c r="S116" s="29"/>
      <c r="T116" s="28"/>
      <c r="U116" s="32"/>
      <c r="V116" s="27"/>
      <c r="W116" s="29"/>
      <c r="X116" s="28"/>
      <c r="Y116" s="32"/>
      <c r="Z116" s="27"/>
      <c r="AA116" s="29"/>
      <c r="AB116" s="28"/>
      <c r="AC116" s="32"/>
      <c r="AD116" s="27"/>
      <c r="AE116" s="29"/>
      <c r="AF116" s="28"/>
      <c r="AG116" s="32"/>
      <c r="AH116" s="27"/>
      <c r="AI116" s="29"/>
      <c r="AJ116" s="28"/>
      <c r="AK116" s="32"/>
      <c r="AL116" s="27"/>
      <c r="AM116" s="29"/>
      <c r="AN116" s="28"/>
      <c r="AO116" s="32"/>
      <c r="AP116" s="27"/>
      <c r="AQ116" s="29"/>
      <c r="AR116" s="28"/>
      <c r="AS116" s="32"/>
      <c r="AT116" s="27"/>
      <c r="AU116" s="29"/>
      <c r="AV116" s="28"/>
      <c r="AW116" s="32"/>
      <c r="AX116" s="27"/>
      <c r="AY116" s="29"/>
      <c r="AZ116" s="28"/>
      <c r="BA116" s="32"/>
      <c r="BB116" s="27"/>
      <c r="BC116" s="29"/>
      <c r="BD116" s="28"/>
      <c r="BE116" s="32"/>
      <c r="BF116" s="27"/>
      <c r="BG116" s="29"/>
      <c r="BH116" s="28"/>
      <c r="BI116" s="32"/>
      <c r="BJ116" s="27"/>
      <c r="BK116" s="29"/>
      <c r="BL116" s="28"/>
      <c r="BM116" s="32"/>
    </row>
    <row r="117" customFormat="false" ht="15.75" hidden="false" customHeight="true" outlineLevel="0" collapsed="false">
      <c r="A117" s="27"/>
      <c r="B117" s="39" t="str">
        <f aca="false">IFERROR(INDEX(Customers!$C$4:$C$1003,MATCH($A117,Customers!$A$4:$A$1003,0)),"")</f>
        <v/>
      </c>
      <c r="C117" s="31" t="str">
        <f aca="false">IFERROR(INDEX(Customers!$F$4:$F$1003,MATCH($A117,Customers!$A$4:$A$1003,0)),"")</f>
        <v/>
      </c>
      <c r="D117" s="33" t="str">
        <f aca="false">IFERROR(INDEX(Customers!$K$4:$K$1003,MATCH($A117,Customers!$A$4:$A$1003,0)),"")</f>
        <v/>
      </c>
      <c r="E117" s="33" t="str">
        <f aca="false">IF($A117="","",IF($F117=0,"Not Started",IF($BJ117="Completed",Settings!$U$45,IF($BF117="Completed",Settings!$U$44,IF($BB117="Completed",Settings!$U$43,IF($AX117="Completed",Settings!$U$42,IF($AT117="Completed",Settings!$U$41,IF($AP117="Completed",Settings!$U$40,IF($AL117="Completed",Settings!$U$39,IF($AH117="Completed",Settings!$U$38,IF($AD117="Completed",Settings!$U$37,IF($Z117="Completed",Settings!$U$36,IF($V117="Completed",Settings!$U$35,IF($R117="Completed",Settings!$U$34,IF($N117="Completed",Settings!$U$33,IF($J117="Completed",Settings!$U$32,""))))))))))))))))</f>
        <v/>
      </c>
      <c r="F117" s="30" t="str">
        <f aca="false">IF($A117="","",COUNTIF($J117:$BM117,"Completed"))</f>
        <v/>
      </c>
      <c r="G117" s="35" t="str">
        <f aca="false">IF($A117="","",MIN($F117/13,1))</f>
        <v/>
      </c>
      <c r="H117" s="31" t="str">
        <f aca="false">IF($A117="","",IF($BJ117="Completed","Case Completed",IF($AX117="Completed","Visa Rejected",IF($BF117="Completed","Departed to Europe",IF($F117=0,"Not Started","In Progress")))))</f>
        <v/>
      </c>
      <c r="I117" s="30" t="str">
        <f aca="true">IF($K117="","",IF($BK117&lt;&gt;"",$BK117-$K117,IF($AY117&lt;&gt;"",$AY117-$K117,TODAY()-$K117)))</f>
        <v/>
      </c>
      <c r="J117" s="27"/>
      <c r="K117" s="29"/>
      <c r="L117" s="28"/>
      <c r="M117" s="32"/>
      <c r="N117" s="27"/>
      <c r="O117" s="29"/>
      <c r="P117" s="28"/>
      <c r="Q117" s="32"/>
      <c r="R117" s="27"/>
      <c r="S117" s="29"/>
      <c r="T117" s="28"/>
      <c r="U117" s="32"/>
      <c r="V117" s="27"/>
      <c r="W117" s="29"/>
      <c r="X117" s="28"/>
      <c r="Y117" s="32"/>
      <c r="Z117" s="27"/>
      <c r="AA117" s="29"/>
      <c r="AB117" s="28"/>
      <c r="AC117" s="32"/>
      <c r="AD117" s="27"/>
      <c r="AE117" s="29"/>
      <c r="AF117" s="28"/>
      <c r="AG117" s="32"/>
      <c r="AH117" s="27"/>
      <c r="AI117" s="29"/>
      <c r="AJ117" s="28"/>
      <c r="AK117" s="32"/>
      <c r="AL117" s="27"/>
      <c r="AM117" s="29"/>
      <c r="AN117" s="28"/>
      <c r="AO117" s="32"/>
      <c r="AP117" s="27"/>
      <c r="AQ117" s="29"/>
      <c r="AR117" s="28"/>
      <c r="AS117" s="32"/>
      <c r="AT117" s="27"/>
      <c r="AU117" s="29"/>
      <c r="AV117" s="28"/>
      <c r="AW117" s="32"/>
      <c r="AX117" s="27"/>
      <c r="AY117" s="29"/>
      <c r="AZ117" s="28"/>
      <c r="BA117" s="32"/>
      <c r="BB117" s="27"/>
      <c r="BC117" s="29"/>
      <c r="BD117" s="28"/>
      <c r="BE117" s="32"/>
      <c r="BF117" s="27"/>
      <c r="BG117" s="29"/>
      <c r="BH117" s="28"/>
      <c r="BI117" s="32"/>
      <c r="BJ117" s="27"/>
      <c r="BK117" s="29"/>
      <c r="BL117" s="28"/>
      <c r="BM117" s="32"/>
    </row>
    <row r="118" customFormat="false" ht="15.75" hidden="false" customHeight="true" outlineLevel="0" collapsed="false">
      <c r="A118" s="27"/>
      <c r="B118" s="39" t="str">
        <f aca="false">IFERROR(INDEX(Customers!$C$4:$C$1003,MATCH($A118,Customers!$A$4:$A$1003,0)),"")</f>
        <v/>
      </c>
      <c r="C118" s="31" t="str">
        <f aca="false">IFERROR(INDEX(Customers!$F$4:$F$1003,MATCH($A118,Customers!$A$4:$A$1003,0)),"")</f>
        <v/>
      </c>
      <c r="D118" s="33" t="str">
        <f aca="false">IFERROR(INDEX(Customers!$K$4:$K$1003,MATCH($A118,Customers!$A$4:$A$1003,0)),"")</f>
        <v/>
      </c>
      <c r="E118" s="33" t="str">
        <f aca="false">IF($A118="","",IF($F118=0,"Not Started",IF($BJ118="Completed",Settings!$U$45,IF($BF118="Completed",Settings!$U$44,IF($BB118="Completed",Settings!$U$43,IF($AX118="Completed",Settings!$U$42,IF($AT118="Completed",Settings!$U$41,IF($AP118="Completed",Settings!$U$40,IF($AL118="Completed",Settings!$U$39,IF($AH118="Completed",Settings!$U$38,IF($AD118="Completed",Settings!$U$37,IF($Z118="Completed",Settings!$U$36,IF($V118="Completed",Settings!$U$35,IF($R118="Completed",Settings!$U$34,IF($N118="Completed",Settings!$U$33,IF($J118="Completed",Settings!$U$32,""))))))))))))))))</f>
        <v/>
      </c>
      <c r="F118" s="30" t="str">
        <f aca="false">IF($A118="","",COUNTIF($J118:$BM118,"Completed"))</f>
        <v/>
      </c>
      <c r="G118" s="35" t="str">
        <f aca="false">IF($A118="","",MIN($F118/13,1))</f>
        <v/>
      </c>
      <c r="H118" s="31" t="str">
        <f aca="false">IF($A118="","",IF($BJ118="Completed","Case Completed",IF($AX118="Completed","Visa Rejected",IF($BF118="Completed","Departed to Europe",IF($F118=0,"Not Started","In Progress")))))</f>
        <v/>
      </c>
      <c r="I118" s="30" t="str">
        <f aca="true">IF($K118="","",IF($BK118&lt;&gt;"",$BK118-$K118,IF($AY118&lt;&gt;"",$AY118-$K118,TODAY()-$K118)))</f>
        <v/>
      </c>
      <c r="J118" s="27"/>
      <c r="K118" s="29"/>
      <c r="L118" s="28"/>
      <c r="M118" s="32"/>
      <c r="N118" s="27"/>
      <c r="O118" s="29"/>
      <c r="P118" s="28"/>
      <c r="Q118" s="32"/>
      <c r="R118" s="27"/>
      <c r="S118" s="29"/>
      <c r="T118" s="28"/>
      <c r="U118" s="32"/>
      <c r="V118" s="27"/>
      <c r="W118" s="29"/>
      <c r="X118" s="28"/>
      <c r="Y118" s="32"/>
      <c r="Z118" s="27"/>
      <c r="AA118" s="29"/>
      <c r="AB118" s="28"/>
      <c r="AC118" s="32"/>
      <c r="AD118" s="27"/>
      <c r="AE118" s="29"/>
      <c r="AF118" s="28"/>
      <c r="AG118" s="32"/>
      <c r="AH118" s="27"/>
      <c r="AI118" s="29"/>
      <c r="AJ118" s="28"/>
      <c r="AK118" s="32"/>
      <c r="AL118" s="27"/>
      <c r="AM118" s="29"/>
      <c r="AN118" s="28"/>
      <c r="AO118" s="32"/>
      <c r="AP118" s="27"/>
      <c r="AQ118" s="29"/>
      <c r="AR118" s="28"/>
      <c r="AS118" s="32"/>
      <c r="AT118" s="27"/>
      <c r="AU118" s="29"/>
      <c r="AV118" s="28"/>
      <c r="AW118" s="32"/>
      <c r="AX118" s="27"/>
      <c r="AY118" s="29"/>
      <c r="AZ118" s="28"/>
      <c r="BA118" s="32"/>
      <c r="BB118" s="27"/>
      <c r="BC118" s="29"/>
      <c r="BD118" s="28"/>
      <c r="BE118" s="32"/>
      <c r="BF118" s="27"/>
      <c r="BG118" s="29"/>
      <c r="BH118" s="28"/>
      <c r="BI118" s="32"/>
      <c r="BJ118" s="27"/>
      <c r="BK118" s="29"/>
      <c r="BL118" s="28"/>
      <c r="BM118" s="32"/>
    </row>
    <row r="119" customFormat="false" ht="15.75" hidden="false" customHeight="true" outlineLevel="0" collapsed="false">
      <c r="A119" s="27"/>
      <c r="B119" s="39" t="str">
        <f aca="false">IFERROR(INDEX(Customers!$C$4:$C$1003,MATCH($A119,Customers!$A$4:$A$1003,0)),"")</f>
        <v/>
      </c>
      <c r="C119" s="31" t="str">
        <f aca="false">IFERROR(INDEX(Customers!$F$4:$F$1003,MATCH($A119,Customers!$A$4:$A$1003,0)),"")</f>
        <v/>
      </c>
      <c r="D119" s="33" t="str">
        <f aca="false">IFERROR(INDEX(Customers!$K$4:$K$1003,MATCH($A119,Customers!$A$4:$A$1003,0)),"")</f>
        <v/>
      </c>
      <c r="E119" s="33" t="str">
        <f aca="false">IF($A119="","",IF($F119=0,"Not Started",IF($BJ119="Completed",Settings!$U$45,IF($BF119="Completed",Settings!$U$44,IF($BB119="Completed",Settings!$U$43,IF($AX119="Completed",Settings!$U$42,IF($AT119="Completed",Settings!$U$41,IF($AP119="Completed",Settings!$U$40,IF($AL119="Completed",Settings!$U$39,IF($AH119="Completed",Settings!$U$38,IF($AD119="Completed",Settings!$U$37,IF($Z119="Completed",Settings!$U$36,IF($V119="Completed",Settings!$U$35,IF($R119="Completed",Settings!$U$34,IF($N119="Completed",Settings!$U$33,IF($J119="Completed",Settings!$U$32,""))))))))))))))))</f>
        <v/>
      </c>
      <c r="F119" s="30" t="str">
        <f aca="false">IF($A119="","",COUNTIF($J119:$BM119,"Completed"))</f>
        <v/>
      </c>
      <c r="G119" s="35" t="str">
        <f aca="false">IF($A119="","",MIN($F119/13,1))</f>
        <v/>
      </c>
      <c r="H119" s="31" t="str">
        <f aca="false">IF($A119="","",IF($BJ119="Completed","Case Completed",IF($AX119="Completed","Visa Rejected",IF($BF119="Completed","Departed to Europe",IF($F119=0,"Not Started","In Progress")))))</f>
        <v/>
      </c>
      <c r="I119" s="30" t="str">
        <f aca="true">IF($K119="","",IF($BK119&lt;&gt;"",$BK119-$K119,IF($AY119&lt;&gt;"",$AY119-$K119,TODAY()-$K119)))</f>
        <v/>
      </c>
      <c r="J119" s="27"/>
      <c r="K119" s="29"/>
      <c r="L119" s="28"/>
      <c r="M119" s="32"/>
      <c r="N119" s="27"/>
      <c r="O119" s="29"/>
      <c r="P119" s="28"/>
      <c r="Q119" s="32"/>
      <c r="R119" s="27"/>
      <c r="S119" s="29"/>
      <c r="T119" s="28"/>
      <c r="U119" s="32"/>
      <c r="V119" s="27"/>
      <c r="W119" s="29"/>
      <c r="X119" s="28"/>
      <c r="Y119" s="32"/>
      <c r="Z119" s="27"/>
      <c r="AA119" s="29"/>
      <c r="AB119" s="28"/>
      <c r="AC119" s="32"/>
      <c r="AD119" s="27"/>
      <c r="AE119" s="29"/>
      <c r="AF119" s="28"/>
      <c r="AG119" s="32"/>
      <c r="AH119" s="27"/>
      <c r="AI119" s="29"/>
      <c r="AJ119" s="28"/>
      <c r="AK119" s="32"/>
      <c r="AL119" s="27"/>
      <c r="AM119" s="29"/>
      <c r="AN119" s="28"/>
      <c r="AO119" s="32"/>
      <c r="AP119" s="27"/>
      <c r="AQ119" s="29"/>
      <c r="AR119" s="28"/>
      <c r="AS119" s="32"/>
      <c r="AT119" s="27"/>
      <c r="AU119" s="29"/>
      <c r="AV119" s="28"/>
      <c r="AW119" s="32"/>
      <c r="AX119" s="27"/>
      <c r="AY119" s="29"/>
      <c r="AZ119" s="28"/>
      <c r="BA119" s="32"/>
      <c r="BB119" s="27"/>
      <c r="BC119" s="29"/>
      <c r="BD119" s="28"/>
      <c r="BE119" s="32"/>
      <c r="BF119" s="27"/>
      <c r="BG119" s="29"/>
      <c r="BH119" s="28"/>
      <c r="BI119" s="32"/>
      <c r="BJ119" s="27"/>
      <c r="BK119" s="29"/>
      <c r="BL119" s="28"/>
      <c r="BM119" s="32"/>
    </row>
    <row r="120" customFormat="false" ht="15.75" hidden="false" customHeight="true" outlineLevel="0" collapsed="false">
      <c r="A120" s="27"/>
      <c r="B120" s="39" t="str">
        <f aca="false">IFERROR(INDEX(Customers!$C$4:$C$1003,MATCH($A120,Customers!$A$4:$A$1003,0)),"")</f>
        <v/>
      </c>
      <c r="C120" s="31" t="str">
        <f aca="false">IFERROR(INDEX(Customers!$F$4:$F$1003,MATCH($A120,Customers!$A$4:$A$1003,0)),"")</f>
        <v/>
      </c>
      <c r="D120" s="33" t="str">
        <f aca="false">IFERROR(INDEX(Customers!$K$4:$K$1003,MATCH($A120,Customers!$A$4:$A$1003,0)),"")</f>
        <v/>
      </c>
      <c r="E120" s="33" t="str">
        <f aca="false">IF($A120="","",IF($F120=0,"Not Started",IF($BJ120="Completed",Settings!$U$45,IF($BF120="Completed",Settings!$U$44,IF($BB120="Completed",Settings!$U$43,IF($AX120="Completed",Settings!$U$42,IF($AT120="Completed",Settings!$U$41,IF($AP120="Completed",Settings!$U$40,IF($AL120="Completed",Settings!$U$39,IF($AH120="Completed",Settings!$U$38,IF($AD120="Completed",Settings!$U$37,IF($Z120="Completed",Settings!$U$36,IF($V120="Completed",Settings!$U$35,IF($R120="Completed",Settings!$U$34,IF($N120="Completed",Settings!$U$33,IF($J120="Completed",Settings!$U$32,""))))))))))))))))</f>
        <v/>
      </c>
      <c r="F120" s="30" t="str">
        <f aca="false">IF($A120="","",COUNTIF($J120:$BM120,"Completed"))</f>
        <v/>
      </c>
      <c r="G120" s="35" t="str">
        <f aca="false">IF($A120="","",MIN($F120/13,1))</f>
        <v/>
      </c>
      <c r="H120" s="31" t="str">
        <f aca="false">IF($A120="","",IF($BJ120="Completed","Case Completed",IF($AX120="Completed","Visa Rejected",IF($BF120="Completed","Departed to Europe",IF($F120=0,"Not Started","In Progress")))))</f>
        <v/>
      </c>
      <c r="I120" s="30" t="str">
        <f aca="true">IF($K120="","",IF($BK120&lt;&gt;"",$BK120-$K120,IF($AY120&lt;&gt;"",$AY120-$K120,TODAY()-$K120)))</f>
        <v/>
      </c>
      <c r="J120" s="27"/>
      <c r="K120" s="29"/>
      <c r="L120" s="28"/>
      <c r="M120" s="32"/>
      <c r="N120" s="27"/>
      <c r="O120" s="29"/>
      <c r="P120" s="28"/>
      <c r="Q120" s="32"/>
      <c r="R120" s="27"/>
      <c r="S120" s="29"/>
      <c r="T120" s="28"/>
      <c r="U120" s="32"/>
      <c r="V120" s="27"/>
      <c r="W120" s="29"/>
      <c r="X120" s="28"/>
      <c r="Y120" s="32"/>
      <c r="Z120" s="27"/>
      <c r="AA120" s="29"/>
      <c r="AB120" s="28"/>
      <c r="AC120" s="32"/>
      <c r="AD120" s="27"/>
      <c r="AE120" s="29"/>
      <c r="AF120" s="28"/>
      <c r="AG120" s="32"/>
      <c r="AH120" s="27"/>
      <c r="AI120" s="29"/>
      <c r="AJ120" s="28"/>
      <c r="AK120" s="32"/>
      <c r="AL120" s="27"/>
      <c r="AM120" s="29"/>
      <c r="AN120" s="28"/>
      <c r="AO120" s="32"/>
      <c r="AP120" s="27"/>
      <c r="AQ120" s="29"/>
      <c r="AR120" s="28"/>
      <c r="AS120" s="32"/>
      <c r="AT120" s="27"/>
      <c r="AU120" s="29"/>
      <c r="AV120" s="28"/>
      <c r="AW120" s="32"/>
      <c r="AX120" s="27"/>
      <c r="AY120" s="29"/>
      <c r="AZ120" s="28"/>
      <c r="BA120" s="32"/>
      <c r="BB120" s="27"/>
      <c r="BC120" s="29"/>
      <c r="BD120" s="28"/>
      <c r="BE120" s="32"/>
      <c r="BF120" s="27"/>
      <c r="BG120" s="29"/>
      <c r="BH120" s="28"/>
      <c r="BI120" s="32"/>
      <c r="BJ120" s="27"/>
      <c r="BK120" s="29"/>
      <c r="BL120" s="28"/>
      <c r="BM120" s="32"/>
    </row>
    <row r="121" customFormat="false" ht="15.75" hidden="false" customHeight="true" outlineLevel="0" collapsed="false">
      <c r="A121" s="27"/>
      <c r="B121" s="39" t="str">
        <f aca="false">IFERROR(INDEX(Customers!$C$4:$C$1003,MATCH($A121,Customers!$A$4:$A$1003,0)),"")</f>
        <v/>
      </c>
      <c r="C121" s="31" t="str">
        <f aca="false">IFERROR(INDEX(Customers!$F$4:$F$1003,MATCH($A121,Customers!$A$4:$A$1003,0)),"")</f>
        <v/>
      </c>
      <c r="D121" s="33" t="str">
        <f aca="false">IFERROR(INDEX(Customers!$K$4:$K$1003,MATCH($A121,Customers!$A$4:$A$1003,0)),"")</f>
        <v/>
      </c>
      <c r="E121" s="33" t="str">
        <f aca="false">IF($A121="","",IF($F121=0,"Not Started",IF($BJ121="Completed",Settings!$U$45,IF($BF121="Completed",Settings!$U$44,IF($BB121="Completed",Settings!$U$43,IF($AX121="Completed",Settings!$U$42,IF($AT121="Completed",Settings!$U$41,IF($AP121="Completed",Settings!$U$40,IF($AL121="Completed",Settings!$U$39,IF($AH121="Completed",Settings!$U$38,IF($AD121="Completed",Settings!$U$37,IF($Z121="Completed",Settings!$U$36,IF($V121="Completed",Settings!$U$35,IF($R121="Completed",Settings!$U$34,IF($N121="Completed",Settings!$U$33,IF($J121="Completed",Settings!$U$32,""))))))))))))))))</f>
        <v/>
      </c>
      <c r="F121" s="30" t="str">
        <f aca="false">IF($A121="","",COUNTIF($J121:$BM121,"Completed"))</f>
        <v/>
      </c>
      <c r="G121" s="35" t="str">
        <f aca="false">IF($A121="","",MIN($F121/13,1))</f>
        <v/>
      </c>
      <c r="H121" s="31" t="str">
        <f aca="false">IF($A121="","",IF($BJ121="Completed","Case Completed",IF($AX121="Completed","Visa Rejected",IF($BF121="Completed","Departed to Europe",IF($F121=0,"Not Started","In Progress")))))</f>
        <v/>
      </c>
      <c r="I121" s="30" t="str">
        <f aca="true">IF($K121="","",IF($BK121&lt;&gt;"",$BK121-$K121,IF($AY121&lt;&gt;"",$AY121-$K121,TODAY()-$K121)))</f>
        <v/>
      </c>
      <c r="J121" s="27"/>
      <c r="K121" s="29"/>
      <c r="L121" s="28"/>
      <c r="M121" s="32"/>
      <c r="N121" s="27"/>
      <c r="O121" s="29"/>
      <c r="P121" s="28"/>
      <c r="Q121" s="32"/>
      <c r="R121" s="27"/>
      <c r="S121" s="29"/>
      <c r="T121" s="28"/>
      <c r="U121" s="32"/>
      <c r="V121" s="27"/>
      <c r="W121" s="29"/>
      <c r="X121" s="28"/>
      <c r="Y121" s="32"/>
      <c r="Z121" s="27"/>
      <c r="AA121" s="29"/>
      <c r="AB121" s="28"/>
      <c r="AC121" s="32"/>
      <c r="AD121" s="27"/>
      <c r="AE121" s="29"/>
      <c r="AF121" s="28"/>
      <c r="AG121" s="32"/>
      <c r="AH121" s="27"/>
      <c r="AI121" s="29"/>
      <c r="AJ121" s="28"/>
      <c r="AK121" s="32"/>
      <c r="AL121" s="27"/>
      <c r="AM121" s="29"/>
      <c r="AN121" s="28"/>
      <c r="AO121" s="32"/>
      <c r="AP121" s="27"/>
      <c r="AQ121" s="29"/>
      <c r="AR121" s="28"/>
      <c r="AS121" s="32"/>
      <c r="AT121" s="27"/>
      <c r="AU121" s="29"/>
      <c r="AV121" s="28"/>
      <c r="AW121" s="32"/>
      <c r="AX121" s="27"/>
      <c r="AY121" s="29"/>
      <c r="AZ121" s="28"/>
      <c r="BA121" s="32"/>
      <c r="BB121" s="27"/>
      <c r="BC121" s="29"/>
      <c r="BD121" s="28"/>
      <c r="BE121" s="32"/>
      <c r="BF121" s="27"/>
      <c r="BG121" s="29"/>
      <c r="BH121" s="28"/>
      <c r="BI121" s="32"/>
      <c r="BJ121" s="27"/>
      <c r="BK121" s="29"/>
      <c r="BL121" s="28"/>
      <c r="BM121" s="32"/>
    </row>
    <row r="122" customFormat="false" ht="15.75" hidden="false" customHeight="true" outlineLevel="0" collapsed="false">
      <c r="A122" s="27"/>
      <c r="B122" s="39" t="str">
        <f aca="false">IFERROR(INDEX(Customers!$C$4:$C$1003,MATCH($A122,Customers!$A$4:$A$1003,0)),"")</f>
        <v/>
      </c>
      <c r="C122" s="31" t="str">
        <f aca="false">IFERROR(INDEX(Customers!$F$4:$F$1003,MATCH($A122,Customers!$A$4:$A$1003,0)),"")</f>
        <v/>
      </c>
      <c r="D122" s="33" t="str">
        <f aca="false">IFERROR(INDEX(Customers!$K$4:$K$1003,MATCH($A122,Customers!$A$4:$A$1003,0)),"")</f>
        <v/>
      </c>
      <c r="E122" s="33" t="str">
        <f aca="false">IF($A122="","",IF($F122=0,"Not Started",IF($BJ122="Completed",Settings!$U$45,IF($BF122="Completed",Settings!$U$44,IF($BB122="Completed",Settings!$U$43,IF($AX122="Completed",Settings!$U$42,IF($AT122="Completed",Settings!$U$41,IF($AP122="Completed",Settings!$U$40,IF($AL122="Completed",Settings!$U$39,IF($AH122="Completed",Settings!$U$38,IF($AD122="Completed",Settings!$U$37,IF($Z122="Completed",Settings!$U$36,IF($V122="Completed",Settings!$U$35,IF($R122="Completed",Settings!$U$34,IF($N122="Completed",Settings!$U$33,IF($J122="Completed",Settings!$U$32,""))))))))))))))))</f>
        <v/>
      </c>
      <c r="F122" s="30" t="str">
        <f aca="false">IF($A122="","",COUNTIF($J122:$BM122,"Completed"))</f>
        <v/>
      </c>
      <c r="G122" s="35" t="str">
        <f aca="false">IF($A122="","",MIN($F122/13,1))</f>
        <v/>
      </c>
      <c r="H122" s="31" t="str">
        <f aca="false">IF($A122="","",IF($BJ122="Completed","Case Completed",IF($AX122="Completed","Visa Rejected",IF($BF122="Completed","Departed to Europe",IF($F122=0,"Not Started","In Progress")))))</f>
        <v/>
      </c>
      <c r="I122" s="30" t="str">
        <f aca="true">IF($K122="","",IF($BK122&lt;&gt;"",$BK122-$K122,IF($AY122&lt;&gt;"",$AY122-$K122,TODAY()-$K122)))</f>
        <v/>
      </c>
      <c r="J122" s="27"/>
      <c r="K122" s="29"/>
      <c r="L122" s="28"/>
      <c r="M122" s="32"/>
      <c r="N122" s="27"/>
      <c r="O122" s="29"/>
      <c r="P122" s="28"/>
      <c r="Q122" s="32"/>
      <c r="R122" s="27"/>
      <c r="S122" s="29"/>
      <c r="T122" s="28"/>
      <c r="U122" s="32"/>
      <c r="V122" s="27"/>
      <c r="W122" s="29"/>
      <c r="X122" s="28"/>
      <c r="Y122" s="32"/>
      <c r="Z122" s="27"/>
      <c r="AA122" s="29"/>
      <c r="AB122" s="28"/>
      <c r="AC122" s="32"/>
      <c r="AD122" s="27"/>
      <c r="AE122" s="29"/>
      <c r="AF122" s="28"/>
      <c r="AG122" s="32"/>
      <c r="AH122" s="27"/>
      <c r="AI122" s="29"/>
      <c r="AJ122" s="28"/>
      <c r="AK122" s="32"/>
      <c r="AL122" s="27"/>
      <c r="AM122" s="29"/>
      <c r="AN122" s="28"/>
      <c r="AO122" s="32"/>
      <c r="AP122" s="27"/>
      <c r="AQ122" s="29"/>
      <c r="AR122" s="28"/>
      <c r="AS122" s="32"/>
      <c r="AT122" s="27"/>
      <c r="AU122" s="29"/>
      <c r="AV122" s="28"/>
      <c r="AW122" s="32"/>
      <c r="AX122" s="27"/>
      <c r="AY122" s="29"/>
      <c r="AZ122" s="28"/>
      <c r="BA122" s="32"/>
      <c r="BB122" s="27"/>
      <c r="BC122" s="29"/>
      <c r="BD122" s="28"/>
      <c r="BE122" s="32"/>
      <c r="BF122" s="27"/>
      <c r="BG122" s="29"/>
      <c r="BH122" s="28"/>
      <c r="BI122" s="32"/>
      <c r="BJ122" s="27"/>
      <c r="BK122" s="29"/>
      <c r="BL122" s="28"/>
      <c r="BM122" s="32"/>
    </row>
    <row r="123" customFormat="false" ht="15.75" hidden="false" customHeight="true" outlineLevel="0" collapsed="false">
      <c r="A123" s="27"/>
      <c r="B123" s="39" t="str">
        <f aca="false">IFERROR(INDEX(Customers!$C$4:$C$1003,MATCH($A123,Customers!$A$4:$A$1003,0)),"")</f>
        <v/>
      </c>
      <c r="C123" s="31" t="str">
        <f aca="false">IFERROR(INDEX(Customers!$F$4:$F$1003,MATCH($A123,Customers!$A$4:$A$1003,0)),"")</f>
        <v/>
      </c>
      <c r="D123" s="33" t="str">
        <f aca="false">IFERROR(INDEX(Customers!$K$4:$K$1003,MATCH($A123,Customers!$A$4:$A$1003,0)),"")</f>
        <v/>
      </c>
      <c r="E123" s="33" t="str">
        <f aca="false">IF($A123="","",IF($F123=0,"Not Started",IF($BJ123="Completed",Settings!$U$45,IF($BF123="Completed",Settings!$U$44,IF($BB123="Completed",Settings!$U$43,IF($AX123="Completed",Settings!$U$42,IF($AT123="Completed",Settings!$U$41,IF($AP123="Completed",Settings!$U$40,IF($AL123="Completed",Settings!$U$39,IF($AH123="Completed",Settings!$U$38,IF($AD123="Completed",Settings!$U$37,IF($Z123="Completed",Settings!$U$36,IF($V123="Completed",Settings!$U$35,IF($R123="Completed",Settings!$U$34,IF($N123="Completed",Settings!$U$33,IF($J123="Completed",Settings!$U$32,""))))))))))))))))</f>
        <v/>
      </c>
      <c r="F123" s="30" t="str">
        <f aca="false">IF($A123="","",COUNTIF($J123:$BM123,"Completed"))</f>
        <v/>
      </c>
      <c r="G123" s="35" t="str">
        <f aca="false">IF($A123="","",MIN($F123/13,1))</f>
        <v/>
      </c>
      <c r="H123" s="31" t="str">
        <f aca="false">IF($A123="","",IF($BJ123="Completed","Case Completed",IF($AX123="Completed","Visa Rejected",IF($BF123="Completed","Departed to Europe",IF($F123=0,"Not Started","In Progress")))))</f>
        <v/>
      </c>
      <c r="I123" s="30" t="str">
        <f aca="true">IF($K123="","",IF($BK123&lt;&gt;"",$BK123-$K123,IF($AY123&lt;&gt;"",$AY123-$K123,TODAY()-$K123)))</f>
        <v/>
      </c>
      <c r="J123" s="27"/>
      <c r="K123" s="29"/>
      <c r="L123" s="28"/>
      <c r="M123" s="32"/>
      <c r="N123" s="27"/>
      <c r="O123" s="29"/>
      <c r="P123" s="28"/>
      <c r="Q123" s="32"/>
      <c r="R123" s="27"/>
      <c r="S123" s="29"/>
      <c r="T123" s="28"/>
      <c r="U123" s="32"/>
      <c r="V123" s="27"/>
      <c r="W123" s="29"/>
      <c r="X123" s="28"/>
      <c r="Y123" s="32"/>
      <c r="Z123" s="27"/>
      <c r="AA123" s="29"/>
      <c r="AB123" s="28"/>
      <c r="AC123" s="32"/>
      <c r="AD123" s="27"/>
      <c r="AE123" s="29"/>
      <c r="AF123" s="28"/>
      <c r="AG123" s="32"/>
      <c r="AH123" s="27"/>
      <c r="AI123" s="29"/>
      <c r="AJ123" s="28"/>
      <c r="AK123" s="32"/>
      <c r="AL123" s="27"/>
      <c r="AM123" s="29"/>
      <c r="AN123" s="28"/>
      <c r="AO123" s="32"/>
      <c r="AP123" s="27"/>
      <c r="AQ123" s="29"/>
      <c r="AR123" s="28"/>
      <c r="AS123" s="32"/>
      <c r="AT123" s="27"/>
      <c r="AU123" s="29"/>
      <c r="AV123" s="28"/>
      <c r="AW123" s="32"/>
      <c r="AX123" s="27"/>
      <c r="AY123" s="29"/>
      <c r="AZ123" s="28"/>
      <c r="BA123" s="32"/>
      <c r="BB123" s="27"/>
      <c r="BC123" s="29"/>
      <c r="BD123" s="28"/>
      <c r="BE123" s="32"/>
      <c r="BF123" s="27"/>
      <c r="BG123" s="29"/>
      <c r="BH123" s="28"/>
      <c r="BI123" s="32"/>
      <c r="BJ123" s="27"/>
      <c r="BK123" s="29"/>
      <c r="BL123" s="28"/>
      <c r="BM123" s="32"/>
    </row>
    <row r="124" customFormat="false" ht="15.75" hidden="false" customHeight="true" outlineLevel="0" collapsed="false">
      <c r="A124" s="27"/>
      <c r="B124" s="39" t="str">
        <f aca="false">IFERROR(INDEX(Customers!$C$4:$C$1003,MATCH($A124,Customers!$A$4:$A$1003,0)),"")</f>
        <v/>
      </c>
      <c r="C124" s="31" t="str">
        <f aca="false">IFERROR(INDEX(Customers!$F$4:$F$1003,MATCH($A124,Customers!$A$4:$A$1003,0)),"")</f>
        <v/>
      </c>
      <c r="D124" s="33" t="str">
        <f aca="false">IFERROR(INDEX(Customers!$K$4:$K$1003,MATCH($A124,Customers!$A$4:$A$1003,0)),"")</f>
        <v/>
      </c>
      <c r="E124" s="33" t="str">
        <f aca="false">IF($A124="","",IF($F124=0,"Not Started",IF($BJ124="Completed",Settings!$U$45,IF($BF124="Completed",Settings!$U$44,IF($BB124="Completed",Settings!$U$43,IF($AX124="Completed",Settings!$U$42,IF($AT124="Completed",Settings!$U$41,IF($AP124="Completed",Settings!$U$40,IF($AL124="Completed",Settings!$U$39,IF($AH124="Completed",Settings!$U$38,IF($AD124="Completed",Settings!$U$37,IF($Z124="Completed",Settings!$U$36,IF($V124="Completed",Settings!$U$35,IF($R124="Completed",Settings!$U$34,IF($N124="Completed",Settings!$U$33,IF($J124="Completed",Settings!$U$32,""))))))))))))))))</f>
        <v/>
      </c>
      <c r="F124" s="30" t="str">
        <f aca="false">IF($A124="","",COUNTIF($J124:$BM124,"Completed"))</f>
        <v/>
      </c>
      <c r="G124" s="35" t="str">
        <f aca="false">IF($A124="","",MIN($F124/13,1))</f>
        <v/>
      </c>
      <c r="H124" s="31" t="str">
        <f aca="false">IF($A124="","",IF($BJ124="Completed","Case Completed",IF($AX124="Completed","Visa Rejected",IF($BF124="Completed","Departed to Europe",IF($F124=0,"Not Started","In Progress")))))</f>
        <v/>
      </c>
      <c r="I124" s="30" t="str">
        <f aca="true">IF($K124="","",IF($BK124&lt;&gt;"",$BK124-$K124,IF($AY124&lt;&gt;"",$AY124-$K124,TODAY()-$K124)))</f>
        <v/>
      </c>
      <c r="J124" s="27"/>
      <c r="K124" s="29"/>
      <c r="L124" s="28"/>
      <c r="M124" s="32"/>
      <c r="N124" s="27"/>
      <c r="O124" s="29"/>
      <c r="P124" s="28"/>
      <c r="Q124" s="32"/>
      <c r="R124" s="27"/>
      <c r="S124" s="29"/>
      <c r="T124" s="28"/>
      <c r="U124" s="32"/>
      <c r="V124" s="27"/>
      <c r="W124" s="29"/>
      <c r="X124" s="28"/>
      <c r="Y124" s="32"/>
      <c r="Z124" s="27"/>
      <c r="AA124" s="29"/>
      <c r="AB124" s="28"/>
      <c r="AC124" s="32"/>
      <c r="AD124" s="27"/>
      <c r="AE124" s="29"/>
      <c r="AF124" s="28"/>
      <c r="AG124" s="32"/>
      <c r="AH124" s="27"/>
      <c r="AI124" s="29"/>
      <c r="AJ124" s="28"/>
      <c r="AK124" s="32"/>
      <c r="AL124" s="27"/>
      <c r="AM124" s="29"/>
      <c r="AN124" s="28"/>
      <c r="AO124" s="32"/>
      <c r="AP124" s="27"/>
      <c r="AQ124" s="29"/>
      <c r="AR124" s="28"/>
      <c r="AS124" s="32"/>
      <c r="AT124" s="27"/>
      <c r="AU124" s="29"/>
      <c r="AV124" s="28"/>
      <c r="AW124" s="32"/>
      <c r="AX124" s="27"/>
      <c r="AY124" s="29"/>
      <c r="AZ124" s="28"/>
      <c r="BA124" s="32"/>
      <c r="BB124" s="27"/>
      <c r="BC124" s="29"/>
      <c r="BD124" s="28"/>
      <c r="BE124" s="32"/>
      <c r="BF124" s="27"/>
      <c r="BG124" s="29"/>
      <c r="BH124" s="28"/>
      <c r="BI124" s="32"/>
      <c r="BJ124" s="27"/>
      <c r="BK124" s="29"/>
      <c r="BL124" s="28"/>
      <c r="BM124" s="32"/>
    </row>
    <row r="125" customFormat="false" ht="15.75" hidden="false" customHeight="true" outlineLevel="0" collapsed="false">
      <c r="A125" s="27"/>
      <c r="B125" s="39" t="str">
        <f aca="false">IFERROR(INDEX(Customers!$C$4:$C$1003,MATCH($A125,Customers!$A$4:$A$1003,0)),"")</f>
        <v/>
      </c>
      <c r="C125" s="31" t="str">
        <f aca="false">IFERROR(INDEX(Customers!$F$4:$F$1003,MATCH($A125,Customers!$A$4:$A$1003,0)),"")</f>
        <v/>
      </c>
      <c r="D125" s="33" t="str">
        <f aca="false">IFERROR(INDEX(Customers!$K$4:$K$1003,MATCH($A125,Customers!$A$4:$A$1003,0)),"")</f>
        <v/>
      </c>
      <c r="E125" s="33" t="str">
        <f aca="false">IF($A125="","",IF($F125=0,"Not Started",IF($BJ125="Completed",Settings!$U$45,IF($BF125="Completed",Settings!$U$44,IF($BB125="Completed",Settings!$U$43,IF($AX125="Completed",Settings!$U$42,IF($AT125="Completed",Settings!$U$41,IF($AP125="Completed",Settings!$U$40,IF($AL125="Completed",Settings!$U$39,IF($AH125="Completed",Settings!$U$38,IF($AD125="Completed",Settings!$U$37,IF($Z125="Completed",Settings!$U$36,IF($V125="Completed",Settings!$U$35,IF($R125="Completed",Settings!$U$34,IF($N125="Completed",Settings!$U$33,IF($J125="Completed",Settings!$U$32,""))))))))))))))))</f>
        <v/>
      </c>
      <c r="F125" s="30" t="str">
        <f aca="false">IF($A125="","",COUNTIF($J125:$BM125,"Completed"))</f>
        <v/>
      </c>
      <c r="G125" s="35" t="str">
        <f aca="false">IF($A125="","",MIN($F125/13,1))</f>
        <v/>
      </c>
      <c r="H125" s="31" t="str">
        <f aca="false">IF($A125="","",IF($BJ125="Completed","Case Completed",IF($AX125="Completed","Visa Rejected",IF($BF125="Completed","Departed to Europe",IF($F125=0,"Not Started","In Progress")))))</f>
        <v/>
      </c>
      <c r="I125" s="30" t="str">
        <f aca="true">IF($K125="","",IF($BK125&lt;&gt;"",$BK125-$K125,IF($AY125&lt;&gt;"",$AY125-$K125,TODAY()-$K125)))</f>
        <v/>
      </c>
      <c r="J125" s="27"/>
      <c r="K125" s="29"/>
      <c r="L125" s="28"/>
      <c r="M125" s="32"/>
      <c r="N125" s="27"/>
      <c r="O125" s="29"/>
      <c r="P125" s="28"/>
      <c r="Q125" s="32"/>
      <c r="R125" s="27"/>
      <c r="S125" s="29"/>
      <c r="T125" s="28"/>
      <c r="U125" s="32"/>
      <c r="V125" s="27"/>
      <c r="W125" s="29"/>
      <c r="X125" s="28"/>
      <c r="Y125" s="32"/>
      <c r="Z125" s="27"/>
      <c r="AA125" s="29"/>
      <c r="AB125" s="28"/>
      <c r="AC125" s="32"/>
      <c r="AD125" s="27"/>
      <c r="AE125" s="29"/>
      <c r="AF125" s="28"/>
      <c r="AG125" s="32"/>
      <c r="AH125" s="27"/>
      <c r="AI125" s="29"/>
      <c r="AJ125" s="28"/>
      <c r="AK125" s="32"/>
      <c r="AL125" s="27"/>
      <c r="AM125" s="29"/>
      <c r="AN125" s="28"/>
      <c r="AO125" s="32"/>
      <c r="AP125" s="27"/>
      <c r="AQ125" s="29"/>
      <c r="AR125" s="28"/>
      <c r="AS125" s="32"/>
      <c r="AT125" s="27"/>
      <c r="AU125" s="29"/>
      <c r="AV125" s="28"/>
      <c r="AW125" s="32"/>
      <c r="AX125" s="27"/>
      <c r="AY125" s="29"/>
      <c r="AZ125" s="28"/>
      <c r="BA125" s="32"/>
      <c r="BB125" s="27"/>
      <c r="BC125" s="29"/>
      <c r="BD125" s="28"/>
      <c r="BE125" s="32"/>
      <c r="BF125" s="27"/>
      <c r="BG125" s="29"/>
      <c r="BH125" s="28"/>
      <c r="BI125" s="32"/>
      <c r="BJ125" s="27"/>
      <c r="BK125" s="29"/>
      <c r="BL125" s="28"/>
      <c r="BM125" s="32"/>
    </row>
    <row r="126" customFormat="false" ht="15.75" hidden="false" customHeight="true" outlineLevel="0" collapsed="false">
      <c r="A126" s="27"/>
      <c r="B126" s="39" t="str">
        <f aca="false">IFERROR(INDEX(Customers!$C$4:$C$1003,MATCH($A126,Customers!$A$4:$A$1003,0)),"")</f>
        <v/>
      </c>
      <c r="C126" s="31" t="str">
        <f aca="false">IFERROR(INDEX(Customers!$F$4:$F$1003,MATCH($A126,Customers!$A$4:$A$1003,0)),"")</f>
        <v/>
      </c>
      <c r="D126" s="33" t="str">
        <f aca="false">IFERROR(INDEX(Customers!$K$4:$K$1003,MATCH($A126,Customers!$A$4:$A$1003,0)),"")</f>
        <v/>
      </c>
      <c r="E126" s="33" t="str">
        <f aca="false">IF($A126="","",IF($F126=0,"Not Started",IF($BJ126="Completed",Settings!$U$45,IF($BF126="Completed",Settings!$U$44,IF($BB126="Completed",Settings!$U$43,IF($AX126="Completed",Settings!$U$42,IF($AT126="Completed",Settings!$U$41,IF($AP126="Completed",Settings!$U$40,IF($AL126="Completed",Settings!$U$39,IF($AH126="Completed",Settings!$U$38,IF($AD126="Completed",Settings!$U$37,IF($Z126="Completed",Settings!$U$36,IF($V126="Completed",Settings!$U$35,IF($R126="Completed",Settings!$U$34,IF($N126="Completed",Settings!$U$33,IF($J126="Completed",Settings!$U$32,""))))))))))))))))</f>
        <v/>
      </c>
      <c r="F126" s="30" t="str">
        <f aca="false">IF($A126="","",COUNTIF($J126:$BM126,"Completed"))</f>
        <v/>
      </c>
      <c r="G126" s="35" t="str">
        <f aca="false">IF($A126="","",MIN($F126/13,1))</f>
        <v/>
      </c>
      <c r="H126" s="31" t="str">
        <f aca="false">IF($A126="","",IF($BJ126="Completed","Case Completed",IF($AX126="Completed","Visa Rejected",IF($BF126="Completed","Departed to Europe",IF($F126=0,"Not Started","In Progress")))))</f>
        <v/>
      </c>
      <c r="I126" s="30" t="str">
        <f aca="true">IF($K126="","",IF($BK126&lt;&gt;"",$BK126-$K126,IF($AY126&lt;&gt;"",$AY126-$K126,TODAY()-$K126)))</f>
        <v/>
      </c>
      <c r="J126" s="27"/>
      <c r="K126" s="29"/>
      <c r="L126" s="28"/>
      <c r="M126" s="32"/>
      <c r="N126" s="27"/>
      <c r="O126" s="29"/>
      <c r="P126" s="28"/>
      <c r="Q126" s="32"/>
      <c r="R126" s="27"/>
      <c r="S126" s="29"/>
      <c r="T126" s="28"/>
      <c r="U126" s="32"/>
      <c r="V126" s="27"/>
      <c r="W126" s="29"/>
      <c r="X126" s="28"/>
      <c r="Y126" s="32"/>
      <c r="Z126" s="27"/>
      <c r="AA126" s="29"/>
      <c r="AB126" s="28"/>
      <c r="AC126" s="32"/>
      <c r="AD126" s="27"/>
      <c r="AE126" s="29"/>
      <c r="AF126" s="28"/>
      <c r="AG126" s="32"/>
      <c r="AH126" s="27"/>
      <c r="AI126" s="29"/>
      <c r="AJ126" s="28"/>
      <c r="AK126" s="32"/>
      <c r="AL126" s="27"/>
      <c r="AM126" s="29"/>
      <c r="AN126" s="28"/>
      <c r="AO126" s="32"/>
      <c r="AP126" s="27"/>
      <c r="AQ126" s="29"/>
      <c r="AR126" s="28"/>
      <c r="AS126" s="32"/>
      <c r="AT126" s="27"/>
      <c r="AU126" s="29"/>
      <c r="AV126" s="28"/>
      <c r="AW126" s="32"/>
      <c r="AX126" s="27"/>
      <c r="AY126" s="29"/>
      <c r="AZ126" s="28"/>
      <c r="BA126" s="32"/>
      <c r="BB126" s="27"/>
      <c r="BC126" s="29"/>
      <c r="BD126" s="28"/>
      <c r="BE126" s="32"/>
      <c r="BF126" s="27"/>
      <c r="BG126" s="29"/>
      <c r="BH126" s="28"/>
      <c r="BI126" s="32"/>
      <c r="BJ126" s="27"/>
      <c r="BK126" s="29"/>
      <c r="BL126" s="28"/>
      <c r="BM126" s="32"/>
    </row>
    <row r="127" customFormat="false" ht="15.75" hidden="false" customHeight="true" outlineLevel="0" collapsed="false">
      <c r="A127" s="27"/>
      <c r="B127" s="39" t="str">
        <f aca="false">IFERROR(INDEX(Customers!$C$4:$C$1003,MATCH($A127,Customers!$A$4:$A$1003,0)),"")</f>
        <v/>
      </c>
      <c r="C127" s="31" t="str">
        <f aca="false">IFERROR(INDEX(Customers!$F$4:$F$1003,MATCH($A127,Customers!$A$4:$A$1003,0)),"")</f>
        <v/>
      </c>
      <c r="D127" s="33" t="str">
        <f aca="false">IFERROR(INDEX(Customers!$K$4:$K$1003,MATCH($A127,Customers!$A$4:$A$1003,0)),"")</f>
        <v/>
      </c>
      <c r="E127" s="33" t="str">
        <f aca="false">IF($A127="","",IF($F127=0,"Not Started",IF($BJ127="Completed",Settings!$U$45,IF($BF127="Completed",Settings!$U$44,IF($BB127="Completed",Settings!$U$43,IF($AX127="Completed",Settings!$U$42,IF($AT127="Completed",Settings!$U$41,IF($AP127="Completed",Settings!$U$40,IF($AL127="Completed",Settings!$U$39,IF($AH127="Completed",Settings!$U$38,IF($AD127="Completed",Settings!$U$37,IF($Z127="Completed",Settings!$U$36,IF($V127="Completed",Settings!$U$35,IF($R127="Completed",Settings!$U$34,IF($N127="Completed",Settings!$U$33,IF($J127="Completed",Settings!$U$32,""))))))))))))))))</f>
        <v/>
      </c>
      <c r="F127" s="30" t="str">
        <f aca="false">IF($A127="","",COUNTIF($J127:$BM127,"Completed"))</f>
        <v/>
      </c>
      <c r="G127" s="35" t="str">
        <f aca="false">IF($A127="","",MIN($F127/13,1))</f>
        <v/>
      </c>
      <c r="H127" s="31" t="str">
        <f aca="false">IF($A127="","",IF($BJ127="Completed","Case Completed",IF($AX127="Completed","Visa Rejected",IF($BF127="Completed","Departed to Europe",IF($F127=0,"Not Started","In Progress")))))</f>
        <v/>
      </c>
      <c r="I127" s="30" t="str">
        <f aca="true">IF($K127="","",IF($BK127&lt;&gt;"",$BK127-$K127,IF($AY127&lt;&gt;"",$AY127-$K127,TODAY()-$K127)))</f>
        <v/>
      </c>
      <c r="J127" s="27"/>
      <c r="K127" s="29"/>
      <c r="L127" s="28"/>
      <c r="M127" s="32"/>
      <c r="N127" s="27"/>
      <c r="O127" s="29"/>
      <c r="P127" s="28"/>
      <c r="Q127" s="32"/>
      <c r="R127" s="27"/>
      <c r="S127" s="29"/>
      <c r="T127" s="28"/>
      <c r="U127" s="32"/>
      <c r="V127" s="27"/>
      <c r="W127" s="29"/>
      <c r="X127" s="28"/>
      <c r="Y127" s="32"/>
      <c r="Z127" s="27"/>
      <c r="AA127" s="29"/>
      <c r="AB127" s="28"/>
      <c r="AC127" s="32"/>
      <c r="AD127" s="27"/>
      <c r="AE127" s="29"/>
      <c r="AF127" s="28"/>
      <c r="AG127" s="32"/>
      <c r="AH127" s="27"/>
      <c r="AI127" s="29"/>
      <c r="AJ127" s="28"/>
      <c r="AK127" s="32"/>
      <c r="AL127" s="27"/>
      <c r="AM127" s="29"/>
      <c r="AN127" s="28"/>
      <c r="AO127" s="32"/>
      <c r="AP127" s="27"/>
      <c r="AQ127" s="29"/>
      <c r="AR127" s="28"/>
      <c r="AS127" s="32"/>
      <c r="AT127" s="27"/>
      <c r="AU127" s="29"/>
      <c r="AV127" s="28"/>
      <c r="AW127" s="32"/>
      <c r="AX127" s="27"/>
      <c r="AY127" s="29"/>
      <c r="AZ127" s="28"/>
      <c r="BA127" s="32"/>
      <c r="BB127" s="27"/>
      <c r="BC127" s="29"/>
      <c r="BD127" s="28"/>
      <c r="BE127" s="32"/>
      <c r="BF127" s="27"/>
      <c r="BG127" s="29"/>
      <c r="BH127" s="28"/>
      <c r="BI127" s="32"/>
      <c r="BJ127" s="27"/>
      <c r="BK127" s="29"/>
      <c r="BL127" s="28"/>
      <c r="BM127" s="32"/>
    </row>
    <row r="128" customFormat="false" ht="15.75" hidden="false" customHeight="true" outlineLevel="0" collapsed="false">
      <c r="A128" s="27"/>
      <c r="B128" s="39" t="str">
        <f aca="false">IFERROR(INDEX(Customers!$C$4:$C$1003,MATCH($A128,Customers!$A$4:$A$1003,0)),"")</f>
        <v/>
      </c>
      <c r="C128" s="31" t="str">
        <f aca="false">IFERROR(INDEX(Customers!$F$4:$F$1003,MATCH($A128,Customers!$A$4:$A$1003,0)),"")</f>
        <v/>
      </c>
      <c r="D128" s="33" t="str">
        <f aca="false">IFERROR(INDEX(Customers!$K$4:$K$1003,MATCH($A128,Customers!$A$4:$A$1003,0)),"")</f>
        <v/>
      </c>
      <c r="E128" s="33" t="str">
        <f aca="false">IF($A128="","",IF($F128=0,"Not Started",IF($BJ128="Completed",Settings!$U$45,IF($BF128="Completed",Settings!$U$44,IF($BB128="Completed",Settings!$U$43,IF($AX128="Completed",Settings!$U$42,IF($AT128="Completed",Settings!$U$41,IF($AP128="Completed",Settings!$U$40,IF($AL128="Completed",Settings!$U$39,IF($AH128="Completed",Settings!$U$38,IF($AD128="Completed",Settings!$U$37,IF($Z128="Completed",Settings!$U$36,IF($V128="Completed",Settings!$U$35,IF($R128="Completed",Settings!$U$34,IF($N128="Completed",Settings!$U$33,IF($J128="Completed",Settings!$U$32,""))))))))))))))))</f>
        <v/>
      </c>
      <c r="F128" s="30" t="str">
        <f aca="false">IF($A128="","",COUNTIF($J128:$BM128,"Completed"))</f>
        <v/>
      </c>
      <c r="G128" s="35" t="str">
        <f aca="false">IF($A128="","",MIN($F128/13,1))</f>
        <v/>
      </c>
      <c r="H128" s="31" t="str">
        <f aca="false">IF($A128="","",IF($BJ128="Completed","Case Completed",IF($AX128="Completed","Visa Rejected",IF($BF128="Completed","Departed to Europe",IF($F128=0,"Not Started","In Progress")))))</f>
        <v/>
      </c>
      <c r="I128" s="30" t="str">
        <f aca="true">IF($K128="","",IF($BK128&lt;&gt;"",$BK128-$K128,IF($AY128&lt;&gt;"",$AY128-$K128,TODAY()-$K128)))</f>
        <v/>
      </c>
      <c r="J128" s="27"/>
      <c r="K128" s="29"/>
      <c r="L128" s="28"/>
      <c r="M128" s="32"/>
      <c r="N128" s="27"/>
      <c r="O128" s="29"/>
      <c r="P128" s="28"/>
      <c r="Q128" s="32"/>
      <c r="R128" s="27"/>
      <c r="S128" s="29"/>
      <c r="T128" s="28"/>
      <c r="U128" s="32"/>
      <c r="V128" s="27"/>
      <c r="W128" s="29"/>
      <c r="X128" s="28"/>
      <c r="Y128" s="32"/>
      <c r="Z128" s="27"/>
      <c r="AA128" s="29"/>
      <c r="AB128" s="28"/>
      <c r="AC128" s="32"/>
      <c r="AD128" s="27"/>
      <c r="AE128" s="29"/>
      <c r="AF128" s="28"/>
      <c r="AG128" s="32"/>
      <c r="AH128" s="27"/>
      <c r="AI128" s="29"/>
      <c r="AJ128" s="28"/>
      <c r="AK128" s="32"/>
      <c r="AL128" s="27"/>
      <c r="AM128" s="29"/>
      <c r="AN128" s="28"/>
      <c r="AO128" s="32"/>
      <c r="AP128" s="27"/>
      <c r="AQ128" s="29"/>
      <c r="AR128" s="28"/>
      <c r="AS128" s="32"/>
      <c r="AT128" s="27"/>
      <c r="AU128" s="29"/>
      <c r="AV128" s="28"/>
      <c r="AW128" s="32"/>
      <c r="AX128" s="27"/>
      <c r="AY128" s="29"/>
      <c r="AZ128" s="28"/>
      <c r="BA128" s="32"/>
      <c r="BB128" s="27"/>
      <c r="BC128" s="29"/>
      <c r="BD128" s="28"/>
      <c r="BE128" s="32"/>
      <c r="BF128" s="27"/>
      <c r="BG128" s="29"/>
      <c r="BH128" s="28"/>
      <c r="BI128" s="32"/>
      <c r="BJ128" s="27"/>
      <c r="BK128" s="29"/>
      <c r="BL128" s="28"/>
      <c r="BM128" s="32"/>
    </row>
    <row r="129" customFormat="false" ht="15.75" hidden="false" customHeight="true" outlineLevel="0" collapsed="false">
      <c r="A129" s="27"/>
      <c r="B129" s="39" t="str">
        <f aca="false">IFERROR(INDEX(Customers!$C$4:$C$1003,MATCH($A129,Customers!$A$4:$A$1003,0)),"")</f>
        <v/>
      </c>
      <c r="C129" s="31" t="str">
        <f aca="false">IFERROR(INDEX(Customers!$F$4:$F$1003,MATCH($A129,Customers!$A$4:$A$1003,0)),"")</f>
        <v/>
      </c>
      <c r="D129" s="33" t="str">
        <f aca="false">IFERROR(INDEX(Customers!$K$4:$K$1003,MATCH($A129,Customers!$A$4:$A$1003,0)),"")</f>
        <v/>
      </c>
      <c r="E129" s="33" t="str">
        <f aca="false">IF($A129="","",IF($F129=0,"Not Started",IF($BJ129="Completed",Settings!$U$45,IF($BF129="Completed",Settings!$U$44,IF($BB129="Completed",Settings!$U$43,IF($AX129="Completed",Settings!$U$42,IF($AT129="Completed",Settings!$U$41,IF($AP129="Completed",Settings!$U$40,IF($AL129="Completed",Settings!$U$39,IF($AH129="Completed",Settings!$U$38,IF($AD129="Completed",Settings!$U$37,IF($Z129="Completed",Settings!$U$36,IF($V129="Completed",Settings!$U$35,IF($R129="Completed",Settings!$U$34,IF($N129="Completed",Settings!$U$33,IF($J129="Completed",Settings!$U$32,""))))))))))))))))</f>
        <v/>
      </c>
      <c r="F129" s="30" t="str">
        <f aca="false">IF($A129="","",COUNTIF($J129:$BM129,"Completed"))</f>
        <v/>
      </c>
      <c r="G129" s="35" t="str">
        <f aca="false">IF($A129="","",MIN($F129/13,1))</f>
        <v/>
      </c>
      <c r="H129" s="31" t="str">
        <f aca="false">IF($A129="","",IF($BJ129="Completed","Case Completed",IF($AX129="Completed","Visa Rejected",IF($BF129="Completed","Departed to Europe",IF($F129=0,"Not Started","In Progress")))))</f>
        <v/>
      </c>
      <c r="I129" s="30" t="str">
        <f aca="true">IF($K129="","",IF($BK129&lt;&gt;"",$BK129-$K129,IF($AY129&lt;&gt;"",$AY129-$K129,TODAY()-$K129)))</f>
        <v/>
      </c>
      <c r="J129" s="27"/>
      <c r="K129" s="29"/>
      <c r="L129" s="28"/>
      <c r="M129" s="32"/>
      <c r="N129" s="27"/>
      <c r="O129" s="29"/>
      <c r="P129" s="28"/>
      <c r="Q129" s="32"/>
      <c r="R129" s="27"/>
      <c r="S129" s="29"/>
      <c r="T129" s="28"/>
      <c r="U129" s="32"/>
      <c r="V129" s="27"/>
      <c r="W129" s="29"/>
      <c r="X129" s="28"/>
      <c r="Y129" s="32"/>
      <c r="Z129" s="27"/>
      <c r="AA129" s="29"/>
      <c r="AB129" s="28"/>
      <c r="AC129" s="32"/>
      <c r="AD129" s="27"/>
      <c r="AE129" s="29"/>
      <c r="AF129" s="28"/>
      <c r="AG129" s="32"/>
      <c r="AH129" s="27"/>
      <c r="AI129" s="29"/>
      <c r="AJ129" s="28"/>
      <c r="AK129" s="32"/>
      <c r="AL129" s="27"/>
      <c r="AM129" s="29"/>
      <c r="AN129" s="28"/>
      <c r="AO129" s="32"/>
      <c r="AP129" s="27"/>
      <c r="AQ129" s="29"/>
      <c r="AR129" s="28"/>
      <c r="AS129" s="32"/>
      <c r="AT129" s="27"/>
      <c r="AU129" s="29"/>
      <c r="AV129" s="28"/>
      <c r="AW129" s="32"/>
      <c r="AX129" s="27"/>
      <c r="AY129" s="29"/>
      <c r="AZ129" s="28"/>
      <c r="BA129" s="32"/>
      <c r="BB129" s="27"/>
      <c r="BC129" s="29"/>
      <c r="BD129" s="28"/>
      <c r="BE129" s="32"/>
      <c r="BF129" s="27"/>
      <c r="BG129" s="29"/>
      <c r="BH129" s="28"/>
      <c r="BI129" s="32"/>
      <c r="BJ129" s="27"/>
      <c r="BK129" s="29"/>
      <c r="BL129" s="28"/>
      <c r="BM129" s="32"/>
    </row>
    <row r="130" customFormat="false" ht="15.75" hidden="false" customHeight="true" outlineLevel="0" collapsed="false">
      <c r="A130" s="27"/>
      <c r="B130" s="39" t="str">
        <f aca="false">IFERROR(INDEX(Customers!$C$4:$C$1003,MATCH($A130,Customers!$A$4:$A$1003,0)),"")</f>
        <v/>
      </c>
      <c r="C130" s="31" t="str">
        <f aca="false">IFERROR(INDEX(Customers!$F$4:$F$1003,MATCH($A130,Customers!$A$4:$A$1003,0)),"")</f>
        <v/>
      </c>
      <c r="D130" s="33" t="str">
        <f aca="false">IFERROR(INDEX(Customers!$K$4:$K$1003,MATCH($A130,Customers!$A$4:$A$1003,0)),"")</f>
        <v/>
      </c>
      <c r="E130" s="33" t="str">
        <f aca="false">IF($A130="","",IF($F130=0,"Not Started",IF($BJ130="Completed",Settings!$U$45,IF($BF130="Completed",Settings!$U$44,IF($BB130="Completed",Settings!$U$43,IF($AX130="Completed",Settings!$U$42,IF($AT130="Completed",Settings!$U$41,IF($AP130="Completed",Settings!$U$40,IF($AL130="Completed",Settings!$U$39,IF($AH130="Completed",Settings!$U$38,IF($AD130="Completed",Settings!$U$37,IF($Z130="Completed",Settings!$U$36,IF($V130="Completed",Settings!$U$35,IF($R130="Completed",Settings!$U$34,IF($N130="Completed",Settings!$U$33,IF($J130="Completed",Settings!$U$32,""))))))))))))))))</f>
        <v/>
      </c>
      <c r="F130" s="30" t="str">
        <f aca="false">IF($A130="","",COUNTIF($J130:$BM130,"Completed"))</f>
        <v/>
      </c>
      <c r="G130" s="35" t="str">
        <f aca="false">IF($A130="","",MIN($F130/13,1))</f>
        <v/>
      </c>
      <c r="H130" s="31" t="str">
        <f aca="false">IF($A130="","",IF($BJ130="Completed","Case Completed",IF($AX130="Completed","Visa Rejected",IF($BF130="Completed","Departed to Europe",IF($F130=0,"Not Started","In Progress")))))</f>
        <v/>
      </c>
      <c r="I130" s="30" t="str">
        <f aca="true">IF($K130="","",IF($BK130&lt;&gt;"",$BK130-$K130,IF($AY130&lt;&gt;"",$AY130-$K130,TODAY()-$K130)))</f>
        <v/>
      </c>
      <c r="J130" s="27"/>
      <c r="K130" s="29"/>
      <c r="L130" s="28"/>
      <c r="M130" s="32"/>
      <c r="N130" s="27"/>
      <c r="O130" s="29"/>
      <c r="P130" s="28"/>
      <c r="Q130" s="32"/>
      <c r="R130" s="27"/>
      <c r="S130" s="29"/>
      <c r="T130" s="28"/>
      <c r="U130" s="32"/>
      <c r="V130" s="27"/>
      <c r="W130" s="29"/>
      <c r="X130" s="28"/>
      <c r="Y130" s="32"/>
      <c r="Z130" s="27"/>
      <c r="AA130" s="29"/>
      <c r="AB130" s="28"/>
      <c r="AC130" s="32"/>
      <c r="AD130" s="27"/>
      <c r="AE130" s="29"/>
      <c r="AF130" s="28"/>
      <c r="AG130" s="32"/>
      <c r="AH130" s="27"/>
      <c r="AI130" s="29"/>
      <c r="AJ130" s="28"/>
      <c r="AK130" s="32"/>
      <c r="AL130" s="27"/>
      <c r="AM130" s="29"/>
      <c r="AN130" s="28"/>
      <c r="AO130" s="32"/>
      <c r="AP130" s="27"/>
      <c r="AQ130" s="29"/>
      <c r="AR130" s="28"/>
      <c r="AS130" s="32"/>
      <c r="AT130" s="27"/>
      <c r="AU130" s="29"/>
      <c r="AV130" s="28"/>
      <c r="AW130" s="32"/>
      <c r="AX130" s="27"/>
      <c r="AY130" s="29"/>
      <c r="AZ130" s="28"/>
      <c r="BA130" s="32"/>
      <c r="BB130" s="27"/>
      <c r="BC130" s="29"/>
      <c r="BD130" s="28"/>
      <c r="BE130" s="32"/>
      <c r="BF130" s="27"/>
      <c r="BG130" s="29"/>
      <c r="BH130" s="28"/>
      <c r="BI130" s="32"/>
      <c r="BJ130" s="27"/>
      <c r="BK130" s="29"/>
      <c r="BL130" s="28"/>
      <c r="BM130" s="32"/>
    </row>
    <row r="131" customFormat="false" ht="15.75" hidden="false" customHeight="true" outlineLevel="0" collapsed="false">
      <c r="A131" s="27"/>
      <c r="B131" s="39" t="str">
        <f aca="false">IFERROR(INDEX(Customers!$C$4:$C$1003,MATCH($A131,Customers!$A$4:$A$1003,0)),"")</f>
        <v/>
      </c>
      <c r="C131" s="31" t="str">
        <f aca="false">IFERROR(INDEX(Customers!$F$4:$F$1003,MATCH($A131,Customers!$A$4:$A$1003,0)),"")</f>
        <v/>
      </c>
      <c r="D131" s="33" t="str">
        <f aca="false">IFERROR(INDEX(Customers!$K$4:$K$1003,MATCH($A131,Customers!$A$4:$A$1003,0)),"")</f>
        <v/>
      </c>
      <c r="E131" s="33" t="str">
        <f aca="false">IF($A131="","",IF($F131=0,"Not Started",IF($BJ131="Completed",Settings!$U$45,IF($BF131="Completed",Settings!$U$44,IF($BB131="Completed",Settings!$U$43,IF($AX131="Completed",Settings!$U$42,IF($AT131="Completed",Settings!$U$41,IF($AP131="Completed",Settings!$U$40,IF($AL131="Completed",Settings!$U$39,IF($AH131="Completed",Settings!$U$38,IF($AD131="Completed",Settings!$U$37,IF($Z131="Completed",Settings!$U$36,IF($V131="Completed",Settings!$U$35,IF($R131="Completed",Settings!$U$34,IF($N131="Completed",Settings!$U$33,IF($J131="Completed",Settings!$U$32,""))))))))))))))))</f>
        <v/>
      </c>
      <c r="F131" s="30" t="str">
        <f aca="false">IF($A131="","",COUNTIF($J131:$BM131,"Completed"))</f>
        <v/>
      </c>
      <c r="G131" s="35" t="str">
        <f aca="false">IF($A131="","",MIN($F131/13,1))</f>
        <v/>
      </c>
      <c r="H131" s="31" t="str">
        <f aca="false">IF($A131="","",IF($BJ131="Completed","Case Completed",IF($AX131="Completed","Visa Rejected",IF($BF131="Completed","Departed to Europe",IF($F131=0,"Not Started","In Progress")))))</f>
        <v/>
      </c>
      <c r="I131" s="30" t="str">
        <f aca="true">IF($K131="","",IF($BK131&lt;&gt;"",$BK131-$K131,IF($AY131&lt;&gt;"",$AY131-$K131,TODAY()-$K131)))</f>
        <v/>
      </c>
      <c r="J131" s="27"/>
      <c r="K131" s="29"/>
      <c r="L131" s="28"/>
      <c r="M131" s="32"/>
      <c r="N131" s="27"/>
      <c r="O131" s="29"/>
      <c r="P131" s="28"/>
      <c r="Q131" s="32"/>
      <c r="R131" s="27"/>
      <c r="S131" s="29"/>
      <c r="T131" s="28"/>
      <c r="U131" s="32"/>
      <c r="V131" s="27"/>
      <c r="W131" s="29"/>
      <c r="X131" s="28"/>
      <c r="Y131" s="32"/>
      <c r="Z131" s="27"/>
      <c r="AA131" s="29"/>
      <c r="AB131" s="28"/>
      <c r="AC131" s="32"/>
      <c r="AD131" s="27"/>
      <c r="AE131" s="29"/>
      <c r="AF131" s="28"/>
      <c r="AG131" s="32"/>
      <c r="AH131" s="27"/>
      <c r="AI131" s="29"/>
      <c r="AJ131" s="28"/>
      <c r="AK131" s="32"/>
      <c r="AL131" s="27"/>
      <c r="AM131" s="29"/>
      <c r="AN131" s="28"/>
      <c r="AO131" s="32"/>
      <c r="AP131" s="27"/>
      <c r="AQ131" s="29"/>
      <c r="AR131" s="28"/>
      <c r="AS131" s="32"/>
      <c r="AT131" s="27"/>
      <c r="AU131" s="29"/>
      <c r="AV131" s="28"/>
      <c r="AW131" s="32"/>
      <c r="AX131" s="27"/>
      <c r="AY131" s="29"/>
      <c r="AZ131" s="28"/>
      <c r="BA131" s="32"/>
      <c r="BB131" s="27"/>
      <c r="BC131" s="29"/>
      <c r="BD131" s="28"/>
      <c r="BE131" s="32"/>
      <c r="BF131" s="27"/>
      <c r="BG131" s="29"/>
      <c r="BH131" s="28"/>
      <c r="BI131" s="32"/>
      <c r="BJ131" s="27"/>
      <c r="BK131" s="29"/>
      <c r="BL131" s="28"/>
      <c r="BM131" s="32"/>
    </row>
    <row r="132" customFormat="false" ht="15.75" hidden="false" customHeight="true" outlineLevel="0" collapsed="false">
      <c r="A132" s="27"/>
      <c r="B132" s="39" t="str">
        <f aca="false">IFERROR(INDEX(Customers!$C$4:$C$1003,MATCH($A132,Customers!$A$4:$A$1003,0)),"")</f>
        <v/>
      </c>
      <c r="C132" s="31" t="str">
        <f aca="false">IFERROR(INDEX(Customers!$F$4:$F$1003,MATCH($A132,Customers!$A$4:$A$1003,0)),"")</f>
        <v/>
      </c>
      <c r="D132" s="33" t="str">
        <f aca="false">IFERROR(INDEX(Customers!$K$4:$K$1003,MATCH($A132,Customers!$A$4:$A$1003,0)),"")</f>
        <v/>
      </c>
      <c r="E132" s="33" t="str">
        <f aca="false">IF($A132="","",IF($F132=0,"Not Started",IF($BJ132="Completed",Settings!$U$45,IF($BF132="Completed",Settings!$U$44,IF($BB132="Completed",Settings!$U$43,IF($AX132="Completed",Settings!$U$42,IF($AT132="Completed",Settings!$U$41,IF($AP132="Completed",Settings!$U$40,IF($AL132="Completed",Settings!$U$39,IF($AH132="Completed",Settings!$U$38,IF($AD132="Completed",Settings!$U$37,IF($Z132="Completed",Settings!$U$36,IF($V132="Completed",Settings!$U$35,IF($R132="Completed",Settings!$U$34,IF($N132="Completed",Settings!$U$33,IF($J132="Completed",Settings!$U$32,""))))))))))))))))</f>
        <v/>
      </c>
      <c r="F132" s="30" t="str">
        <f aca="false">IF($A132="","",COUNTIF($J132:$BM132,"Completed"))</f>
        <v/>
      </c>
      <c r="G132" s="35" t="str">
        <f aca="false">IF($A132="","",MIN($F132/13,1))</f>
        <v/>
      </c>
      <c r="H132" s="31" t="str">
        <f aca="false">IF($A132="","",IF($BJ132="Completed","Case Completed",IF($AX132="Completed","Visa Rejected",IF($BF132="Completed","Departed to Europe",IF($F132=0,"Not Started","In Progress")))))</f>
        <v/>
      </c>
      <c r="I132" s="30" t="str">
        <f aca="true">IF($K132="","",IF($BK132&lt;&gt;"",$BK132-$K132,IF($AY132&lt;&gt;"",$AY132-$K132,TODAY()-$K132)))</f>
        <v/>
      </c>
      <c r="J132" s="27"/>
      <c r="K132" s="29"/>
      <c r="L132" s="28"/>
      <c r="M132" s="32"/>
      <c r="N132" s="27"/>
      <c r="O132" s="29"/>
      <c r="P132" s="28"/>
      <c r="Q132" s="32"/>
      <c r="R132" s="27"/>
      <c r="S132" s="29"/>
      <c r="T132" s="28"/>
      <c r="U132" s="32"/>
      <c r="V132" s="27"/>
      <c r="W132" s="29"/>
      <c r="X132" s="28"/>
      <c r="Y132" s="32"/>
      <c r="Z132" s="27"/>
      <c r="AA132" s="29"/>
      <c r="AB132" s="28"/>
      <c r="AC132" s="32"/>
      <c r="AD132" s="27"/>
      <c r="AE132" s="29"/>
      <c r="AF132" s="28"/>
      <c r="AG132" s="32"/>
      <c r="AH132" s="27"/>
      <c r="AI132" s="29"/>
      <c r="AJ132" s="28"/>
      <c r="AK132" s="32"/>
      <c r="AL132" s="27"/>
      <c r="AM132" s="29"/>
      <c r="AN132" s="28"/>
      <c r="AO132" s="32"/>
      <c r="AP132" s="27"/>
      <c r="AQ132" s="29"/>
      <c r="AR132" s="28"/>
      <c r="AS132" s="32"/>
      <c r="AT132" s="27"/>
      <c r="AU132" s="29"/>
      <c r="AV132" s="28"/>
      <c r="AW132" s="32"/>
      <c r="AX132" s="27"/>
      <c r="AY132" s="29"/>
      <c r="AZ132" s="28"/>
      <c r="BA132" s="32"/>
      <c r="BB132" s="27"/>
      <c r="BC132" s="29"/>
      <c r="BD132" s="28"/>
      <c r="BE132" s="32"/>
      <c r="BF132" s="27"/>
      <c r="BG132" s="29"/>
      <c r="BH132" s="28"/>
      <c r="BI132" s="32"/>
      <c r="BJ132" s="27"/>
      <c r="BK132" s="29"/>
      <c r="BL132" s="28"/>
      <c r="BM132" s="32"/>
    </row>
    <row r="133" customFormat="false" ht="15.75" hidden="false" customHeight="true" outlineLevel="0" collapsed="false">
      <c r="A133" s="27"/>
      <c r="B133" s="39" t="str">
        <f aca="false">IFERROR(INDEX(Customers!$C$4:$C$1003,MATCH($A133,Customers!$A$4:$A$1003,0)),"")</f>
        <v/>
      </c>
      <c r="C133" s="31" t="str">
        <f aca="false">IFERROR(INDEX(Customers!$F$4:$F$1003,MATCH($A133,Customers!$A$4:$A$1003,0)),"")</f>
        <v/>
      </c>
      <c r="D133" s="33" t="str">
        <f aca="false">IFERROR(INDEX(Customers!$K$4:$K$1003,MATCH($A133,Customers!$A$4:$A$1003,0)),"")</f>
        <v/>
      </c>
      <c r="E133" s="33" t="str">
        <f aca="false">IF($A133="","",IF($F133=0,"Not Started",IF($BJ133="Completed",Settings!$U$45,IF($BF133="Completed",Settings!$U$44,IF($BB133="Completed",Settings!$U$43,IF($AX133="Completed",Settings!$U$42,IF($AT133="Completed",Settings!$U$41,IF($AP133="Completed",Settings!$U$40,IF($AL133="Completed",Settings!$U$39,IF($AH133="Completed",Settings!$U$38,IF($AD133="Completed",Settings!$U$37,IF($Z133="Completed",Settings!$U$36,IF($V133="Completed",Settings!$U$35,IF($R133="Completed",Settings!$U$34,IF($N133="Completed",Settings!$U$33,IF($J133="Completed",Settings!$U$32,""))))))))))))))))</f>
        <v/>
      </c>
      <c r="F133" s="30" t="str">
        <f aca="false">IF($A133="","",COUNTIF($J133:$BM133,"Completed"))</f>
        <v/>
      </c>
      <c r="G133" s="35" t="str">
        <f aca="false">IF($A133="","",MIN($F133/13,1))</f>
        <v/>
      </c>
      <c r="H133" s="31" t="str">
        <f aca="false">IF($A133="","",IF($BJ133="Completed","Case Completed",IF($AX133="Completed","Visa Rejected",IF($BF133="Completed","Departed to Europe",IF($F133=0,"Not Started","In Progress")))))</f>
        <v/>
      </c>
      <c r="I133" s="30" t="str">
        <f aca="true">IF($K133="","",IF($BK133&lt;&gt;"",$BK133-$K133,IF($AY133&lt;&gt;"",$AY133-$K133,TODAY()-$K133)))</f>
        <v/>
      </c>
      <c r="J133" s="27"/>
      <c r="K133" s="29"/>
      <c r="L133" s="28"/>
      <c r="M133" s="32"/>
      <c r="N133" s="27"/>
      <c r="O133" s="29"/>
      <c r="P133" s="28"/>
      <c r="Q133" s="32"/>
      <c r="R133" s="27"/>
      <c r="S133" s="29"/>
      <c r="T133" s="28"/>
      <c r="U133" s="32"/>
      <c r="V133" s="27"/>
      <c r="W133" s="29"/>
      <c r="X133" s="28"/>
      <c r="Y133" s="32"/>
      <c r="Z133" s="27"/>
      <c r="AA133" s="29"/>
      <c r="AB133" s="28"/>
      <c r="AC133" s="32"/>
      <c r="AD133" s="27"/>
      <c r="AE133" s="29"/>
      <c r="AF133" s="28"/>
      <c r="AG133" s="32"/>
      <c r="AH133" s="27"/>
      <c r="AI133" s="29"/>
      <c r="AJ133" s="28"/>
      <c r="AK133" s="32"/>
      <c r="AL133" s="27"/>
      <c r="AM133" s="29"/>
      <c r="AN133" s="28"/>
      <c r="AO133" s="32"/>
      <c r="AP133" s="27"/>
      <c r="AQ133" s="29"/>
      <c r="AR133" s="28"/>
      <c r="AS133" s="32"/>
      <c r="AT133" s="27"/>
      <c r="AU133" s="29"/>
      <c r="AV133" s="28"/>
      <c r="AW133" s="32"/>
      <c r="AX133" s="27"/>
      <c r="AY133" s="29"/>
      <c r="AZ133" s="28"/>
      <c r="BA133" s="32"/>
      <c r="BB133" s="27"/>
      <c r="BC133" s="29"/>
      <c r="BD133" s="28"/>
      <c r="BE133" s="32"/>
      <c r="BF133" s="27"/>
      <c r="BG133" s="29"/>
      <c r="BH133" s="28"/>
      <c r="BI133" s="32"/>
      <c r="BJ133" s="27"/>
      <c r="BK133" s="29"/>
      <c r="BL133" s="28"/>
      <c r="BM133" s="32"/>
    </row>
    <row r="134" customFormat="false" ht="15.75" hidden="false" customHeight="true" outlineLevel="0" collapsed="false">
      <c r="A134" s="27"/>
      <c r="B134" s="39" t="str">
        <f aca="false">IFERROR(INDEX(Customers!$C$4:$C$1003,MATCH($A134,Customers!$A$4:$A$1003,0)),"")</f>
        <v/>
      </c>
      <c r="C134" s="31" t="str">
        <f aca="false">IFERROR(INDEX(Customers!$F$4:$F$1003,MATCH($A134,Customers!$A$4:$A$1003,0)),"")</f>
        <v/>
      </c>
      <c r="D134" s="33" t="str">
        <f aca="false">IFERROR(INDEX(Customers!$K$4:$K$1003,MATCH($A134,Customers!$A$4:$A$1003,0)),"")</f>
        <v/>
      </c>
      <c r="E134" s="33" t="str">
        <f aca="false">IF($A134="","",IF($F134=0,"Not Started",IF($BJ134="Completed",Settings!$U$45,IF($BF134="Completed",Settings!$U$44,IF($BB134="Completed",Settings!$U$43,IF($AX134="Completed",Settings!$U$42,IF($AT134="Completed",Settings!$U$41,IF($AP134="Completed",Settings!$U$40,IF($AL134="Completed",Settings!$U$39,IF($AH134="Completed",Settings!$U$38,IF($AD134="Completed",Settings!$U$37,IF($Z134="Completed",Settings!$U$36,IF($V134="Completed",Settings!$U$35,IF($R134="Completed",Settings!$U$34,IF($N134="Completed",Settings!$U$33,IF($J134="Completed",Settings!$U$32,""))))))))))))))))</f>
        <v/>
      </c>
      <c r="F134" s="30" t="str">
        <f aca="false">IF($A134="","",COUNTIF($J134:$BM134,"Completed"))</f>
        <v/>
      </c>
      <c r="G134" s="35" t="str">
        <f aca="false">IF($A134="","",MIN($F134/13,1))</f>
        <v/>
      </c>
      <c r="H134" s="31" t="str">
        <f aca="false">IF($A134="","",IF($BJ134="Completed","Case Completed",IF($AX134="Completed","Visa Rejected",IF($BF134="Completed","Departed to Europe",IF($F134=0,"Not Started","In Progress")))))</f>
        <v/>
      </c>
      <c r="I134" s="30" t="str">
        <f aca="true">IF($K134="","",IF($BK134&lt;&gt;"",$BK134-$K134,IF($AY134&lt;&gt;"",$AY134-$K134,TODAY()-$K134)))</f>
        <v/>
      </c>
      <c r="J134" s="27"/>
      <c r="K134" s="29"/>
      <c r="L134" s="28"/>
      <c r="M134" s="32"/>
      <c r="N134" s="27"/>
      <c r="O134" s="29"/>
      <c r="P134" s="28"/>
      <c r="Q134" s="32"/>
      <c r="R134" s="27"/>
      <c r="S134" s="29"/>
      <c r="T134" s="28"/>
      <c r="U134" s="32"/>
      <c r="V134" s="27"/>
      <c r="W134" s="29"/>
      <c r="X134" s="28"/>
      <c r="Y134" s="32"/>
      <c r="Z134" s="27"/>
      <c r="AA134" s="29"/>
      <c r="AB134" s="28"/>
      <c r="AC134" s="32"/>
      <c r="AD134" s="27"/>
      <c r="AE134" s="29"/>
      <c r="AF134" s="28"/>
      <c r="AG134" s="32"/>
      <c r="AH134" s="27"/>
      <c r="AI134" s="29"/>
      <c r="AJ134" s="28"/>
      <c r="AK134" s="32"/>
      <c r="AL134" s="27"/>
      <c r="AM134" s="29"/>
      <c r="AN134" s="28"/>
      <c r="AO134" s="32"/>
      <c r="AP134" s="27"/>
      <c r="AQ134" s="29"/>
      <c r="AR134" s="28"/>
      <c r="AS134" s="32"/>
      <c r="AT134" s="27"/>
      <c r="AU134" s="29"/>
      <c r="AV134" s="28"/>
      <c r="AW134" s="32"/>
      <c r="AX134" s="27"/>
      <c r="AY134" s="29"/>
      <c r="AZ134" s="28"/>
      <c r="BA134" s="32"/>
      <c r="BB134" s="27"/>
      <c r="BC134" s="29"/>
      <c r="BD134" s="28"/>
      <c r="BE134" s="32"/>
      <c r="BF134" s="27"/>
      <c r="BG134" s="29"/>
      <c r="BH134" s="28"/>
      <c r="BI134" s="32"/>
      <c r="BJ134" s="27"/>
      <c r="BK134" s="29"/>
      <c r="BL134" s="28"/>
      <c r="BM134" s="32"/>
    </row>
    <row r="135" customFormat="false" ht="15.75" hidden="false" customHeight="true" outlineLevel="0" collapsed="false">
      <c r="A135" s="27"/>
      <c r="B135" s="39" t="str">
        <f aca="false">IFERROR(INDEX(Customers!$C$4:$C$1003,MATCH($A135,Customers!$A$4:$A$1003,0)),"")</f>
        <v/>
      </c>
      <c r="C135" s="31" t="str">
        <f aca="false">IFERROR(INDEX(Customers!$F$4:$F$1003,MATCH($A135,Customers!$A$4:$A$1003,0)),"")</f>
        <v/>
      </c>
      <c r="D135" s="33" t="str">
        <f aca="false">IFERROR(INDEX(Customers!$K$4:$K$1003,MATCH($A135,Customers!$A$4:$A$1003,0)),"")</f>
        <v/>
      </c>
      <c r="E135" s="33" t="str">
        <f aca="false">IF($A135="","",IF($F135=0,"Not Started",IF($BJ135="Completed",Settings!$U$45,IF($BF135="Completed",Settings!$U$44,IF($BB135="Completed",Settings!$U$43,IF($AX135="Completed",Settings!$U$42,IF($AT135="Completed",Settings!$U$41,IF($AP135="Completed",Settings!$U$40,IF($AL135="Completed",Settings!$U$39,IF($AH135="Completed",Settings!$U$38,IF($AD135="Completed",Settings!$U$37,IF($Z135="Completed",Settings!$U$36,IF($V135="Completed",Settings!$U$35,IF($R135="Completed",Settings!$U$34,IF($N135="Completed",Settings!$U$33,IF($J135="Completed",Settings!$U$32,""))))))))))))))))</f>
        <v/>
      </c>
      <c r="F135" s="30" t="str">
        <f aca="false">IF($A135="","",COUNTIF($J135:$BM135,"Completed"))</f>
        <v/>
      </c>
      <c r="G135" s="35" t="str">
        <f aca="false">IF($A135="","",MIN($F135/13,1))</f>
        <v/>
      </c>
      <c r="H135" s="31" t="str">
        <f aca="false">IF($A135="","",IF($BJ135="Completed","Case Completed",IF($AX135="Completed","Visa Rejected",IF($BF135="Completed","Departed to Europe",IF($F135=0,"Not Started","In Progress")))))</f>
        <v/>
      </c>
      <c r="I135" s="30" t="str">
        <f aca="true">IF($K135="","",IF($BK135&lt;&gt;"",$BK135-$K135,IF($AY135&lt;&gt;"",$AY135-$K135,TODAY()-$K135)))</f>
        <v/>
      </c>
      <c r="J135" s="27"/>
      <c r="K135" s="29"/>
      <c r="L135" s="28"/>
      <c r="M135" s="32"/>
      <c r="N135" s="27"/>
      <c r="O135" s="29"/>
      <c r="P135" s="28"/>
      <c r="Q135" s="32"/>
      <c r="R135" s="27"/>
      <c r="S135" s="29"/>
      <c r="T135" s="28"/>
      <c r="U135" s="32"/>
      <c r="V135" s="27"/>
      <c r="W135" s="29"/>
      <c r="X135" s="28"/>
      <c r="Y135" s="32"/>
      <c r="Z135" s="27"/>
      <c r="AA135" s="29"/>
      <c r="AB135" s="28"/>
      <c r="AC135" s="32"/>
      <c r="AD135" s="27"/>
      <c r="AE135" s="29"/>
      <c r="AF135" s="28"/>
      <c r="AG135" s="32"/>
      <c r="AH135" s="27"/>
      <c r="AI135" s="29"/>
      <c r="AJ135" s="28"/>
      <c r="AK135" s="32"/>
      <c r="AL135" s="27"/>
      <c r="AM135" s="29"/>
      <c r="AN135" s="28"/>
      <c r="AO135" s="32"/>
      <c r="AP135" s="27"/>
      <c r="AQ135" s="29"/>
      <c r="AR135" s="28"/>
      <c r="AS135" s="32"/>
      <c r="AT135" s="27"/>
      <c r="AU135" s="29"/>
      <c r="AV135" s="28"/>
      <c r="AW135" s="32"/>
      <c r="AX135" s="27"/>
      <c r="AY135" s="29"/>
      <c r="AZ135" s="28"/>
      <c r="BA135" s="32"/>
      <c r="BB135" s="27"/>
      <c r="BC135" s="29"/>
      <c r="BD135" s="28"/>
      <c r="BE135" s="32"/>
      <c r="BF135" s="27"/>
      <c r="BG135" s="29"/>
      <c r="BH135" s="28"/>
      <c r="BI135" s="32"/>
      <c r="BJ135" s="27"/>
      <c r="BK135" s="29"/>
      <c r="BL135" s="28"/>
      <c r="BM135" s="32"/>
    </row>
    <row r="136" customFormat="false" ht="15.75" hidden="false" customHeight="true" outlineLevel="0" collapsed="false">
      <c r="A136" s="27"/>
      <c r="B136" s="39" t="str">
        <f aca="false">IFERROR(INDEX(Customers!$C$4:$C$1003,MATCH($A136,Customers!$A$4:$A$1003,0)),"")</f>
        <v/>
      </c>
      <c r="C136" s="31" t="str">
        <f aca="false">IFERROR(INDEX(Customers!$F$4:$F$1003,MATCH($A136,Customers!$A$4:$A$1003,0)),"")</f>
        <v/>
      </c>
      <c r="D136" s="33" t="str">
        <f aca="false">IFERROR(INDEX(Customers!$K$4:$K$1003,MATCH($A136,Customers!$A$4:$A$1003,0)),"")</f>
        <v/>
      </c>
      <c r="E136" s="33" t="str">
        <f aca="false">IF($A136="","",IF($F136=0,"Not Started",IF($BJ136="Completed",Settings!$U$45,IF($BF136="Completed",Settings!$U$44,IF($BB136="Completed",Settings!$U$43,IF($AX136="Completed",Settings!$U$42,IF($AT136="Completed",Settings!$U$41,IF($AP136="Completed",Settings!$U$40,IF($AL136="Completed",Settings!$U$39,IF($AH136="Completed",Settings!$U$38,IF($AD136="Completed",Settings!$U$37,IF($Z136="Completed",Settings!$U$36,IF($V136="Completed",Settings!$U$35,IF($R136="Completed",Settings!$U$34,IF($N136="Completed",Settings!$U$33,IF($J136="Completed",Settings!$U$32,""))))))))))))))))</f>
        <v/>
      </c>
      <c r="F136" s="30" t="str">
        <f aca="false">IF($A136="","",COUNTIF($J136:$BM136,"Completed"))</f>
        <v/>
      </c>
      <c r="G136" s="35" t="str">
        <f aca="false">IF($A136="","",MIN($F136/13,1))</f>
        <v/>
      </c>
      <c r="H136" s="31" t="str">
        <f aca="false">IF($A136="","",IF($BJ136="Completed","Case Completed",IF($AX136="Completed","Visa Rejected",IF($BF136="Completed","Departed to Europe",IF($F136=0,"Not Started","In Progress")))))</f>
        <v/>
      </c>
      <c r="I136" s="30" t="str">
        <f aca="true">IF($K136="","",IF($BK136&lt;&gt;"",$BK136-$K136,IF($AY136&lt;&gt;"",$AY136-$K136,TODAY()-$K136)))</f>
        <v/>
      </c>
      <c r="J136" s="27"/>
      <c r="K136" s="29"/>
      <c r="L136" s="28"/>
      <c r="M136" s="32"/>
      <c r="N136" s="27"/>
      <c r="O136" s="29"/>
      <c r="P136" s="28"/>
      <c r="Q136" s="32"/>
      <c r="R136" s="27"/>
      <c r="S136" s="29"/>
      <c r="T136" s="28"/>
      <c r="U136" s="32"/>
      <c r="V136" s="27"/>
      <c r="W136" s="29"/>
      <c r="X136" s="28"/>
      <c r="Y136" s="32"/>
      <c r="Z136" s="27"/>
      <c r="AA136" s="29"/>
      <c r="AB136" s="28"/>
      <c r="AC136" s="32"/>
      <c r="AD136" s="27"/>
      <c r="AE136" s="29"/>
      <c r="AF136" s="28"/>
      <c r="AG136" s="32"/>
      <c r="AH136" s="27"/>
      <c r="AI136" s="29"/>
      <c r="AJ136" s="28"/>
      <c r="AK136" s="32"/>
      <c r="AL136" s="27"/>
      <c r="AM136" s="29"/>
      <c r="AN136" s="28"/>
      <c r="AO136" s="32"/>
      <c r="AP136" s="27"/>
      <c r="AQ136" s="29"/>
      <c r="AR136" s="28"/>
      <c r="AS136" s="32"/>
      <c r="AT136" s="27"/>
      <c r="AU136" s="29"/>
      <c r="AV136" s="28"/>
      <c r="AW136" s="32"/>
      <c r="AX136" s="27"/>
      <c r="AY136" s="29"/>
      <c r="AZ136" s="28"/>
      <c r="BA136" s="32"/>
      <c r="BB136" s="27"/>
      <c r="BC136" s="29"/>
      <c r="BD136" s="28"/>
      <c r="BE136" s="32"/>
      <c r="BF136" s="27"/>
      <c r="BG136" s="29"/>
      <c r="BH136" s="28"/>
      <c r="BI136" s="32"/>
      <c r="BJ136" s="27"/>
      <c r="BK136" s="29"/>
      <c r="BL136" s="28"/>
      <c r="BM136" s="32"/>
    </row>
    <row r="137" customFormat="false" ht="15.75" hidden="false" customHeight="true" outlineLevel="0" collapsed="false">
      <c r="A137" s="27"/>
      <c r="B137" s="39" t="str">
        <f aca="false">IFERROR(INDEX(Customers!$C$4:$C$1003,MATCH($A137,Customers!$A$4:$A$1003,0)),"")</f>
        <v/>
      </c>
      <c r="C137" s="31" t="str">
        <f aca="false">IFERROR(INDEX(Customers!$F$4:$F$1003,MATCH($A137,Customers!$A$4:$A$1003,0)),"")</f>
        <v/>
      </c>
      <c r="D137" s="33" t="str">
        <f aca="false">IFERROR(INDEX(Customers!$K$4:$K$1003,MATCH($A137,Customers!$A$4:$A$1003,0)),"")</f>
        <v/>
      </c>
      <c r="E137" s="33" t="str">
        <f aca="false">IF($A137="","",IF($F137=0,"Not Started",IF($BJ137="Completed",Settings!$U$45,IF($BF137="Completed",Settings!$U$44,IF($BB137="Completed",Settings!$U$43,IF($AX137="Completed",Settings!$U$42,IF($AT137="Completed",Settings!$U$41,IF($AP137="Completed",Settings!$U$40,IF($AL137="Completed",Settings!$U$39,IF($AH137="Completed",Settings!$U$38,IF($AD137="Completed",Settings!$U$37,IF($Z137="Completed",Settings!$U$36,IF($V137="Completed",Settings!$U$35,IF($R137="Completed",Settings!$U$34,IF($N137="Completed",Settings!$U$33,IF($J137="Completed",Settings!$U$32,""))))))))))))))))</f>
        <v/>
      </c>
      <c r="F137" s="30" t="str">
        <f aca="false">IF($A137="","",COUNTIF($J137:$BM137,"Completed"))</f>
        <v/>
      </c>
      <c r="G137" s="35" t="str">
        <f aca="false">IF($A137="","",MIN($F137/13,1))</f>
        <v/>
      </c>
      <c r="H137" s="31" t="str">
        <f aca="false">IF($A137="","",IF($BJ137="Completed","Case Completed",IF($AX137="Completed","Visa Rejected",IF($BF137="Completed","Departed to Europe",IF($F137=0,"Not Started","In Progress")))))</f>
        <v/>
      </c>
      <c r="I137" s="30" t="str">
        <f aca="true">IF($K137="","",IF($BK137&lt;&gt;"",$BK137-$K137,IF($AY137&lt;&gt;"",$AY137-$K137,TODAY()-$K137)))</f>
        <v/>
      </c>
      <c r="J137" s="27"/>
      <c r="K137" s="29"/>
      <c r="L137" s="28"/>
      <c r="M137" s="32"/>
      <c r="N137" s="27"/>
      <c r="O137" s="29"/>
      <c r="P137" s="28"/>
      <c r="Q137" s="32"/>
      <c r="R137" s="27"/>
      <c r="S137" s="29"/>
      <c r="T137" s="28"/>
      <c r="U137" s="32"/>
      <c r="V137" s="27"/>
      <c r="W137" s="29"/>
      <c r="X137" s="28"/>
      <c r="Y137" s="32"/>
      <c r="Z137" s="27"/>
      <c r="AA137" s="29"/>
      <c r="AB137" s="28"/>
      <c r="AC137" s="32"/>
      <c r="AD137" s="27"/>
      <c r="AE137" s="29"/>
      <c r="AF137" s="28"/>
      <c r="AG137" s="32"/>
      <c r="AH137" s="27"/>
      <c r="AI137" s="29"/>
      <c r="AJ137" s="28"/>
      <c r="AK137" s="32"/>
      <c r="AL137" s="27"/>
      <c r="AM137" s="29"/>
      <c r="AN137" s="28"/>
      <c r="AO137" s="32"/>
      <c r="AP137" s="27"/>
      <c r="AQ137" s="29"/>
      <c r="AR137" s="28"/>
      <c r="AS137" s="32"/>
      <c r="AT137" s="27"/>
      <c r="AU137" s="29"/>
      <c r="AV137" s="28"/>
      <c r="AW137" s="32"/>
      <c r="AX137" s="27"/>
      <c r="AY137" s="29"/>
      <c r="AZ137" s="28"/>
      <c r="BA137" s="32"/>
      <c r="BB137" s="27"/>
      <c r="BC137" s="29"/>
      <c r="BD137" s="28"/>
      <c r="BE137" s="32"/>
      <c r="BF137" s="27"/>
      <c r="BG137" s="29"/>
      <c r="BH137" s="28"/>
      <c r="BI137" s="32"/>
      <c r="BJ137" s="27"/>
      <c r="BK137" s="29"/>
      <c r="BL137" s="28"/>
      <c r="BM137" s="32"/>
    </row>
    <row r="138" customFormat="false" ht="15.75" hidden="false" customHeight="true" outlineLevel="0" collapsed="false">
      <c r="A138" s="27"/>
      <c r="B138" s="39" t="str">
        <f aca="false">IFERROR(INDEX(Customers!$C$4:$C$1003,MATCH($A138,Customers!$A$4:$A$1003,0)),"")</f>
        <v/>
      </c>
      <c r="C138" s="31" t="str">
        <f aca="false">IFERROR(INDEX(Customers!$F$4:$F$1003,MATCH($A138,Customers!$A$4:$A$1003,0)),"")</f>
        <v/>
      </c>
      <c r="D138" s="33" t="str">
        <f aca="false">IFERROR(INDEX(Customers!$K$4:$K$1003,MATCH($A138,Customers!$A$4:$A$1003,0)),"")</f>
        <v/>
      </c>
      <c r="E138" s="33" t="str">
        <f aca="false">IF($A138="","",IF($F138=0,"Not Started",IF($BJ138="Completed",Settings!$U$45,IF($BF138="Completed",Settings!$U$44,IF($BB138="Completed",Settings!$U$43,IF($AX138="Completed",Settings!$U$42,IF($AT138="Completed",Settings!$U$41,IF($AP138="Completed",Settings!$U$40,IF($AL138="Completed",Settings!$U$39,IF($AH138="Completed",Settings!$U$38,IF($AD138="Completed",Settings!$U$37,IF($Z138="Completed",Settings!$U$36,IF($V138="Completed",Settings!$U$35,IF($R138="Completed",Settings!$U$34,IF($N138="Completed",Settings!$U$33,IF($J138="Completed",Settings!$U$32,""))))))))))))))))</f>
        <v/>
      </c>
      <c r="F138" s="30" t="str">
        <f aca="false">IF($A138="","",COUNTIF($J138:$BM138,"Completed"))</f>
        <v/>
      </c>
      <c r="G138" s="35" t="str">
        <f aca="false">IF($A138="","",MIN($F138/13,1))</f>
        <v/>
      </c>
      <c r="H138" s="31" t="str">
        <f aca="false">IF($A138="","",IF($BJ138="Completed","Case Completed",IF($AX138="Completed","Visa Rejected",IF($BF138="Completed","Departed to Europe",IF($F138=0,"Not Started","In Progress")))))</f>
        <v/>
      </c>
      <c r="I138" s="30" t="str">
        <f aca="true">IF($K138="","",IF($BK138&lt;&gt;"",$BK138-$K138,IF($AY138&lt;&gt;"",$AY138-$K138,TODAY()-$K138)))</f>
        <v/>
      </c>
      <c r="J138" s="27"/>
      <c r="K138" s="29"/>
      <c r="L138" s="28"/>
      <c r="M138" s="32"/>
      <c r="N138" s="27"/>
      <c r="O138" s="29"/>
      <c r="P138" s="28"/>
      <c r="Q138" s="32"/>
      <c r="R138" s="27"/>
      <c r="S138" s="29"/>
      <c r="T138" s="28"/>
      <c r="U138" s="32"/>
      <c r="V138" s="27"/>
      <c r="W138" s="29"/>
      <c r="X138" s="28"/>
      <c r="Y138" s="32"/>
      <c r="Z138" s="27"/>
      <c r="AA138" s="29"/>
      <c r="AB138" s="28"/>
      <c r="AC138" s="32"/>
      <c r="AD138" s="27"/>
      <c r="AE138" s="29"/>
      <c r="AF138" s="28"/>
      <c r="AG138" s="32"/>
      <c r="AH138" s="27"/>
      <c r="AI138" s="29"/>
      <c r="AJ138" s="28"/>
      <c r="AK138" s="32"/>
      <c r="AL138" s="27"/>
      <c r="AM138" s="29"/>
      <c r="AN138" s="28"/>
      <c r="AO138" s="32"/>
      <c r="AP138" s="27"/>
      <c r="AQ138" s="29"/>
      <c r="AR138" s="28"/>
      <c r="AS138" s="32"/>
      <c r="AT138" s="27"/>
      <c r="AU138" s="29"/>
      <c r="AV138" s="28"/>
      <c r="AW138" s="32"/>
      <c r="AX138" s="27"/>
      <c r="AY138" s="29"/>
      <c r="AZ138" s="28"/>
      <c r="BA138" s="32"/>
      <c r="BB138" s="27"/>
      <c r="BC138" s="29"/>
      <c r="BD138" s="28"/>
      <c r="BE138" s="32"/>
      <c r="BF138" s="27"/>
      <c r="BG138" s="29"/>
      <c r="BH138" s="28"/>
      <c r="BI138" s="32"/>
      <c r="BJ138" s="27"/>
      <c r="BK138" s="29"/>
      <c r="BL138" s="28"/>
      <c r="BM138" s="32"/>
    </row>
    <row r="139" customFormat="false" ht="15.75" hidden="false" customHeight="true" outlineLevel="0" collapsed="false">
      <c r="A139" s="27"/>
      <c r="B139" s="39" t="str">
        <f aca="false">IFERROR(INDEX(Customers!$C$4:$C$1003,MATCH($A139,Customers!$A$4:$A$1003,0)),"")</f>
        <v/>
      </c>
      <c r="C139" s="31" t="str">
        <f aca="false">IFERROR(INDEX(Customers!$F$4:$F$1003,MATCH($A139,Customers!$A$4:$A$1003,0)),"")</f>
        <v/>
      </c>
      <c r="D139" s="33" t="str">
        <f aca="false">IFERROR(INDEX(Customers!$K$4:$K$1003,MATCH($A139,Customers!$A$4:$A$1003,0)),"")</f>
        <v/>
      </c>
      <c r="E139" s="33" t="str">
        <f aca="false">IF($A139="","",IF($F139=0,"Not Started",IF($BJ139="Completed",Settings!$U$45,IF($BF139="Completed",Settings!$U$44,IF($BB139="Completed",Settings!$U$43,IF($AX139="Completed",Settings!$U$42,IF($AT139="Completed",Settings!$U$41,IF($AP139="Completed",Settings!$U$40,IF($AL139="Completed",Settings!$U$39,IF($AH139="Completed",Settings!$U$38,IF($AD139="Completed",Settings!$U$37,IF($Z139="Completed",Settings!$U$36,IF($V139="Completed",Settings!$U$35,IF($R139="Completed",Settings!$U$34,IF($N139="Completed",Settings!$U$33,IF($J139="Completed",Settings!$U$32,""))))))))))))))))</f>
        <v/>
      </c>
      <c r="F139" s="30" t="str">
        <f aca="false">IF($A139="","",COUNTIF($J139:$BM139,"Completed"))</f>
        <v/>
      </c>
      <c r="G139" s="35" t="str">
        <f aca="false">IF($A139="","",MIN($F139/13,1))</f>
        <v/>
      </c>
      <c r="H139" s="31" t="str">
        <f aca="false">IF($A139="","",IF($BJ139="Completed","Case Completed",IF($AX139="Completed","Visa Rejected",IF($BF139="Completed","Departed to Europe",IF($F139=0,"Not Started","In Progress")))))</f>
        <v/>
      </c>
      <c r="I139" s="30" t="str">
        <f aca="true">IF($K139="","",IF($BK139&lt;&gt;"",$BK139-$K139,IF($AY139&lt;&gt;"",$AY139-$K139,TODAY()-$K139)))</f>
        <v/>
      </c>
      <c r="J139" s="27"/>
      <c r="K139" s="29"/>
      <c r="L139" s="28"/>
      <c r="M139" s="32"/>
      <c r="N139" s="27"/>
      <c r="O139" s="29"/>
      <c r="P139" s="28"/>
      <c r="Q139" s="32"/>
      <c r="R139" s="27"/>
      <c r="S139" s="29"/>
      <c r="T139" s="28"/>
      <c r="U139" s="32"/>
      <c r="V139" s="27"/>
      <c r="W139" s="29"/>
      <c r="X139" s="28"/>
      <c r="Y139" s="32"/>
      <c r="Z139" s="27"/>
      <c r="AA139" s="29"/>
      <c r="AB139" s="28"/>
      <c r="AC139" s="32"/>
      <c r="AD139" s="27"/>
      <c r="AE139" s="29"/>
      <c r="AF139" s="28"/>
      <c r="AG139" s="32"/>
      <c r="AH139" s="27"/>
      <c r="AI139" s="29"/>
      <c r="AJ139" s="28"/>
      <c r="AK139" s="32"/>
      <c r="AL139" s="27"/>
      <c r="AM139" s="29"/>
      <c r="AN139" s="28"/>
      <c r="AO139" s="32"/>
      <c r="AP139" s="27"/>
      <c r="AQ139" s="29"/>
      <c r="AR139" s="28"/>
      <c r="AS139" s="32"/>
      <c r="AT139" s="27"/>
      <c r="AU139" s="29"/>
      <c r="AV139" s="28"/>
      <c r="AW139" s="32"/>
      <c r="AX139" s="27"/>
      <c r="AY139" s="29"/>
      <c r="AZ139" s="28"/>
      <c r="BA139" s="32"/>
      <c r="BB139" s="27"/>
      <c r="BC139" s="29"/>
      <c r="BD139" s="28"/>
      <c r="BE139" s="32"/>
      <c r="BF139" s="27"/>
      <c r="BG139" s="29"/>
      <c r="BH139" s="28"/>
      <c r="BI139" s="32"/>
      <c r="BJ139" s="27"/>
      <c r="BK139" s="29"/>
      <c r="BL139" s="28"/>
      <c r="BM139" s="32"/>
    </row>
    <row r="140" customFormat="false" ht="15.75" hidden="false" customHeight="true" outlineLevel="0" collapsed="false">
      <c r="A140" s="27"/>
      <c r="B140" s="39" t="str">
        <f aca="false">IFERROR(INDEX(Customers!$C$4:$C$1003,MATCH($A140,Customers!$A$4:$A$1003,0)),"")</f>
        <v/>
      </c>
      <c r="C140" s="31" t="str">
        <f aca="false">IFERROR(INDEX(Customers!$F$4:$F$1003,MATCH($A140,Customers!$A$4:$A$1003,0)),"")</f>
        <v/>
      </c>
      <c r="D140" s="33" t="str">
        <f aca="false">IFERROR(INDEX(Customers!$K$4:$K$1003,MATCH($A140,Customers!$A$4:$A$1003,0)),"")</f>
        <v/>
      </c>
      <c r="E140" s="33" t="str">
        <f aca="false">IF($A140="","",IF($F140=0,"Not Started",IF($BJ140="Completed",Settings!$U$45,IF($BF140="Completed",Settings!$U$44,IF($BB140="Completed",Settings!$U$43,IF($AX140="Completed",Settings!$U$42,IF($AT140="Completed",Settings!$U$41,IF($AP140="Completed",Settings!$U$40,IF($AL140="Completed",Settings!$U$39,IF($AH140="Completed",Settings!$U$38,IF($AD140="Completed",Settings!$U$37,IF($Z140="Completed",Settings!$U$36,IF($V140="Completed",Settings!$U$35,IF($R140="Completed",Settings!$U$34,IF($N140="Completed",Settings!$U$33,IF($J140="Completed",Settings!$U$32,""))))))))))))))))</f>
        <v/>
      </c>
      <c r="F140" s="30" t="str">
        <f aca="false">IF($A140="","",COUNTIF($J140:$BM140,"Completed"))</f>
        <v/>
      </c>
      <c r="G140" s="35" t="str">
        <f aca="false">IF($A140="","",MIN($F140/13,1))</f>
        <v/>
      </c>
      <c r="H140" s="31" t="str">
        <f aca="false">IF($A140="","",IF($BJ140="Completed","Case Completed",IF($AX140="Completed","Visa Rejected",IF($BF140="Completed","Departed to Europe",IF($F140=0,"Not Started","In Progress")))))</f>
        <v/>
      </c>
      <c r="I140" s="30" t="str">
        <f aca="true">IF($K140="","",IF($BK140&lt;&gt;"",$BK140-$K140,IF($AY140&lt;&gt;"",$AY140-$K140,TODAY()-$K140)))</f>
        <v/>
      </c>
      <c r="J140" s="27"/>
      <c r="K140" s="29"/>
      <c r="L140" s="28"/>
      <c r="M140" s="32"/>
      <c r="N140" s="27"/>
      <c r="O140" s="29"/>
      <c r="P140" s="28"/>
      <c r="Q140" s="32"/>
      <c r="R140" s="27"/>
      <c r="S140" s="29"/>
      <c r="T140" s="28"/>
      <c r="U140" s="32"/>
      <c r="V140" s="27"/>
      <c r="W140" s="29"/>
      <c r="X140" s="28"/>
      <c r="Y140" s="32"/>
      <c r="Z140" s="27"/>
      <c r="AA140" s="29"/>
      <c r="AB140" s="28"/>
      <c r="AC140" s="32"/>
      <c r="AD140" s="27"/>
      <c r="AE140" s="29"/>
      <c r="AF140" s="28"/>
      <c r="AG140" s="32"/>
      <c r="AH140" s="27"/>
      <c r="AI140" s="29"/>
      <c r="AJ140" s="28"/>
      <c r="AK140" s="32"/>
      <c r="AL140" s="27"/>
      <c r="AM140" s="29"/>
      <c r="AN140" s="28"/>
      <c r="AO140" s="32"/>
      <c r="AP140" s="27"/>
      <c r="AQ140" s="29"/>
      <c r="AR140" s="28"/>
      <c r="AS140" s="32"/>
      <c r="AT140" s="27"/>
      <c r="AU140" s="29"/>
      <c r="AV140" s="28"/>
      <c r="AW140" s="32"/>
      <c r="AX140" s="27"/>
      <c r="AY140" s="29"/>
      <c r="AZ140" s="28"/>
      <c r="BA140" s="32"/>
      <c r="BB140" s="27"/>
      <c r="BC140" s="29"/>
      <c r="BD140" s="28"/>
      <c r="BE140" s="32"/>
      <c r="BF140" s="27"/>
      <c r="BG140" s="29"/>
      <c r="BH140" s="28"/>
      <c r="BI140" s="32"/>
      <c r="BJ140" s="27"/>
      <c r="BK140" s="29"/>
      <c r="BL140" s="28"/>
      <c r="BM140" s="32"/>
    </row>
    <row r="141" customFormat="false" ht="15.75" hidden="false" customHeight="true" outlineLevel="0" collapsed="false">
      <c r="A141" s="27"/>
      <c r="B141" s="39" t="str">
        <f aca="false">IFERROR(INDEX(Customers!$C$4:$C$1003,MATCH($A141,Customers!$A$4:$A$1003,0)),"")</f>
        <v/>
      </c>
      <c r="C141" s="31" t="str">
        <f aca="false">IFERROR(INDEX(Customers!$F$4:$F$1003,MATCH($A141,Customers!$A$4:$A$1003,0)),"")</f>
        <v/>
      </c>
      <c r="D141" s="33" t="str">
        <f aca="false">IFERROR(INDEX(Customers!$K$4:$K$1003,MATCH($A141,Customers!$A$4:$A$1003,0)),"")</f>
        <v/>
      </c>
      <c r="E141" s="33" t="str">
        <f aca="false">IF($A141="","",IF($F141=0,"Not Started",IF($BJ141="Completed",Settings!$U$45,IF($BF141="Completed",Settings!$U$44,IF($BB141="Completed",Settings!$U$43,IF($AX141="Completed",Settings!$U$42,IF($AT141="Completed",Settings!$U$41,IF($AP141="Completed",Settings!$U$40,IF($AL141="Completed",Settings!$U$39,IF($AH141="Completed",Settings!$U$38,IF($AD141="Completed",Settings!$U$37,IF($Z141="Completed",Settings!$U$36,IF($V141="Completed",Settings!$U$35,IF($R141="Completed",Settings!$U$34,IF($N141="Completed",Settings!$U$33,IF($J141="Completed",Settings!$U$32,""))))))))))))))))</f>
        <v/>
      </c>
      <c r="F141" s="30" t="str">
        <f aca="false">IF($A141="","",COUNTIF($J141:$BM141,"Completed"))</f>
        <v/>
      </c>
      <c r="G141" s="35" t="str">
        <f aca="false">IF($A141="","",MIN($F141/13,1))</f>
        <v/>
      </c>
      <c r="H141" s="31" t="str">
        <f aca="false">IF($A141="","",IF($BJ141="Completed","Case Completed",IF($AX141="Completed","Visa Rejected",IF($BF141="Completed","Departed to Europe",IF($F141=0,"Not Started","In Progress")))))</f>
        <v/>
      </c>
      <c r="I141" s="30" t="str">
        <f aca="true">IF($K141="","",IF($BK141&lt;&gt;"",$BK141-$K141,IF($AY141&lt;&gt;"",$AY141-$K141,TODAY()-$K141)))</f>
        <v/>
      </c>
      <c r="J141" s="27"/>
      <c r="K141" s="29"/>
      <c r="L141" s="28"/>
      <c r="M141" s="32"/>
      <c r="N141" s="27"/>
      <c r="O141" s="29"/>
      <c r="P141" s="28"/>
      <c r="Q141" s="32"/>
      <c r="R141" s="27"/>
      <c r="S141" s="29"/>
      <c r="T141" s="28"/>
      <c r="U141" s="32"/>
      <c r="V141" s="27"/>
      <c r="W141" s="29"/>
      <c r="X141" s="28"/>
      <c r="Y141" s="32"/>
      <c r="Z141" s="27"/>
      <c r="AA141" s="29"/>
      <c r="AB141" s="28"/>
      <c r="AC141" s="32"/>
      <c r="AD141" s="27"/>
      <c r="AE141" s="29"/>
      <c r="AF141" s="28"/>
      <c r="AG141" s="32"/>
      <c r="AH141" s="27"/>
      <c r="AI141" s="29"/>
      <c r="AJ141" s="28"/>
      <c r="AK141" s="32"/>
      <c r="AL141" s="27"/>
      <c r="AM141" s="29"/>
      <c r="AN141" s="28"/>
      <c r="AO141" s="32"/>
      <c r="AP141" s="27"/>
      <c r="AQ141" s="29"/>
      <c r="AR141" s="28"/>
      <c r="AS141" s="32"/>
      <c r="AT141" s="27"/>
      <c r="AU141" s="29"/>
      <c r="AV141" s="28"/>
      <c r="AW141" s="32"/>
      <c r="AX141" s="27"/>
      <c r="AY141" s="29"/>
      <c r="AZ141" s="28"/>
      <c r="BA141" s="32"/>
      <c r="BB141" s="27"/>
      <c r="BC141" s="29"/>
      <c r="BD141" s="28"/>
      <c r="BE141" s="32"/>
      <c r="BF141" s="27"/>
      <c r="BG141" s="29"/>
      <c r="BH141" s="28"/>
      <c r="BI141" s="32"/>
      <c r="BJ141" s="27"/>
      <c r="BK141" s="29"/>
      <c r="BL141" s="28"/>
      <c r="BM141" s="32"/>
    </row>
    <row r="142" customFormat="false" ht="15.75" hidden="false" customHeight="true" outlineLevel="0" collapsed="false">
      <c r="A142" s="27"/>
      <c r="B142" s="39" t="str">
        <f aca="false">IFERROR(INDEX(Customers!$C$4:$C$1003,MATCH($A142,Customers!$A$4:$A$1003,0)),"")</f>
        <v/>
      </c>
      <c r="C142" s="31" t="str">
        <f aca="false">IFERROR(INDEX(Customers!$F$4:$F$1003,MATCH($A142,Customers!$A$4:$A$1003,0)),"")</f>
        <v/>
      </c>
      <c r="D142" s="33" t="str">
        <f aca="false">IFERROR(INDEX(Customers!$K$4:$K$1003,MATCH($A142,Customers!$A$4:$A$1003,0)),"")</f>
        <v/>
      </c>
      <c r="E142" s="33" t="str">
        <f aca="false">IF($A142="","",IF($F142=0,"Not Started",IF($BJ142="Completed",Settings!$U$45,IF($BF142="Completed",Settings!$U$44,IF($BB142="Completed",Settings!$U$43,IF($AX142="Completed",Settings!$U$42,IF($AT142="Completed",Settings!$U$41,IF($AP142="Completed",Settings!$U$40,IF($AL142="Completed",Settings!$U$39,IF($AH142="Completed",Settings!$U$38,IF($AD142="Completed",Settings!$U$37,IF($Z142="Completed",Settings!$U$36,IF($V142="Completed",Settings!$U$35,IF($R142="Completed",Settings!$U$34,IF($N142="Completed",Settings!$U$33,IF($J142="Completed",Settings!$U$32,""))))))))))))))))</f>
        <v/>
      </c>
      <c r="F142" s="30" t="str">
        <f aca="false">IF($A142="","",COUNTIF($J142:$BM142,"Completed"))</f>
        <v/>
      </c>
      <c r="G142" s="35" t="str">
        <f aca="false">IF($A142="","",MIN($F142/13,1))</f>
        <v/>
      </c>
      <c r="H142" s="31" t="str">
        <f aca="false">IF($A142="","",IF($BJ142="Completed","Case Completed",IF($AX142="Completed","Visa Rejected",IF($BF142="Completed","Departed to Europe",IF($F142=0,"Not Started","In Progress")))))</f>
        <v/>
      </c>
      <c r="I142" s="30" t="str">
        <f aca="true">IF($K142="","",IF($BK142&lt;&gt;"",$BK142-$K142,IF($AY142&lt;&gt;"",$AY142-$K142,TODAY()-$K142)))</f>
        <v/>
      </c>
      <c r="J142" s="27"/>
      <c r="K142" s="29"/>
      <c r="L142" s="28"/>
      <c r="M142" s="32"/>
      <c r="N142" s="27"/>
      <c r="O142" s="29"/>
      <c r="P142" s="28"/>
      <c r="Q142" s="32"/>
      <c r="R142" s="27"/>
      <c r="S142" s="29"/>
      <c r="T142" s="28"/>
      <c r="U142" s="32"/>
      <c r="V142" s="27"/>
      <c r="W142" s="29"/>
      <c r="X142" s="28"/>
      <c r="Y142" s="32"/>
      <c r="Z142" s="27"/>
      <c r="AA142" s="29"/>
      <c r="AB142" s="28"/>
      <c r="AC142" s="32"/>
      <c r="AD142" s="27"/>
      <c r="AE142" s="29"/>
      <c r="AF142" s="28"/>
      <c r="AG142" s="32"/>
      <c r="AH142" s="27"/>
      <c r="AI142" s="29"/>
      <c r="AJ142" s="28"/>
      <c r="AK142" s="32"/>
      <c r="AL142" s="27"/>
      <c r="AM142" s="29"/>
      <c r="AN142" s="28"/>
      <c r="AO142" s="32"/>
      <c r="AP142" s="27"/>
      <c r="AQ142" s="29"/>
      <c r="AR142" s="28"/>
      <c r="AS142" s="32"/>
      <c r="AT142" s="27"/>
      <c r="AU142" s="29"/>
      <c r="AV142" s="28"/>
      <c r="AW142" s="32"/>
      <c r="AX142" s="27"/>
      <c r="AY142" s="29"/>
      <c r="AZ142" s="28"/>
      <c r="BA142" s="32"/>
      <c r="BB142" s="27"/>
      <c r="BC142" s="29"/>
      <c r="BD142" s="28"/>
      <c r="BE142" s="32"/>
      <c r="BF142" s="27"/>
      <c r="BG142" s="29"/>
      <c r="BH142" s="28"/>
      <c r="BI142" s="32"/>
      <c r="BJ142" s="27"/>
      <c r="BK142" s="29"/>
      <c r="BL142" s="28"/>
      <c r="BM142" s="32"/>
    </row>
    <row r="143" customFormat="false" ht="15.75" hidden="false" customHeight="true" outlineLevel="0" collapsed="false">
      <c r="A143" s="27"/>
      <c r="B143" s="39" t="str">
        <f aca="false">IFERROR(INDEX(Customers!$C$4:$C$1003,MATCH($A143,Customers!$A$4:$A$1003,0)),"")</f>
        <v/>
      </c>
      <c r="C143" s="31" t="str">
        <f aca="false">IFERROR(INDEX(Customers!$F$4:$F$1003,MATCH($A143,Customers!$A$4:$A$1003,0)),"")</f>
        <v/>
      </c>
      <c r="D143" s="33" t="str">
        <f aca="false">IFERROR(INDEX(Customers!$K$4:$K$1003,MATCH($A143,Customers!$A$4:$A$1003,0)),"")</f>
        <v/>
      </c>
      <c r="E143" s="33" t="str">
        <f aca="false">IF($A143="","",IF($F143=0,"Not Started",IF($BJ143="Completed",Settings!$U$45,IF($BF143="Completed",Settings!$U$44,IF($BB143="Completed",Settings!$U$43,IF($AX143="Completed",Settings!$U$42,IF($AT143="Completed",Settings!$U$41,IF($AP143="Completed",Settings!$U$40,IF($AL143="Completed",Settings!$U$39,IF($AH143="Completed",Settings!$U$38,IF($AD143="Completed",Settings!$U$37,IF($Z143="Completed",Settings!$U$36,IF($V143="Completed",Settings!$U$35,IF($R143="Completed",Settings!$U$34,IF($N143="Completed",Settings!$U$33,IF($J143="Completed",Settings!$U$32,""))))))))))))))))</f>
        <v/>
      </c>
      <c r="F143" s="30" t="str">
        <f aca="false">IF($A143="","",COUNTIF($J143:$BM143,"Completed"))</f>
        <v/>
      </c>
      <c r="G143" s="35" t="str">
        <f aca="false">IF($A143="","",MIN($F143/13,1))</f>
        <v/>
      </c>
      <c r="H143" s="31" t="str">
        <f aca="false">IF($A143="","",IF($BJ143="Completed","Case Completed",IF($AX143="Completed","Visa Rejected",IF($BF143="Completed","Departed to Europe",IF($F143=0,"Not Started","In Progress")))))</f>
        <v/>
      </c>
      <c r="I143" s="30" t="str">
        <f aca="true">IF($K143="","",IF($BK143&lt;&gt;"",$BK143-$K143,IF($AY143&lt;&gt;"",$AY143-$K143,TODAY()-$K143)))</f>
        <v/>
      </c>
      <c r="J143" s="27"/>
      <c r="K143" s="29"/>
      <c r="L143" s="28"/>
      <c r="M143" s="32"/>
      <c r="N143" s="27"/>
      <c r="O143" s="29"/>
      <c r="P143" s="28"/>
      <c r="Q143" s="32"/>
      <c r="R143" s="27"/>
      <c r="S143" s="29"/>
      <c r="T143" s="28"/>
      <c r="U143" s="32"/>
      <c r="V143" s="27"/>
      <c r="W143" s="29"/>
      <c r="X143" s="28"/>
      <c r="Y143" s="32"/>
      <c r="Z143" s="27"/>
      <c r="AA143" s="29"/>
      <c r="AB143" s="28"/>
      <c r="AC143" s="32"/>
      <c r="AD143" s="27"/>
      <c r="AE143" s="29"/>
      <c r="AF143" s="28"/>
      <c r="AG143" s="32"/>
      <c r="AH143" s="27"/>
      <c r="AI143" s="29"/>
      <c r="AJ143" s="28"/>
      <c r="AK143" s="32"/>
      <c r="AL143" s="27"/>
      <c r="AM143" s="29"/>
      <c r="AN143" s="28"/>
      <c r="AO143" s="32"/>
      <c r="AP143" s="27"/>
      <c r="AQ143" s="29"/>
      <c r="AR143" s="28"/>
      <c r="AS143" s="32"/>
      <c r="AT143" s="27"/>
      <c r="AU143" s="29"/>
      <c r="AV143" s="28"/>
      <c r="AW143" s="32"/>
      <c r="AX143" s="27"/>
      <c r="AY143" s="29"/>
      <c r="AZ143" s="28"/>
      <c r="BA143" s="32"/>
      <c r="BB143" s="27"/>
      <c r="BC143" s="29"/>
      <c r="BD143" s="28"/>
      <c r="BE143" s="32"/>
      <c r="BF143" s="27"/>
      <c r="BG143" s="29"/>
      <c r="BH143" s="28"/>
      <c r="BI143" s="32"/>
      <c r="BJ143" s="27"/>
      <c r="BK143" s="29"/>
      <c r="BL143" s="28"/>
      <c r="BM143" s="32"/>
    </row>
    <row r="144" customFormat="false" ht="15.75" hidden="false" customHeight="true" outlineLevel="0" collapsed="false">
      <c r="A144" s="27"/>
      <c r="B144" s="39" t="str">
        <f aca="false">IFERROR(INDEX(Customers!$C$4:$C$1003,MATCH($A144,Customers!$A$4:$A$1003,0)),"")</f>
        <v/>
      </c>
      <c r="C144" s="31" t="str">
        <f aca="false">IFERROR(INDEX(Customers!$F$4:$F$1003,MATCH($A144,Customers!$A$4:$A$1003,0)),"")</f>
        <v/>
      </c>
      <c r="D144" s="33" t="str">
        <f aca="false">IFERROR(INDEX(Customers!$K$4:$K$1003,MATCH($A144,Customers!$A$4:$A$1003,0)),"")</f>
        <v/>
      </c>
      <c r="E144" s="33" t="str">
        <f aca="false">IF($A144="","",IF($F144=0,"Not Started",IF($BJ144="Completed",Settings!$U$45,IF($BF144="Completed",Settings!$U$44,IF($BB144="Completed",Settings!$U$43,IF($AX144="Completed",Settings!$U$42,IF($AT144="Completed",Settings!$U$41,IF($AP144="Completed",Settings!$U$40,IF($AL144="Completed",Settings!$U$39,IF($AH144="Completed",Settings!$U$38,IF($AD144="Completed",Settings!$U$37,IF($Z144="Completed",Settings!$U$36,IF($V144="Completed",Settings!$U$35,IF($R144="Completed",Settings!$U$34,IF($N144="Completed",Settings!$U$33,IF($J144="Completed",Settings!$U$32,""))))))))))))))))</f>
        <v/>
      </c>
      <c r="F144" s="30" t="str">
        <f aca="false">IF($A144="","",COUNTIF($J144:$BM144,"Completed"))</f>
        <v/>
      </c>
      <c r="G144" s="35" t="str">
        <f aca="false">IF($A144="","",MIN($F144/13,1))</f>
        <v/>
      </c>
      <c r="H144" s="31" t="str">
        <f aca="false">IF($A144="","",IF($BJ144="Completed","Case Completed",IF($AX144="Completed","Visa Rejected",IF($BF144="Completed","Departed to Europe",IF($F144=0,"Not Started","In Progress")))))</f>
        <v/>
      </c>
      <c r="I144" s="30" t="str">
        <f aca="true">IF($K144="","",IF($BK144&lt;&gt;"",$BK144-$K144,IF($AY144&lt;&gt;"",$AY144-$K144,TODAY()-$K144)))</f>
        <v/>
      </c>
      <c r="J144" s="27"/>
      <c r="K144" s="29"/>
      <c r="L144" s="28"/>
      <c r="M144" s="32"/>
      <c r="N144" s="27"/>
      <c r="O144" s="29"/>
      <c r="P144" s="28"/>
      <c r="Q144" s="32"/>
      <c r="R144" s="27"/>
      <c r="S144" s="29"/>
      <c r="T144" s="28"/>
      <c r="U144" s="32"/>
      <c r="V144" s="27"/>
      <c r="W144" s="29"/>
      <c r="X144" s="28"/>
      <c r="Y144" s="32"/>
      <c r="Z144" s="27"/>
      <c r="AA144" s="29"/>
      <c r="AB144" s="28"/>
      <c r="AC144" s="32"/>
      <c r="AD144" s="27"/>
      <c r="AE144" s="29"/>
      <c r="AF144" s="28"/>
      <c r="AG144" s="32"/>
      <c r="AH144" s="27"/>
      <c r="AI144" s="29"/>
      <c r="AJ144" s="28"/>
      <c r="AK144" s="32"/>
      <c r="AL144" s="27"/>
      <c r="AM144" s="29"/>
      <c r="AN144" s="28"/>
      <c r="AO144" s="32"/>
      <c r="AP144" s="27"/>
      <c r="AQ144" s="29"/>
      <c r="AR144" s="28"/>
      <c r="AS144" s="32"/>
      <c r="AT144" s="27"/>
      <c r="AU144" s="29"/>
      <c r="AV144" s="28"/>
      <c r="AW144" s="32"/>
      <c r="AX144" s="27"/>
      <c r="AY144" s="29"/>
      <c r="AZ144" s="28"/>
      <c r="BA144" s="32"/>
      <c r="BB144" s="27"/>
      <c r="BC144" s="29"/>
      <c r="BD144" s="28"/>
      <c r="BE144" s="32"/>
      <c r="BF144" s="27"/>
      <c r="BG144" s="29"/>
      <c r="BH144" s="28"/>
      <c r="BI144" s="32"/>
      <c r="BJ144" s="27"/>
      <c r="BK144" s="29"/>
      <c r="BL144" s="28"/>
      <c r="BM144" s="32"/>
    </row>
    <row r="145" customFormat="false" ht="15.75" hidden="false" customHeight="true" outlineLevel="0" collapsed="false">
      <c r="A145" s="27"/>
      <c r="B145" s="39" t="str">
        <f aca="false">IFERROR(INDEX(Customers!$C$4:$C$1003,MATCH($A145,Customers!$A$4:$A$1003,0)),"")</f>
        <v/>
      </c>
      <c r="C145" s="31" t="str">
        <f aca="false">IFERROR(INDEX(Customers!$F$4:$F$1003,MATCH($A145,Customers!$A$4:$A$1003,0)),"")</f>
        <v/>
      </c>
      <c r="D145" s="33" t="str">
        <f aca="false">IFERROR(INDEX(Customers!$K$4:$K$1003,MATCH($A145,Customers!$A$4:$A$1003,0)),"")</f>
        <v/>
      </c>
      <c r="E145" s="33" t="str">
        <f aca="false">IF($A145="","",IF($F145=0,"Not Started",IF($BJ145="Completed",Settings!$U$45,IF($BF145="Completed",Settings!$U$44,IF($BB145="Completed",Settings!$U$43,IF($AX145="Completed",Settings!$U$42,IF($AT145="Completed",Settings!$U$41,IF($AP145="Completed",Settings!$U$40,IF($AL145="Completed",Settings!$U$39,IF($AH145="Completed",Settings!$U$38,IF($AD145="Completed",Settings!$U$37,IF($Z145="Completed",Settings!$U$36,IF($V145="Completed",Settings!$U$35,IF($R145="Completed",Settings!$U$34,IF($N145="Completed",Settings!$U$33,IF($J145="Completed",Settings!$U$32,""))))))))))))))))</f>
        <v/>
      </c>
      <c r="F145" s="30" t="str">
        <f aca="false">IF($A145="","",COUNTIF($J145:$BM145,"Completed"))</f>
        <v/>
      </c>
      <c r="G145" s="35" t="str">
        <f aca="false">IF($A145="","",MIN($F145/13,1))</f>
        <v/>
      </c>
      <c r="H145" s="31" t="str">
        <f aca="false">IF($A145="","",IF($BJ145="Completed","Case Completed",IF($AX145="Completed","Visa Rejected",IF($BF145="Completed","Departed to Europe",IF($F145=0,"Not Started","In Progress")))))</f>
        <v/>
      </c>
      <c r="I145" s="30" t="str">
        <f aca="true">IF($K145="","",IF($BK145&lt;&gt;"",$BK145-$K145,IF($AY145&lt;&gt;"",$AY145-$K145,TODAY()-$K145)))</f>
        <v/>
      </c>
      <c r="J145" s="27"/>
      <c r="K145" s="29"/>
      <c r="L145" s="28"/>
      <c r="M145" s="32"/>
      <c r="N145" s="27"/>
      <c r="O145" s="29"/>
      <c r="P145" s="28"/>
      <c r="Q145" s="32"/>
      <c r="R145" s="27"/>
      <c r="S145" s="29"/>
      <c r="T145" s="28"/>
      <c r="U145" s="32"/>
      <c r="V145" s="27"/>
      <c r="W145" s="29"/>
      <c r="X145" s="28"/>
      <c r="Y145" s="32"/>
      <c r="Z145" s="27"/>
      <c r="AA145" s="29"/>
      <c r="AB145" s="28"/>
      <c r="AC145" s="32"/>
      <c r="AD145" s="27"/>
      <c r="AE145" s="29"/>
      <c r="AF145" s="28"/>
      <c r="AG145" s="32"/>
      <c r="AH145" s="27"/>
      <c r="AI145" s="29"/>
      <c r="AJ145" s="28"/>
      <c r="AK145" s="32"/>
      <c r="AL145" s="27"/>
      <c r="AM145" s="29"/>
      <c r="AN145" s="28"/>
      <c r="AO145" s="32"/>
      <c r="AP145" s="27"/>
      <c r="AQ145" s="29"/>
      <c r="AR145" s="28"/>
      <c r="AS145" s="32"/>
      <c r="AT145" s="27"/>
      <c r="AU145" s="29"/>
      <c r="AV145" s="28"/>
      <c r="AW145" s="32"/>
      <c r="AX145" s="27"/>
      <c r="AY145" s="29"/>
      <c r="AZ145" s="28"/>
      <c r="BA145" s="32"/>
      <c r="BB145" s="27"/>
      <c r="BC145" s="29"/>
      <c r="BD145" s="28"/>
      <c r="BE145" s="32"/>
      <c r="BF145" s="27"/>
      <c r="BG145" s="29"/>
      <c r="BH145" s="28"/>
      <c r="BI145" s="32"/>
      <c r="BJ145" s="27"/>
      <c r="BK145" s="29"/>
      <c r="BL145" s="28"/>
      <c r="BM145" s="32"/>
    </row>
    <row r="146" customFormat="false" ht="15.75" hidden="false" customHeight="true" outlineLevel="0" collapsed="false">
      <c r="A146" s="27"/>
      <c r="B146" s="39" t="str">
        <f aca="false">IFERROR(INDEX(Customers!$C$4:$C$1003,MATCH($A146,Customers!$A$4:$A$1003,0)),"")</f>
        <v/>
      </c>
      <c r="C146" s="31" t="str">
        <f aca="false">IFERROR(INDEX(Customers!$F$4:$F$1003,MATCH($A146,Customers!$A$4:$A$1003,0)),"")</f>
        <v/>
      </c>
      <c r="D146" s="33" t="str">
        <f aca="false">IFERROR(INDEX(Customers!$K$4:$K$1003,MATCH($A146,Customers!$A$4:$A$1003,0)),"")</f>
        <v/>
      </c>
      <c r="E146" s="33" t="str">
        <f aca="false">IF($A146="","",IF($F146=0,"Not Started",IF($BJ146="Completed",Settings!$U$45,IF($BF146="Completed",Settings!$U$44,IF($BB146="Completed",Settings!$U$43,IF($AX146="Completed",Settings!$U$42,IF($AT146="Completed",Settings!$U$41,IF($AP146="Completed",Settings!$U$40,IF($AL146="Completed",Settings!$U$39,IF($AH146="Completed",Settings!$U$38,IF($AD146="Completed",Settings!$U$37,IF($Z146="Completed",Settings!$U$36,IF($V146="Completed",Settings!$U$35,IF($R146="Completed",Settings!$U$34,IF($N146="Completed",Settings!$U$33,IF($J146="Completed",Settings!$U$32,""))))))))))))))))</f>
        <v/>
      </c>
      <c r="F146" s="30" t="str">
        <f aca="false">IF($A146="","",COUNTIF($J146:$BM146,"Completed"))</f>
        <v/>
      </c>
      <c r="G146" s="35" t="str">
        <f aca="false">IF($A146="","",MIN($F146/13,1))</f>
        <v/>
      </c>
      <c r="H146" s="31" t="str">
        <f aca="false">IF($A146="","",IF($BJ146="Completed","Case Completed",IF($AX146="Completed","Visa Rejected",IF($BF146="Completed","Departed to Europe",IF($F146=0,"Not Started","In Progress")))))</f>
        <v/>
      </c>
      <c r="I146" s="30" t="str">
        <f aca="true">IF($K146="","",IF($BK146&lt;&gt;"",$BK146-$K146,IF($AY146&lt;&gt;"",$AY146-$K146,TODAY()-$K146)))</f>
        <v/>
      </c>
      <c r="J146" s="27"/>
      <c r="K146" s="29"/>
      <c r="L146" s="28"/>
      <c r="M146" s="32"/>
      <c r="N146" s="27"/>
      <c r="O146" s="29"/>
      <c r="P146" s="28"/>
      <c r="Q146" s="32"/>
      <c r="R146" s="27"/>
      <c r="S146" s="29"/>
      <c r="T146" s="28"/>
      <c r="U146" s="32"/>
      <c r="V146" s="27"/>
      <c r="W146" s="29"/>
      <c r="X146" s="28"/>
      <c r="Y146" s="32"/>
      <c r="Z146" s="27"/>
      <c r="AA146" s="29"/>
      <c r="AB146" s="28"/>
      <c r="AC146" s="32"/>
      <c r="AD146" s="27"/>
      <c r="AE146" s="29"/>
      <c r="AF146" s="28"/>
      <c r="AG146" s="32"/>
      <c r="AH146" s="27"/>
      <c r="AI146" s="29"/>
      <c r="AJ146" s="28"/>
      <c r="AK146" s="32"/>
      <c r="AL146" s="27"/>
      <c r="AM146" s="29"/>
      <c r="AN146" s="28"/>
      <c r="AO146" s="32"/>
      <c r="AP146" s="27"/>
      <c r="AQ146" s="29"/>
      <c r="AR146" s="28"/>
      <c r="AS146" s="32"/>
      <c r="AT146" s="27"/>
      <c r="AU146" s="29"/>
      <c r="AV146" s="28"/>
      <c r="AW146" s="32"/>
      <c r="AX146" s="27"/>
      <c r="AY146" s="29"/>
      <c r="AZ146" s="28"/>
      <c r="BA146" s="32"/>
      <c r="BB146" s="27"/>
      <c r="BC146" s="29"/>
      <c r="BD146" s="28"/>
      <c r="BE146" s="32"/>
      <c r="BF146" s="27"/>
      <c r="BG146" s="29"/>
      <c r="BH146" s="28"/>
      <c r="BI146" s="32"/>
      <c r="BJ146" s="27"/>
      <c r="BK146" s="29"/>
      <c r="BL146" s="28"/>
      <c r="BM146" s="32"/>
    </row>
    <row r="147" customFormat="false" ht="15.75" hidden="false" customHeight="true" outlineLevel="0" collapsed="false">
      <c r="A147" s="27"/>
      <c r="B147" s="39" t="str">
        <f aca="false">IFERROR(INDEX(Customers!$C$4:$C$1003,MATCH($A147,Customers!$A$4:$A$1003,0)),"")</f>
        <v/>
      </c>
      <c r="C147" s="31" t="str">
        <f aca="false">IFERROR(INDEX(Customers!$F$4:$F$1003,MATCH($A147,Customers!$A$4:$A$1003,0)),"")</f>
        <v/>
      </c>
      <c r="D147" s="33" t="str">
        <f aca="false">IFERROR(INDEX(Customers!$K$4:$K$1003,MATCH($A147,Customers!$A$4:$A$1003,0)),"")</f>
        <v/>
      </c>
      <c r="E147" s="33" t="str">
        <f aca="false">IF($A147="","",IF($F147=0,"Not Started",IF($BJ147="Completed",Settings!$U$45,IF($BF147="Completed",Settings!$U$44,IF($BB147="Completed",Settings!$U$43,IF($AX147="Completed",Settings!$U$42,IF($AT147="Completed",Settings!$U$41,IF($AP147="Completed",Settings!$U$40,IF($AL147="Completed",Settings!$U$39,IF($AH147="Completed",Settings!$U$38,IF($AD147="Completed",Settings!$U$37,IF($Z147="Completed",Settings!$U$36,IF($V147="Completed",Settings!$U$35,IF($R147="Completed",Settings!$U$34,IF($N147="Completed",Settings!$U$33,IF($J147="Completed",Settings!$U$32,""))))))))))))))))</f>
        <v/>
      </c>
      <c r="F147" s="30" t="str">
        <f aca="false">IF($A147="","",COUNTIF($J147:$BM147,"Completed"))</f>
        <v/>
      </c>
      <c r="G147" s="35" t="str">
        <f aca="false">IF($A147="","",MIN($F147/13,1))</f>
        <v/>
      </c>
      <c r="H147" s="31" t="str">
        <f aca="false">IF($A147="","",IF($BJ147="Completed","Case Completed",IF($AX147="Completed","Visa Rejected",IF($BF147="Completed","Departed to Europe",IF($F147=0,"Not Started","In Progress")))))</f>
        <v/>
      </c>
      <c r="I147" s="30" t="str">
        <f aca="true">IF($K147="","",IF($BK147&lt;&gt;"",$BK147-$K147,IF($AY147&lt;&gt;"",$AY147-$K147,TODAY()-$K147)))</f>
        <v/>
      </c>
      <c r="J147" s="27"/>
      <c r="K147" s="29"/>
      <c r="L147" s="28"/>
      <c r="M147" s="32"/>
      <c r="N147" s="27"/>
      <c r="O147" s="29"/>
      <c r="P147" s="28"/>
      <c r="Q147" s="32"/>
      <c r="R147" s="27"/>
      <c r="S147" s="29"/>
      <c r="T147" s="28"/>
      <c r="U147" s="32"/>
      <c r="V147" s="27"/>
      <c r="W147" s="29"/>
      <c r="X147" s="28"/>
      <c r="Y147" s="32"/>
      <c r="Z147" s="27"/>
      <c r="AA147" s="29"/>
      <c r="AB147" s="28"/>
      <c r="AC147" s="32"/>
      <c r="AD147" s="27"/>
      <c r="AE147" s="29"/>
      <c r="AF147" s="28"/>
      <c r="AG147" s="32"/>
      <c r="AH147" s="27"/>
      <c r="AI147" s="29"/>
      <c r="AJ147" s="28"/>
      <c r="AK147" s="32"/>
      <c r="AL147" s="27"/>
      <c r="AM147" s="29"/>
      <c r="AN147" s="28"/>
      <c r="AO147" s="32"/>
      <c r="AP147" s="27"/>
      <c r="AQ147" s="29"/>
      <c r="AR147" s="28"/>
      <c r="AS147" s="32"/>
      <c r="AT147" s="27"/>
      <c r="AU147" s="29"/>
      <c r="AV147" s="28"/>
      <c r="AW147" s="32"/>
      <c r="AX147" s="27"/>
      <c r="AY147" s="29"/>
      <c r="AZ147" s="28"/>
      <c r="BA147" s="32"/>
      <c r="BB147" s="27"/>
      <c r="BC147" s="29"/>
      <c r="BD147" s="28"/>
      <c r="BE147" s="32"/>
      <c r="BF147" s="27"/>
      <c r="BG147" s="29"/>
      <c r="BH147" s="28"/>
      <c r="BI147" s="32"/>
      <c r="BJ147" s="27"/>
      <c r="BK147" s="29"/>
      <c r="BL147" s="28"/>
      <c r="BM147" s="32"/>
    </row>
    <row r="148" customFormat="false" ht="15.75" hidden="false" customHeight="true" outlineLevel="0" collapsed="false">
      <c r="A148" s="27"/>
      <c r="B148" s="39" t="str">
        <f aca="false">IFERROR(INDEX(Customers!$C$4:$C$1003,MATCH($A148,Customers!$A$4:$A$1003,0)),"")</f>
        <v/>
      </c>
      <c r="C148" s="31" t="str">
        <f aca="false">IFERROR(INDEX(Customers!$F$4:$F$1003,MATCH($A148,Customers!$A$4:$A$1003,0)),"")</f>
        <v/>
      </c>
      <c r="D148" s="33" t="str">
        <f aca="false">IFERROR(INDEX(Customers!$K$4:$K$1003,MATCH($A148,Customers!$A$4:$A$1003,0)),"")</f>
        <v/>
      </c>
      <c r="E148" s="33" t="str">
        <f aca="false">IF($A148="","",IF($F148=0,"Not Started",IF($BJ148="Completed",Settings!$U$45,IF($BF148="Completed",Settings!$U$44,IF($BB148="Completed",Settings!$U$43,IF($AX148="Completed",Settings!$U$42,IF($AT148="Completed",Settings!$U$41,IF($AP148="Completed",Settings!$U$40,IF($AL148="Completed",Settings!$U$39,IF($AH148="Completed",Settings!$U$38,IF($AD148="Completed",Settings!$U$37,IF($Z148="Completed",Settings!$U$36,IF($V148="Completed",Settings!$U$35,IF($R148="Completed",Settings!$U$34,IF($N148="Completed",Settings!$U$33,IF($J148="Completed",Settings!$U$32,""))))))))))))))))</f>
        <v/>
      </c>
      <c r="F148" s="30" t="str">
        <f aca="false">IF($A148="","",COUNTIF($J148:$BM148,"Completed"))</f>
        <v/>
      </c>
      <c r="G148" s="35" t="str">
        <f aca="false">IF($A148="","",MIN($F148/13,1))</f>
        <v/>
      </c>
      <c r="H148" s="31" t="str">
        <f aca="false">IF($A148="","",IF($BJ148="Completed","Case Completed",IF($AX148="Completed","Visa Rejected",IF($BF148="Completed","Departed to Europe",IF($F148=0,"Not Started","In Progress")))))</f>
        <v/>
      </c>
      <c r="I148" s="30" t="str">
        <f aca="true">IF($K148="","",IF($BK148&lt;&gt;"",$BK148-$K148,IF($AY148&lt;&gt;"",$AY148-$K148,TODAY()-$K148)))</f>
        <v/>
      </c>
      <c r="J148" s="27"/>
      <c r="K148" s="29"/>
      <c r="L148" s="28"/>
      <c r="M148" s="32"/>
      <c r="N148" s="27"/>
      <c r="O148" s="29"/>
      <c r="P148" s="28"/>
      <c r="Q148" s="32"/>
      <c r="R148" s="27"/>
      <c r="S148" s="29"/>
      <c r="T148" s="28"/>
      <c r="U148" s="32"/>
      <c r="V148" s="27"/>
      <c r="W148" s="29"/>
      <c r="X148" s="28"/>
      <c r="Y148" s="32"/>
      <c r="Z148" s="27"/>
      <c r="AA148" s="29"/>
      <c r="AB148" s="28"/>
      <c r="AC148" s="32"/>
      <c r="AD148" s="27"/>
      <c r="AE148" s="29"/>
      <c r="AF148" s="28"/>
      <c r="AG148" s="32"/>
      <c r="AH148" s="27"/>
      <c r="AI148" s="29"/>
      <c r="AJ148" s="28"/>
      <c r="AK148" s="32"/>
      <c r="AL148" s="27"/>
      <c r="AM148" s="29"/>
      <c r="AN148" s="28"/>
      <c r="AO148" s="32"/>
      <c r="AP148" s="27"/>
      <c r="AQ148" s="29"/>
      <c r="AR148" s="28"/>
      <c r="AS148" s="32"/>
      <c r="AT148" s="27"/>
      <c r="AU148" s="29"/>
      <c r="AV148" s="28"/>
      <c r="AW148" s="32"/>
      <c r="AX148" s="27"/>
      <c r="AY148" s="29"/>
      <c r="AZ148" s="28"/>
      <c r="BA148" s="32"/>
      <c r="BB148" s="27"/>
      <c r="BC148" s="29"/>
      <c r="BD148" s="28"/>
      <c r="BE148" s="32"/>
      <c r="BF148" s="27"/>
      <c r="BG148" s="29"/>
      <c r="BH148" s="28"/>
      <c r="BI148" s="32"/>
      <c r="BJ148" s="27"/>
      <c r="BK148" s="29"/>
      <c r="BL148" s="28"/>
      <c r="BM148" s="32"/>
    </row>
    <row r="149" customFormat="false" ht="15.75" hidden="false" customHeight="true" outlineLevel="0" collapsed="false">
      <c r="A149" s="27"/>
      <c r="B149" s="39" t="str">
        <f aca="false">IFERROR(INDEX(Customers!$C$4:$C$1003,MATCH($A149,Customers!$A$4:$A$1003,0)),"")</f>
        <v/>
      </c>
      <c r="C149" s="31" t="str">
        <f aca="false">IFERROR(INDEX(Customers!$F$4:$F$1003,MATCH($A149,Customers!$A$4:$A$1003,0)),"")</f>
        <v/>
      </c>
      <c r="D149" s="33" t="str">
        <f aca="false">IFERROR(INDEX(Customers!$K$4:$K$1003,MATCH($A149,Customers!$A$4:$A$1003,0)),"")</f>
        <v/>
      </c>
      <c r="E149" s="33" t="str">
        <f aca="false">IF($A149="","",IF($F149=0,"Not Started",IF($BJ149="Completed",Settings!$U$45,IF($BF149="Completed",Settings!$U$44,IF($BB149="Completed",Settings!$U$43,IF($AX149="Completed",Settings!$U$42,IF($AT149="Completed",Settings!$U$41,IF($AP149="Completed",Settings!$U$40,IF($AL149="Completed",Settings!$U$39,IF($AH149="Completed",Settings!$U$38,IF($AD149="Completed",Settings!$U$37,IF($Z149="Completed",Settings!$U$36,IF($V149="Completed",Settings!$U$35,IF($R149="Completed",Settings!$U$34,IF($N149="Completed",Settings!$U$33,IF($J149="Completed",Settings!$U$32,""))))))))))))))))</f>
        <v/>
      </c>
      <c r="F149" s="30" t="str">
        <f aca="false">IF($A149="","",COUNTIF($J149:$BM149,"Completed"))</f>
        <v/>
      </c>
      <c r="G149" s="35" t="str">
        <f aca="false">IF($A149="","",MIN($F149/13,1))</f>
        <v/>
      </c>
      <c r="H149" s="31" t="str">
        <f aca="false">IF($A149="","",IF($BJ149="Completed","Case Completed",IF($AX149="Completed","Visa Rejected",IF($BF149="Completed","Departed to Europe",IF($F149=0,"Not Started","In Progress")))))</f>
        <v/>
      </c>
      <c r="I149" s="30" t="str">
        <f aca="true">IF($K149="","",IF($BK149&lt;&gt;"",$BK149-$K149,IF($AY149&lt;&gt;"",$AY149-$K149,TODAY()-$K149)))</f>
        <v/>
      </c>
      <c r="J149" s="27"/>
      <c r="K149" s="29"/>
      <c r="L149" s="28"/>
      <c r="M149" s="32"/>
      <c r="N149" s="27"/>
      <c r="O149" s="29"/>
      <c r="P149" s="28"/>
      <c r="Q149" s="32"/>
      <c r="R149" s="27"/>
      <c r="S149" s="29"/>
      <c r="T149" s="28"/>
      <c r="U149" s="32"/>
      <c r="V149" s="27"/>
      <c r="W149" s="29"/>
      <c r="X149" s="28"/>
      <c r="Y149" s="32"/>
      <c r="Z149" s="27"/>
      <c r="AA149" s="29"/>
      <c r="AB149" s="28"/>
      <c r="AC149" s="32"/>
      <c r="AD149" s="27"/>
      <c r="AE149" s="29"/>
      <c r="AF149" s="28"/>
      <c r="AG149" s="32"/>
      <c r="AH149" s="27"/>
      <c r="AI149" s="29"/>
      <c r="AJ149" s="28"/>
      <c r="AK149" s="32"/>
      <c r="AL149" s="27"/>
      <c r="AM149" s="29"/>
      <c r="AN149" s="28"/>
      <c r="AO149" s="32"/>
      <c r="AP149" s="27"/>
      <c r="AQ149" s="29"/>
      <c r="AR149" s="28"/>
      <c r="AS149" s="32"/>
      <c r="AT149" s="27"/>
      <c r="AU149" s="29"/>
      <c r="AV149" s="28"/>
      <c r="AW149" s="32"/>
      <c r="AX149" s="27"/>
      <c r="AY149" s="29"/>
      <c r="AZ149" s="28"/>
      <c r="BA149" s="32"/>
      <c r="BB149" s="27"/>
      <c r="BC149" s="29"/>
      <c r="BD149" s="28"/>
      <c r="BE149" s="32"/>
      <c r="BF149" s="27"/>
      <c r="BG149" s="29"/>
      <c r="BH149" s="28"/>
      <c r="BI149" s="32"/>
      <c r="BJ149" s="27"/>
      <c r="BK149" s="29"/>
      <c r="BL149" s="28"/>
      <c r="BM149" s="32"/>
    </row>
    <row r="150" customFormat="false" ht="15.75" hidden="false" customHeight="true" outlineLevel="0" collapsed="false">
      <c r="A150" s="27"/>
      <c r="B150" s="39" t="str">
        <f aca="false">IFERROR(INDEX(Customers!$C$4:$C$1003,MATCH($A150,Customers!$A$4:$A$1003,0)),"")</f>
        <v/>
      </c>
      <c r="C150" s="31" t="str">
        <f aca="false">IFERROR(INDEX(Customers!$F$4:$F$1003,MATCH($A150,Customers!$A$4:$A$1003,0)),"")</f>
        <v/>
      </c>
      <c r="D150" s="33" t="str">
        <f aca="false">IFERROR(INDEX(Customers!$K$4:$K$1003,MATCH($A150,Customers!$A$4:$A$1003,0)),"")</f>
        <v/>
      </c>
      <c r="E150" s="33" t="str">
        <f aca="false">IF($A150="","",IF($F150=0,"Not Started",IF($BJ150="Completed",Settings!$U$45,IF($BF150="Completed",Settings!$U$44,IF($BB150="Completed",Settings!$U$43,IF($AX150="Completed",Settings!$U$42,IF($AT150="Completed",Settings!$U$41,IF($AP150="Completed",Settings!$U$40,IF($AL150="Completed",Settings!$U$39,IF($AH150="Completed",Settings!$U$38,IF($AD150="Completed",Settings!$U$37,IF($Z150="Completed",Settings!$U$36,IF($V150="Completed",Settings!$U$35,IF($R150="Completed",Settings!$U$34,IF($N150="Completed",Settings!$U$33,IF($J150="Completed",Settings!$U$32,""))))))))))))))))</f>
        <v/>
      </c>
      <c r="F150" s="30" t="str">
        <f aca="false">IF($A150="","",COUNTIF($J150:$BM150,"Completed"))</f>
        <v/>
      </c>
      <c r="G150" s="35" t="str">
        <f aca="false">IF($A150="","",MIN($F150/13,1))</f>
        <v/>
      </c>
      <c r="H150" s="31" t="str">
        <f aca="false">IF($A150="","",IF($BJ150="Completed","Case Completed",IF($AX150="Completed","Visa Rejected",IF($BF150="Completed","Departed to Europe",IF($F150=0,"Not Started","In Progress")))))</f>
        <v/>
      </c>
      <c r="I150" s="30" t="str">
        <f aca="true">IF($K150="","",IF($BK150&lt;&gt;"",$BK150-$K150,IF($AY150&lt;&gt;"",$AY150-$K150,TODAY()-$K150)))</f>
        <v/>
      </c>
      <c r="J150" s="27"/>
      <c r="K150" s="29"/>
      <c r="L150" s="28"/>
      <c r="M150" s="32"/>
      <c r="N150" s="27"/>
      <c r="O150" s="29"/>
      <c r="P150" s="28"/>
      <c r="Q150" s="32"/>
      <c r="R150" s="27"/>
      <c r="S150" s="29"/>
      <c r="T150" s="28"/>
      <c r="U150" s="32"/>
      <c r="V150" s="27"/>
      <c r="W150" s="29"/>
      <c r="X150" s="28"/>
      <c r="Y150" s="32"/>
      <c r="Z150" s="27"/>
      <c r="AA150" s="29"/>
      <c r="AB150" s="28"/>
      <c r="AC150" s="32"/>
      <c r="AD150" s="27"/>
      <c r="AE150" s="29"/>
      <c r="AF150" s="28"/>
      <c r="AG150" s="32"/>
      <c r="AH150" s="27"/>
      <c r="AI150" s="29"/>
      <c r="AJ150" s="28"/>
      <c r="AK150" s="32"/>
      <c r="AL150" s="27"/>
      <c r="AM150" s="29"/>
      <c r="AN150" s="28"/>
      <c r="AO150" s="32"/>
      <c r="AP150" s="27"/>
      <c r="AQ150" s="29"/>
      <c r="AR150" s="28"/>
      <c r="AS150" s="32"/>
      <c r="AT150" s="27"/>
      <c r="AU150" s="29"/>
      <c r="AV150" s="28"/>
      <c r="AW150" s="32"/>
      <c r="AX150" s="27"/>
      <c r="AY150" s="29"/>
      <c r="AZ150" s="28"/>
      <c r="BA150" s="32"/>
      <c r="BB150" s="27"/>
      <c r="BC150" s="29"/>
      <c r="BD150" s="28"/>
      <c r="BE150" s="32"/>
      <c r="BF150" s="27"/>
      <c r="BG150" s="29"/>
      <c r="BH150" s="28"/>
      <c r="BI150" s="32"/>
      <c r="BJ150" s="27"/>
      <c r="BK150" s="29"/>
      <c r="BL150" s="28"/>
      <c r="BM150" s="32"/>
    </row>
    <row r="151" customFormat="false" ht="15.75" hidden="false" customHeight="true" outlineLevel="0" collapsed="false">
      <c r="A151" s="27"/>
      <c r="B151" s="39" t="str">
        <f aca="false">IFERROR(INDEX(Customers!$C$4:$C$1003,MATCH($A151,Customers!$A$4:$A$1003,0)),"")</f>
        <v/>
      </c>
      <c r="C151" s="31" t="str">
        <f aca="false">IFERROR(INDEX(Customers!$F$4:$F$1003,MATCH($A151,Customers!$A$4:$A$1003,0)),"")</f>
        <v/>
      </c>
      <c r="D151" s="33" t="str">
        <f aca="false">IFERROR(INDEX(Customers!$K$4:$K$1003,MATCH($A151,Customers!$A$4:$A$1003,0)),"")</f>
        <v/>
      </c>
      <c r="E151" s="33" t="str">
        <f aca="false">IF($A151="","",IF($F151=0,"Not Started",IF($BJ151="Completed",Settings!$U$45,IF($BF151="Completed",Settings!$U$44,IF($BB151="Completed",Settings!$U$43,IF($AX151="Completed",Settings!$U$42,IF($AT151="Completed",Settings!$U$41,IF($AP151="Completed",Settings!$U$40,IF($AL151="Completed",Settings!$U$39,IF($AH151="Completed",Settings!$U$38,IF($AD151="Completed",Settings!$U$37,IF($Z151="Completed",Settings!$U$36,IF($V151="Completed",Settings!$U$35,IF($R151="Completed",Settings!$U$34,IF($N151="Completed",Settings!$U$33,IF($J151="Completed",Settings!$U$32,""))))))))))))))))</f>
        <v/>
      </c>
      <c r="F151" s="30" t="str">
        <f aca="false">IF($A151="","",COUNTIF($J151:$BM151,"Completed"))</f>
        <v/>
      </c>
      <c r="G151" s="35" t="str">
        <f aca="false">IF($A151="","",MIN($F151/13,1))</f>
        <v/>
      </c>
      <c r="H151" s="31" t="str">
        <f aca="false">IF($A151="","",IF($BJ151="Completed","Case Completed",IF($AX151="Completed","Visa Rejected",IF($BF151="Completed","Departed to Europe",IF($F151=0,"Not Started","In Progress")))))</f>
        <v/>
      </c>
      <c r="I151" s="30" t="str">
        <f aca="true">IF($K151="","",IF($BK151&lt;&gt;"",$BK151-$K151,IF($AY151&lt;&gt;"",$AY151-$K151,TODAY()-$K151)))</f>
        <v/>
      </c>
      <c r="J151" s="27"/>
      <c r="K151" s="29"/>
      <c r="L151" s="28"/>
      <c r="M151" s="32"/>
      <c r="N151" s="27"/>
      <c r="O151" s="29"/>
      <c r="P151" s="28"/>
      <c r="Q151" s="32"/>
      <c r="R151" s="27"/>
      <c r="S151" s="29"/>
      <c r="T151" s="28"/>
      <c r="U151" s="32"/>
      <c r="V151" s="27"/>
      <c r="W151" s="29"/>
      <c r="X151" s="28"/>
      <c r="Y151" s="32"/>
      <c r="Z151" s="27"/>
      <c r="AA151" s="29"/>
      <c r="AB151" s="28"/>
      <c r="AC151" s="32"/>
      <c r="AD151" s="27"/>
      <c r="AE151" s="29"/>
      <c r="AF151" s="28"/>
      <c r="AG151" s="32"/>
      <c r="AH151" s="27"/>
      <c r="AI151" s="29"/>
      <c r="AJ151" s="28"/>
      <c r="AK151" s="32"/>
      <c r="AL151" s="27"/>
      <c r="AM151" s="29"/>
      <c r="AN151" s="28"/>
      <c r="AO151" s="32"/>
      <c r="AP151" s="27"/>
      <c r="AQ151" s="29"/>
      <c r="AR151" s="28"/>
      <c r="AS151" s="32"/>
      <c r="AT151" s="27"/>
      <c r="AU151" s="29"/>
      <c r="AV151" s="28"/>
      <c r="AW151" s="32"/>
      <c r="AX151" s="27"/>
      <c r="AY151" s="29"/>
      <c r="AZ151" s="28"/>
      <c r="BA151" s="32"/>
      <c r="BB151" s="27"/>
      <c r="BC151" s="29"/>
      <c r="BD151" s="28"/>
      <c r="BE151" s="32"/>
      <c r="BF151" s="27"/>
      <c r="BG151" s="29"/>
      <c r="BH151" s="28"/>
      <c r="BI151" s="32"/>
      <c r="BJ151" s="27"/>
      <c r="BK151" s="29"/>
      <c r="BL151" s="28"/>
      <c r="BM151" s="32"/>
    </row>
    <row r="152" customFormat="false" ht="15.75" hidden="false" customHeight="true" outlineLevel="0" collapsed="false">
      <c r="A152" s="27"/>
      <c r="B152" s="39" t="str">
        <f aca="false">IFERROR(INDEX(Customers!$C$4:$C$1003,MATCH($A152,Customers!$A$4:$A$1003,0)),"")</f>
        <v/>
      </c>
      <c r="C152" s="31" t="str">
        <f aca="false">IFERROR(INDEX(Customers!$F$4:$F$1003,MATCH($A152,Customers!$A$4:$A$1003,0)),"")</f>
        <v/>
      </c>
      <c r="D152" s="33" t="str">
        <f aca="false">IFERROR(INDEX(Customers!$K$4:$K$1003,MATCH($A152,Customers!$A$4:$A$1003,0)),"")</f>
        <v/>
      </c>
      <c r="E152" s="33" t="str">
        <f aca="false">IF($A152="","",IF($F152=0,"Not Started",IF($BJ152="Completed",Settings!$U$45,IF($BF152="Completed",Settings!$U$44,IF($BB152="Completed",Settings!$U$43,IF($AX152="Completed",Settings!$U$42,IF($AT152="Completed",Settings!$U$41,IF($AP152="Completed",Settings!$U$40,IF($AL152="Completed",Settings!$U$39,IF($AH152="Completed",Settings!$U$38,IF($AD152="Completed",Settings!$U$37,IF($Z152="Completed",Settings!$U$36,IF($V152="Completed",Settings!$U$35,IF($R152="Completed",Settings!$U$34,IF($N152="Completed",Settings!$U$33,IF($J152="Completed",Settings!$U$32,""))))))))))))))))</f>
        <v/>
      </c>
      <c r="F152" s="30" t="str">
        <f aca="false">IF($A152="","",COUNTIF($J152:$BM152,"Completed"))</f>
        <v/>
      </c>
      <c r="G152" s="35" t="str">
        <f aca="false">IF($A152="","",MIN($F152/13,1))</f>
        <v/>
      </c>
      <c r="H152" s="31" t="str">
        <f aca="false">IF($A152="","",IF($BJ152="Completed","Case Completed",IF($AX152="Completed","Visa Rejected",IF($BF152="Completed","Departed to Europe",IF($F152=0,"Not Started","In Progress")))))</f>
        <v/>
      </c>
      <c r="I152" s="30" t="str">
        <f aca="true">IF($K152="","",IF($BK152&lt;&gt;"",$BK152-$K152,IF($AY152&lt;&gt;"",$AY152-$K152,TODAY()-$K152)))</f>
        <v/>
      </c>
      <c r="J152" s="27"/>
      <c r="K152" s="29"/>
      <c r="L152" s="28"/>
      <c r="M152" s="32"/>
      <c r="N152" s="27"/>
      <c r="O152" s="29"/>
      <c r="P152" s="28"/>
      <c r="Q152" s="32"/>
      <c r="R152" s="27"/>
      <c r="S152" s="29"/>
      <c r="T152" s="28"/>
      <c r="U152" s="32"/>
      <c r="V152" s="27"/>
      <c r="W152" s="29"/>
      <c r="X152" s="28"/>
      <c r="Y152" s="32"/>
      <c r="Z152" s="27"/>
      <c r="AA152" s="29"/>
      <c r="AB152" s="28"/>
      <c r="AC152" s="32"/>
      <c r="AD152" s="27"/>
      <c r="AE152" s="29"/>
      <c r="AF152" s="28"/>
      <c r="AG152" s="32"/>
      <c r="AH152" s="27"/>
      <c r="AI152" s="29"/>
      <c r="AJ152" s="28"/>
      <c r="AK152" s="32"/>
      <c r="AL152" s="27"/>
      <c r="AM152" s="29"/>
      <c r="AN152" s="28"/>
      <c r="AO152" s="32"/>
      <c r="AP152" s="27"/>
      <c r="AQ152" s="29"/>
      <c r="AR152" s="28"/>
      <c r="AS152" s="32"/>
      <c r="AT152" s="27"/>
      <c r="AU152" s="29"/>
      <c r="AV152" s="28"/>
      <c r="AW152" s="32"/>
      <c r="AX152" s="27"/>
      <c r="AY152" s="29"/>
      <c r="AZ152" s="28"/>
      <c r="BA152" s="32"/>
      <c r="BB152" s="27"/>
      <c r="BC152" s="29"/>
      <c r="BD152" s="28"/>
      <c r="BE152" s="32"/>
      <c r="BF152" s="27"/>
      <c r="BG152" s="29"/>
      <c r="BH152" s="28"/>
      <c r="BI152" s="32"/>
      <c r="BJ152" s="27"/>
      <c r="BK152" s="29"/>
      <c r="BL152" s="28"/>
      <c r="BM152" s="32"/>
    </row>
    <row r="153" customFormat="false" ht="15.75" hidden="false" customHeight="true" outlineLevel="0" collapsed="false">
      <c r="A153" s="27"/>
      <c r="B153" s="39" t="str">
        <f aca="false">IFERROR(INDEX(Customers!$C$4:$C$1003,MATCH($A153,Customers!$A$4:$A$1003,0)),"")</f>
        <v/>
      </c>
      <c r="C153" s="31" t="str">
        <f aca="false">IFERROR(INDEX(Customers!$F$4:$F$1003,MATCH($A153,Customers!$A$4:$A$1003,0)),"")</f>
        <v/>
      </c>
      <c r="D153" s="33" t="str">
        <f aca="false">IFERROR(INDEX(Customers!$K$4:$K$1003,MATCH($A153,Customers!$A$4:$A$1003,0)),"")</f>
        <v/>
      </c>
      <c r="E153" s="33" t="str">
        <f aca="false">IF($A153="","",IF($F153=0,"Not Started",IF($BJ153="Completed",Settings!$U$45,IF($BF153="Completed",Settings!$U$44,IF($BB153="Completed",Settings!$U$43,IF($AX153="Completed",Settings!$U$42,IF($AT153="Completed",Settings!$U$41,IF($AP153="Completed",Settings!$U$40,IF($AL153="Completed",Settings!$U$39,IF($AH153="Completed",Settings!$U$38,IF($AD153="Completed",Settings!$U$37,IF($Z153="Completed",Settings!$U$36,IF($V153="Completed",Settings!$U$35,IF($R153="Completed",Settings!$U$34,IF($N153="Completed",Settings!$U$33,IF($J153="Completed",Settings!$U$32,""))))))))))))))))</f>
        <v/>
      </c>
      <c r="F153" s="30" t="str">
        <f aca="false">IF($A153="","",COUNTIF($J153:$BM153,"Completed"))</f>
        <v/>
      </c>
      <c r="G153" s="35" t="str">
        <f aca="false">IF($A153="","",MIN($F153/13,1))</f>
        <v/>
      </c>
      <c r="H153" s="31" t="str">
        <f aca="false">IF($A153="","",IF($BJ153="Completed","Case Completed",IF($AX153="Completed","Visa Rejected",IF($BF153="Completed","Departed to Europe",IF($F153=0,"Not Started","In Progress")))))</f>
        <v/>
      </c>
      <c r="I153" s="30" t="str">
        <f aca="true">IF($K153="","",IF($BK153&lt;&gt;"",$BK153-$K153,IF($AY153&lt;&gt;"",$AY153-$K153,TODAY()-$K153)))</f>
        <v/>
      </c>
      <c r="J153" s="27"/>
      <c r="K153" s="29"/>
      <c r="L153" s="28"/>
      <c r="M153" s="32"/>
      <c r="N153" s="27"/>
      <c r="O153" s="29"/>
      <c r="P153" s="28"/>
      <c r="Q153" s="32"/>
      <c r="R153" s="27"/>
      <c r="S153" s="29"/>
      <c r="T153" s="28"/>
      <c r="U153" s="32"/>
      <c r="V153" s="27"/>
      <c r="W153" s="29"/>
      <c r="X153" s="28"/>
      <c r="Y153" s="32"/>
      <c r="Z153" s="27"/>
      <c r="AA153" s="29"/>
      <c r="AB153" s="28"/>
      <c r="AC153" s="32"/>
      <c r="AD153" s="27"/>
      <c r="AE153" s="29"/>
      <c r="AF153" s="28"/>
      <c r="AG153" s="32"/>
      <c r="AH153" s="27"/>
      <c r="AI153" s="29"/>
      <c r="AJ153" s="28"/>
      <c r="AK153" s="32"/>
      <c r="AL153" s="27"/>
      <c r="AM153" s="29"/>
      <c r="AN153" s="28"/>
      <c r="AO153" s="32"/>
      <c r="AP153" s="27"/>
      <c r="AQ153" s="29"/>
      <c r="AR153" s="28"/>
      <c r="AS153" s="32"/>
      <c r="AT153" s="27"/>
      <c r="AU153" s="29"/>
      <c r="AV153" s="28"/>
      <c r="AW153" s="32"/>
      <c r="AX153" s="27"/>
      <c r="AY153" s="29"/>
      <c r="AZ153" s="28"/>
      <c r="BA153" s="32"/>
      <c r="BB153" s="27"/>
      <c r="BC153" s="29"/>
      <c r="BD153" s="28"/>
      <c r="BE153" s="32"/>
      <c r="BF153" s="27"/>
      <c r="BG153" s="29"/>
      <c r="BH153" s="28"/>
      <c r="BI153" s="32"/>
      <c r="BJ153" s="27"/>
      <c r="BK153" s="29"/>
      <c r="BL153" s="28"/>
      <c r="BM153" s="32"/>
    </row>
    <row r="154" customFormat="false" ht="15.75" hidden="false" customHeight="true" outlineLevel="0" collapsed="false">
      <c r="A154" s="27"/>
      <c r="B154" s="39" t="str">
        <f aca="false">IFERROR(INDEX(Customers!$C$4:$C$1003,MATCH($A154,Customers!$A$4:$A$1003,0)),"")</f>
        <v/>
      </c>
      <c r="C154" s="31" t="str">
        <f aca="false">IFERROR(INDEX(Customers!$F$4:$F$1003,MATCH($A154,Customers!$A$4:$A$1003,0)),"")</f>
        <v/>
      </c>
      <c r="D154" s="33" t="str">
        <f aca="false">IFERROR(INDEX(Customers!$K$4:$K$1003,MATCH($A154,Customers!$A$4:$A$1003,0)),"")</f>
        <v/>
      </c>
      <c r="E154" s="33" t="str">
        <f aca="false">IF($A154="","",IF($F154=0,"Not Started",IF($BJ154="Completed",Settings!$U$45,IF($BF154="Completed",Settings!$U$44,IF($BB154="Completed",Settings!$U$43,IF($AX154="Completed",Settings!$U$42,IF($AT154="Completed",Settings!$U$41,IF($AP154="Completed",Settings!$U$40,IF($AL154="Completed",Settings!$U$39,IF($AH154="Completed",Settings!$U$38,IF($AD154="Completed",Settings!$U$37,IF($Z154="Completed",Settings!$U$36,IF($V154="Completed",Settings!$U$35,IF($R154="Completed",Settings!$U$34,IF($N154="Completed",Settings!$U$33,IF($J154="Completed",Settings!$U$32,""))))))))))))))))</f>
        <v/>
      </c>
      <c r="F154" s="30" t="str">
        <f aca="false">IF($A154="","",COUNTIF($J154:$BM154,"Completed"))</f>
        <v/>
      </c>
      <c r="G154" s="35" t="str">
        <f aca="false">IF($A154="","",MIN($F154/13,1))</f>
        <v/>
      </c>
      <c r="H154" s="31" t="str">
        <f aca="false">IF($A154="","",IF($BJ154="Completed","Case Completed",IF($AX154="Completed","Visa Rejected",IF($BF154="Completed","Departed to Europe",IF($F154=0,"Not Started","In Progress")))))</f>
        <v/>
      </c>
      <c r="I154" s="30" t="str">
        <f aca="true">IF($K154="","",IF($BK154&lt;&gt;"",$BK154-$K154,IF($AY154&lt;&gt;"",$AY154-$K154,TODAY()-$K154)))</f>
        <v/>
      </c>
      <c r="J154" s="27"/>
      <c r="K154" s="29"/>
      <c r="L154" s="28"/>
      <c r="M154" s="32"/>
      <c r="N154" s="27"/>
      <c r="O154" s="29"/>
      <c r="P154" s="28"/>
      <c r="Q154" s="32"/>
      <c r="R154" s="27"/>
      <c r="S154" s="29"/>
      <c r="T154" s="28"/>
      <c r="U154" s="32"/>
      <c r="V154" s="27"/>
      <c r="W154" s="29"/>
      <c r="X154" s="28"/>
      <c r="Y154" s="32"/>
      <c r="Z154" s="27"/>
      <c r="AA154" s="29"/>
      <c r="AB154" s="28"/>
      <c r="AC154" s="32"/>
      <c r="AD154" s="27"/>
      <c r="AE154" s="29"/>
      <c r="AF154" s="28"/>
      <c r="AG154" s="32"/>
      <c r="AH154" s="27"/>
      <c r="AI154" s="29"/>
      <c r="AJ154" s="28"/>
      <c r="AK154" s="32"/>
      <c r="AL154" s="27"/>
      <c r="AM154" s="29"/>
      <c r="AN154" s="28"/>
      <c r="AO154" s="32"/>
      <c r="AP154" s="27"/>
      <c r="AQ154" s="29"/>
      <c r="AR154" s="28"/>
      <c r="AS154" s="32"/>
      <c r="AT154" s="27"/>
      <c r="AU154" s="29"/>
      <c r="AV154" s="28"/>
      <c r="AW154" s="32"/>
      <c r="AX154" s="27"/>
      <c r="AY154" s="29"/>
      <c r="AZ154" s="28"/>
      <c r="BA154" s="32"/>
      <c r="BB154" s="27"/>
      <c r="BC154" s="29"/>
      <c r="BD154" s="28"/>
      <c r="BE154" s="32"/>
      <c r="BF154" s="27"/>
      <c r="BG154" s="29"/>
      <c r="BH154" s="28"/>
      <c r="BI154" s="32"/>
      <c r="BJ154" s="27"/>
      <c r="BK154" s="29"/>
      <c r="BL154" s="28"/>
      <c r="BM154" s="32"/>
    </row>
    <row r="155" customFormat="false" ht="15.75" hidden="false" customHeight="true" outlineLevel="0" collapsed="false">
      <c r="A155" s="27"/>
      <c r="B155" s="39" t="str">
        <f aca="false">IFERROR(INDEX(Customers!$C$4:$C$1003,MATCH($A155,Customers!$A$4:$A$1003,0)),"")</f>
        <v/>
      </c>
      <c r="C155" s="31" t="str">
        <f aca="false">IFERROR(INDEX(Customers!$F$4:$F$1003,MATCH($A155,Customers!$A$4:$A$1003,0)),"")</f>
        <v/>
      </c>
      <c r="D155" s="33" t="str">
        <f aca="false">IFERROR(INDEX(Customers!$K$4:$K$1003,MATCH($A155,Customers!$A$4:$A$1003,0)),"")</f>
        <v/>
      </c>
      <c r="E155" s="33" t="str">
        <f aca="false">IF($A155="","",IF($F155=0,"Not Started",IF($BJ155="Completed",Settings!$U$45,IF($BF155="Completed",Settings!$U$44,IF($BB155="Completed",Settings!$U$43,IF($AX155="Completed",Settings!$U$42,IF($AT155="Completed",Settings!$U$41,IF($AP155="Completed",Settings!$U$40,IF($AL155="Completed",Settings!$U$39,IF($AH155="Completed",Settings!$U$38,IF($AD155="Completed",Settings!$U$37,IF($Z155="Completed",Settings!$U$36,IF($V155="Completed",Settings!$U$35,IF($R155="Completed",Settings!$U$34,IF($N155="Completed",Settings!$U$33,IF($J155="Completed",Settings!$U$32,""))))))))))))))))</f>
        <v/>
      </c>
      <c r="F155" s="30" t="str">
        <f aca="false">IF($A155="","",COUNTIF($J155:$BM155,"Completed"))</f>
        <v/>
      </c>
      <c r="G155" s="35" t="str">
        <f aca="false">IF($A155="","",MIN($F155/13,1))</f>
        <v/>
      </c>
      <c r="H155" s="31" t="str">
        <f aca="false">IF($A155="","",IF($BJ155="Completed","Case Completed",IF($AX155="Completed","Visa Rejected",IF($BF155="Completed","Departed to Europe",IF($F155=0,"Not Started","In Progress")))))</f>
        <v/>
      </c>
      <c r="I155" s="30" t="str">
        <f aca="true">IF($K155="","",IF($BK155&lt;&gt;"",$BK155-$K155,IF($AY155&lt;&gt;"",$AY155-$K155,TODAY()-$K155)))</f>
        <v/>
      </c>
      <c r="J155" s="27"/>
      <c r="K155" s="29"/>
      <c r="L155" s="28"/>
      <c r="M155" s="32"/>
      <c r="N155" s="27"/>
      <c r="O155" s="29"/>
      <c r="P155" s="28"/>
      <c r="Q155" s="32"/>
      <c r="R155" s="27"/>
      <c r="S155" s="29"/>
      <c r="T155" s="28"/>
      <c r="U155" s="32"/>
      <c r="V155" s="27"/>
      <c r="W155" s="29"/>
      <c r="X155" s="28"/>
      <c r="Y155" s="32"/>
      <c r="Z155" s="27"/>
      <c r="AA155" s="29"/>
      <c r="AB155" s="28"/>
      <c r="AC155" s="32"/>
      <c r="AD155" s="27"/>
      <c r="AE155" s="29"/>
      <c r="AF155" s="28"/>
      <c r="AG155" s="32"/>
      <c r="AH155" s="27"/>
      <c r="AI155" s="29"/>
      <c r="AJ155" s="28"/>
      <c r="AK155" s="32"/>
      <c r="AL155" s="27"/>
      <c r="AM155" s="29"/>
      <c r="AN155" s="28"/>
      <c r="AO155" s="32"/>
      <c r="AP155" s="27"/>
      <c r="AQ155" s="29"/>
      <c r="AR155" s="28"/>
      <c r="AS155" s="32"/>
      <c r="AT155" s="27"/>
      <c r="AU155" s="29"/>
      <c r="AV155" s="28"/>
      <c r="AW155" s="32"/>
      <c r="AX155" s="27"/>
      <c r="AY155" s="29"/>
      <c r="AZ155" s="28"/>
      <c r="BA155" s="32"/>
      <c r="BB155" s="27"/>
      <c r="BC155" s="29"/>
      <c r="BD155" s="28"/>
      <c r="BE155" s="32"/>
      <c r="BF155" s="27"/>
      <c r="BG155" s="29"/>
      <c r="BH155" s="28"/>
      <c r="BI155" s="32"/>
      <c r="BJ155" s="27"/>
      <c r="BK155" s="29"/>
      <c r="BL155" s="28"/>
      <c r="BM155" s="32"/>
    </row>
    <row r="156" customFormat="false" ht="15.75" hidden="false" customHeight="true" outlineLevel="0" collapsed="false">
      <c r="A156" s="27"/>
      <c r="B156" s="39" t="str">
        <f aca="false">IFERROR(INDEX(Customers!$C$4:$C$1003,MATCH($A156,Customers!$A$4:$A$1003,0)),"")</f>
        <v/>
      </c>
      <c r="C156" s="31" t="str">
        <f aca="false">IFERROR(INDEX(Customers!$F$4:$F$1003,MATCH($A156,Customers!$A$4:$A$1003,0)),"")</f>
        <v/>
      </c>
      <c r="D156" s="33" t="str">
        <f aca="false">IFERROR(INDEX(Customers!$K$4:$K$1003,MATCH($A156,Customers!$A$4:$A$1003,0)),"")</f>
        <v/>
      </c>
      <c r="E156" s="33" t="str">
        <f aca="false">IF($A156="","",IF($F156=0,"Not Started",IF($BJ156="Completed",Settings!$U$45,IF($BF156="Completed",Settings!$U$44,IF($BB156="Completed",Settings!$U$43,IF($AX156="Completed",Settings!$U$42,IF($AT156="Completed",Settings!$U$41,IF($AP156="Completed",Settings!$U$40,IF($AL156="Completed",Settings!$U$39,IF($AH156="Completed",Settings!$U$38,IF($AD156="Completed",Settings!$U$37,IF($Z156="Completed",Settings!$U$36,IF($V156="Completed",Settings!$U$35,IF($R156="Completed",Settings!$U$34,IF($N156="Completed",Settings!$U$33,IF($J156="Completed",Settings!$U$32,""))))))))))))))))</f>
        <v/>
      </c>
      <c r="F156" s="30" t="str">
        <f aca="false">IF($A156="","",COUNTIF($J156:$BM156,"Completed"))</f>
        <v/>
      </c>
      <c r="G156" s="35" t="str">
        <f aca="false">IF($A156="","",MIN($F156/13,1))</f>
        <v/>
      </c>
      <c r="H156" s="31" t="str">
        <f aca="false">IF($A156="","",IF($BJ156="Completed","Case Completed",IF($AX156="Completed","Visa Rejected",IF($BF156="Completed","Departed to Europe",IF($F156=0,"Not Started","In Progress")))))</f>
        <v/>
      </c>
      <c r="I156" s="30" t="str">
        <f aca="true">IF($K156="","",IF($BK156&lt;&gt;"",$BK156-$K156,IF($AY156&lt;&gt;"",$AY156-$K156,TODAY()-$K156)))</f>
        <v/>
      </c>
      <c r="J156" s="27"/>
      <c r="K156" s="29"/>
      <c r="L156" s="28"/>
      <c r="M156" s="32"/>
      <c r="N156" s="27"/>
      <c r="O156" s="29"/>
      <c r="P156" s="28"/>
      <c r="Q156" s="32"/>
      <c r="R156" s="27"/>
      <c r="S156" s="29"/>
      <c r="T156" s="28"/>
      <c r="U156" s="32"/>
      <c r="V156" s="27"/>
      <c r="W156" s="29"/>
      <c r="X156" s="28"/>
      <c r="Y156" s="32"/>
      <c r="Z156" s="27"/>
      <c r="AA156" s="29"/>
      <c r="AB156" s="28"/>
      <c r="AC156" s="32"/>
      <c r="AD156" s="27"/>
      <c r="AE156" s="29"/>
      <c r="AF156" s="28"/>
      <c r="AG156" s="32"/>
      <c r="AH156" s="27"/>
      <c r="AI156" s="29"/>
      <c r="AJ156" s="28"/>
      <c r="AK156" s="32"/>
      <c r="AL156" s="27"/>
      <c r="AM156" s="29"/>
      <c r="AN156" s="28"/>
      <c r="AO156" s="32"/>
      <c r="AP156" s="27"/>
      <c r="AQ156" s="29"/>
      <c r="AR156" s="28"/>
      <c r="AS156" s="32"/>
      <c r="AT156" s="27"/>
      <c r="AU156" s="29"/>
      <c r="AV156" s="28"/>
      <c r="AW156" s="32"/>
      <c r="AX156" s="27"/>
      <c r="AY156" s="29"/>
      <c r="AZ156" s="28"/>
      <c r="BA156" s="32"/>
      <c r="BB156" s="27"/>
      <c r="BC156" s="29"/>
      <c r="BD156" s="28"/>
      <c r="BE156" s="32"/>
      <c r="BF156" s="27"/>
      <c r="BG156" s="29"/>
      <c r="BH156" s="28"/>
      <c r="BI156" s="32"/>
      <c r="BJ156" s="27"/>
      <c r="BK156" s="29"/>
      <c r="BL156" s="28"/>
      <c r="BM156" s="32"/>
    </row>
    <row r="157" customFormat="false" ht="15.75" hidden="false" customHeight="true" outlineLevel="0" collapsed="false">
      <c r="A157" s="27"/>
      <c r="B157" s="39" t="str">
        <f aca="false">IFERROR(INDEX(Customers!$C$4:$C$1003,MATCH($A157,Customers!$A$4:$A$1003,0)),"")</f>
        <v/>
      </c>
      <c r="C157" s="31" t="str">
        <f aca="false">IFERROR(INDEX(Customers!$F$4:$F$1003,MATCH($A157,Customers!$A$4:$A$1003,0)),"")</f>
        <v/>
      </c>
      <c r="D157" s="33" t="str">
        <f aca="false">IFERROR(INDEX(Customers!$K$4:$K$1003,MATCH($A157,Customers!$A$4:$A$1003,0)),"")</f>
        <v/>
      </c>
      <c r="E157" s="33" t="str">
        <f aca="false">IF($A157="","",IF($F157=0,"Not Started",IF($BJ157="Completed",Settings!$U$45,IF($BF157="Completed",Settings!$U$44,IF($BB157="Completed",Settings!$U$43,IF($AX157="Completed",Settings!$U$42,IF($AT157="Completed",Settings!$U$41,IF($AP157="Completed",Settings!$U$40,IF($AL157="Completed",Settings!$U$39,IF($AH157="Completed",Settings!$U$38,IF($AD157="Completed",Settings!$U$37,IF($Z157="Completed",Settings!$U$36,IF($V157="Completed",Settings!$U$35,IF($R157="Completed",Settings!$U$34,IF($N157="Completed",Settings!$U$33,IF($J157="Completed",Settings!$U$32,""))))))))))))))))</f>
        <v/>
      </c>
      <c r="F157" s="30" t="str">
        <f aca="false">IF($A157="","",COUNTIF($J157:$BM157,"Completed"))</f>
        <v/>
      </c>
      <c r="G157" s="35" t="str">
        <f aca="false">IF($A157="","",MIN($F157/13,1))</f>
        <v/>
      </c>
      <c r="H157" s="31" t="str">
        <f aca="false">IF($A157="","",IF($BJ157="Completed","Case Completed",IF($AX157="Completed","Visa Rejected",IF($BF157="Completed","Departed to Europe",IF($F157=0,"Not Started","In Progress")))))</f>
        <v/>
      </c>
      <c r="I157" s="30" t="str">
        <f aca="true">IF($K157="","",IF($BK157&lt;&gt;"",$BK157-$K157,IF($AY157&lt;&gt;"",$AY157-$K157,TODAY()-$K157)))</f>
        <v/>
      </c>
      <c r="J157" s="27"/>
      <c r="K157" s="29"/>
      <c r="L157" s="28"/>
      <c r="M157" s="32"/>
      <c r="N157" s="27"/>
      <c r="O157" s="29"/>
      <c r="P157" s="28"/>
      <c r="Q157" s="32"/>
      <c r="R157" s="27"/>
      <c r="S157" s="29"/>
      <c r="T157" s="28"/>
      <c r="U157" s="32"/>
      <c r="V157" s="27"/>
      <c r="W157" s="29"/>
      <c r="X157" s="28"/>
      <c r="Y157" s="32"/>
      <c r="Z157" s="27"/>
      <c r="AA157" s="29"/>
      <c r="AB157" s="28"/>
      <c r="AC157" s="32"/>
      <c r="AD157" s="27"/>
      <c r="AE157" s="29"/>
      <c r="AF157" s="28"/>
      <c r="AG157" s="32"/>
      <c r="AH157" s="27"/>
      <c r="AI157" s="29"/>
      <c r="AJ157" s="28"/>
      <c r="AK157" s="32"/>
      <c r="AL157" s="27"/>
      <c r="AM157" s="29"/>
      <c r="AN157" s="28"/>
      <c r="AO157" s="32"/>
      <c r="AP157" s="27"/>
      <c r="AQ157" s="29"/>
      <c r="AR157" s="28"/>
      <c r="AS157" s="32"/>
      <c r="AT157" s="27"/>
      <c r="AU157" s="29"/>
      <c r="AV157" s="28"/>
      <c r="AW157" s="32"/>
      <c r="AX157" s="27"/>
      <c r="AY157" s="29"/>
      <c r="AZ157" s="28"/>
      <c r="BA157" s="32"/>
      <c r="BB157" s="27"/>
      <c r="BC157" s="29"/>
      <c r="BD157" s="28"/>
      <c r="BE157" s="32"/>
      <c r="BF157" s="27"/>
      <c r="BG157" s="29"/>
      <c r="BH157" s="28"/>
      <c r="BI157" s="32"/>
      <c r="BJ157" s="27"/>
      <c r="BK157" s="29"/>
      <c r="BL157" s="28"/>
      <c r="BM157" s="32"/>
    </row>
    <row r="158" customFormat="false" ht="15.75" hidden="false" customHeight="true" outlineLevel="0" collapsed="false">
      <c r="A158" s="27"/>
      <c r="B158" s="39" t="str">
        <f aca="false">IFERROR(INDEX(Customers!$C$4:$C$1003,MATCH($A158,Customers!$A$4:$A$1003,0)),"")</f>
        <v/>
      </c>
      <c r="C158" s="31" t="str">
        <f aca="false">IFERROR(INDEX(Customers!$F$4:$F$1003,MATCH($A158,Customers!$A$4:$A$1003,0)),"")</f>
        <v/>
      </c>
      <c r="D158" s="33" t="str">
        <f aca="false">IFERROR(INDEX(Customers!$K$4:$K$1003,MATCH($A158,Customers!$A$4:$A$1003,0)),"")</f>
        <v/>
      </c>
      <c r="E158" s="33" t="str">
        <f aca="false">IF($A158="","",IF($F158=0,"Not Started",IF($BJ158="Completed",Settings!$U$45,IF($BF158="Completed",Settings!$U$44,IF($BB158="Completed",Settings!$U$43,IF($AX158="Completed",Settings!$U$42,IF($AT158="Completed",Settings!$U$41,IF($AP158="Completed",Settings!$U$40,IF($AL158="Completed",Settings!$U$39,IF($AH158="Completed",Settings!$U$38,IF($AD158="Completed",Settings!$U$37,IF($Z158="Completed",Settings!$U$36,IF($V158="Completed",Settings!$U$35,IF($R158="Completed",Settings!$U$34,IF($N158="Completed",Settings!$U$33,IF($J158="Completed",Settings!$U$32,""))))))))))))))))</f>
        <v/>
      </c>
      <c r="F158" s="30" t="str">
        <f aca="false">IF($A158="","",COUNTIF($J158:$BM158,"Completed"))</f>
        <v/>
      </c>
      <c r="G158" s="35" t="str">
        <f aca="false">IF($A158="","",MIN($F158/13,1))</f>
        <v/>
      </c>
      <c r="H158" s="31" t="str">
        <f aca="false">IF($A158="","",IF($BJ158="Completed","Case Completed",IF($AX158="Completed","Visa Rejected",IF($BF158="Completed","Departed to Europe",IF($F158=0,"Not Started","In Progress")))))</f>
        <v/>
      </c>
      <c r="I158" s="30" t="str">
        <f aca="true">IF($K158="","",IF($BK158&lt;&gt;"",$BK158-$K158,IF($AY158&lt;&gt;"",$AY158-$K158,TODAY()-$K158)))</f>
        <v/>
      </c>
      <c r="J158" s="27"/>
      <c r="K158" s="29"/>
      <c r="L158" s="28"/>
      <c r="M158" s="32"/>
      <c r="N158" s="27"/>
      <c r="O158" s="29"/>
      <c r="P158" s="28"/>
      <c r="Q158" s="32"/>
      <c r="R158" s="27"/>
      <c r="S158" s="29"/>
      <c r="T158" s="28"/>
      <c r="U158" s="32"/>
      <c r="V158" s="27"/>
      <c r="W158" s="29"/>
      <c r="X158" s="28"/>
      <c r="Y158" s="32"/>
      <c r="Z158" s="27"/>
      <c r="AA158" s="29"/>
      <c r="AB158" s="28"/>
      <c r="AC158" s="32"/>
      <c r="AD158" s="27"/>
      <c r="AE158" s="29"/>
      <c r="AF158" s="28"/>
      <c r="AG158" s="32"/>
      <c r="AH158" s="27"/>
      <c r="AI158" s="29"/>
      <c r="AJ158" s="28"/>
      <c r="AK158" s="32"/>
      <c r="AL158" s="27"/>
      <c r="AM158" s="29"/>
      <c r="AN158" s="28"/>
      <c r="AO158" s="32"/>
      <c r="AP158" s="27"/>
      <c r="AQ158" s="29"/>
      <c r="AR158" s="28"/>
      <c r="AS158" s="32"/>
      <c r="AT158" s="27"/>
      <c r="AU158" s="29"/>
      <c r="AV158" s="28"/>
      <c r="AW158" s="32"/>
      <c r="AX158" s="27"/>
      <c r="AY158" s="29"/>
      <c r="AZ158" s="28"/>
      <c r="BA158" s="32"/>
      <c r="BB158" s="27"/>
      <c r="BC158" s="29"/>
      <c r="BD158" s="28"/>
      <c r="BE158" s="32"/>
      <c r="BF158" s="27"/>
      <c r="BG158" s="29"/>
      <c r="BH158" s="28"/>
      <c r="BI158" s="32"/>
      <c r="BJ158" s="27"/>
      <c r="BK158" s="29"/>
      <c r="BL158" s="28"/>
      <c r="BM158" s="32"/>
    </row>
    <row r="159" customFormat="false" ht="15.75" hidden="false" customHeight="true" outlineLevel="0" collapsed="false">
      <c r="A159" s="27"/>
      <c r="B159" s="39" t="str">
        <f aca="false">IFERROR(INDEX(Customers!$C$4:$C$1003,MATCH($A159,Customers!$A$4:$A$1003,0)),"")</f>
        <v/>
      </c>
      <c r="C159" s="31" t="str">
        <f aca="false">IFERROR(INDEX(Customers!$F$4:$F$1003,MATCH($A159,Customers!$A$4:$A$1003,0)),"")</f>
        <v/>
      </c>
      <c r="D159" s="33" t="str">
        <f aca="false">IFERROR(INDEX(Customers!$K$4:$K$1003,MATCH($A159,Customers!$A$4:$A$1003,0)),"")</f>
        <v/>
      </c>
      <c r="E159" s="33" t="str">
        <f aca="false">IF($A159="","",IF($F159=0,"Not Started",IF($BJ159="Completed",Settings!$U$45,IF($BF159="Completed",Settings!$U$44,IF($BB159="Completed",Settings!$U$43,IF($AX159="Completed",Settings!$U$42,IF($AT159="Completed",Settings!$U$41,IF($AP159="Completed",Settings!$U$40,IF($AL159="Completed",Settings!$U$39,IF($AH159="Completed",Settings!$U$38,IF($AD159="Completed",Settings!$U$37,IF($Z159="Completed",Settings!$U$36,IF($V159="Completed",Settings!$U$35,IF($R159="Completed",Settings!$U$34,IF($N159="Completed",Settings!$U$33,IF($J159="Completed",Settings!$U$32,""))))))))))))))))</f>
        <v/>
      </c>
      <c r="F159" s="30" t="str">
        <f aca="false">IF($A159="","",COUNTIF($J159:$BM159,"Completed"))</f>
        <v/>
      </c>
      <c r="G159" s="35" t="str">
        <f aca="false">IF($A159="","",MIN($F159/13,1))</f>
        <v/>
      </c>
      <c r="H159" s="31" t="str">
        <f aca="false">IF($A159="","",IF($BJ159="Completed","Case Completed",IF($AX159="Completed","Visa Rejected",IF($BF159="Completed","Departed to Europe",IF($F159=0,"Not Started","In Progress")))))</f>
        <v/>
      </c>
      <c r="I159" s="30" t="str">
        <f aca="true">IF($K159="","",IF($BK159&lt;&gt;"",$BK159-$K159,IF($AY159&lt;&gt;"",$AY159-$K159,TODAY()-$K159)))</f>
        <v/>
      </c>
      <c r="J159" s="27"/>
      <c r="K159" s="29"/>
      <c r="L159" s="28"/>
      <c r="M159" s="32"/>
      <c r="N159" s="27"/>
      <c r="O159" s="29"/>
      <c r="P159" s="28"/>
      <c r="Q159" s="32"/>
      <c r="R159" s="27"/>
      <c r="S159" s="29"/>
      <c r="T159" s="28"/>
      <c r="U159" s="32"/>
      <c r="V159" s="27"/>
      <c r="W159" s="29"/>
      <c r="X159" s="28"/>
      <c r="Y159" s="32"/>
      <c r="Z159" s="27"/>
      <c r="AA159" s="29"/>
      <c r="AB159" s="28"/>
      <c r="AC159" s="32"/>
      <c r="AD159" s="27"/>
      <c r="AE159" s="29"/>
      <c r="AF159" s="28"/>
      <c r="AG159" s="32"/>
      <c r="AH159" s="27"/>
      <c r="AI159" s="29"/>
      <c r="AJ159" s="28"/>
      <c r="AK159" s="32"/>
      <c r="AL159" s="27"/>
      <c r="AM159" s="29"/>
      <c r="AN159" s="28"/>
      <c r="AO159" s="32"/>
      <c r="AP159" s="27"/>
      <c r="AQ159" s="29"/>
      <c r="AR159" s="28"/>
      <c r="AS159" s="32"/>
      <c r="AT159" s="27"/>
      <c r="AU159" s="29"/>
      <c r="AV159" s="28"/>
      <c r="AW159" s="32"/>
      <c r="AX159" s="27"/>
      <c r="AY159" s="29"/>
      <c r="AZ159" s="28"/>
      <c r="BA159" s="32"/>
      <c r="BB159" s="27"/>
      <c r="BC159" s="29"/>
      <c r="BD159" s="28"/>
      <c r="BE159" s="32"/>
      <c r="BF159" s="27"/>
      <c r="BG159" s="29"/>
      <c r="BH159" s="28"/>
      <c r="BI159" s="32"/>
      <c r="BJ159" s="27"/>
      <c r="BK159" s="29"/>
      <c r="BL159" s="28"/>
      <c r="BM159" s="32"/>
    </row>
    <row r="160" customFormat="false" ht="15.75" hidden="false" customHeight="true" outlineLevel="0" collapsed="false">
      <c r="A160" s="27"/>
      <c r="B160" s="39" t="str">
        <f aca="false">IFERROR(INDEX(Customers!$C$4:$C$1003,MATCH($A160,Customers!$A$4:$A$1003,0)),"")</f>
        <v/>
      </c>
      <c r="C160" s="31" t="str">
        <f aca="false">IFERROR(INDEX(Customers!$F$4:$F$1003,MATCH($A160,Customers!$A$4:$A$1003,0)),"")</f>
        <v/>
      </c>
      <c r="D160" s="33" t="str">
        <f aca="false">IFERROR(INDEX(Customers!$K$4:$K$1003,MATCH($A160,Customers!$A$4:$A$1003,0)),"")</f>
        <v/>
      </c>
      <c r="E160" s="33" t="str">
        <f aca="false">IF($A160="","",IF($F160=0,"Not Started",IF($BJ160="Completed",Settings!$U$45,IF($BF160="Completed",Settings!$U$44,IF($BB160="Completed",Settings!$U$43,IF($AX160="Completed",Settings!$U$42,IF($AT160="Completed",Settings!$U$41,IF($AP160="Completed",Settings!$U$40,IF($AL160="Completed",Settings!$U$39,IF($AH160="Completed",Settings!$U$38,IF($AD160="Completed",Settings!$U$37,IF($Z160="Completed",Settings!$U$36,IF($V160="Completed",Settings!$U$35,IF($R160="Completed",Settings!$U$34,IF($N160="Completed",Settings!$U$33,IF($J160="Completed",Settings!$U$32,""))))))))))))))))</f>
        <v/>
      </c>
      <c r="F160" s="30" t="str">
        <f aca="false">IF($A160="","",COUNTIF($J160:$BM160,"Completed"))</f>
        <v/>
      </c>
      <c r="G160" s="35" t="str">
        <f aca="false">IF($A160="","",MIN($F160/13,1))</f>
        <v/>
      </c>
      <c r="H160" s="31" t="str">
        <f aca="false">IF($A160="","",IF($BJ160="Completed","Case Completed",IF($AX160="Completed","Visa Rejected",IF($BF160="Completed","Departed to Europe",IF($F160=0,"Not Started","In Progress")))))</f>
        <v/>
      </c>
      <c r="I160" s="30" t="str">
        <f aca="true">IF($K160="","",IF($BK160&lt;&gt;"",$BK160-$K160,IF($AY160&lt;&gt;"",$AY160-$K160,TODAY()-$K160)))</f>
        <v/>
      </c>
      <c r="J160" s="27"/>
      <c r="K160" s="29"/>
      <c r="L160" s="28"/>
      <c r="M160" s="32"/>
      <c r="N160" s="27"/>
      <c r="O160" s="29"/>
      <c r="P160" s="28"/>
      <c r="Q160" s="32"/>
      <c r="R160" s="27"/>
      <c r="S160" s="29"/>
      <c r="T160" s="28"/>
      <c r="U160" s="32"/>
      <c r="V160" s="27"/>
      <c r="W160" s="29"/>
      <c r="X160" s="28"/>
      <c r="Y160" s="32"/>
      <c r="Z160" s="27"/>
      <c r="AA160" s="29"/>
      <c r="AB160" s="28"/>
      <c r="AC160" s="32"/>
      <c r="AD160" s="27"/>
      <c r="AE160" s="29"/>
      <c r="AF160" s="28"/>
      <c r="AG160" s="32"/>
      <c r="AH160" s="27"/>
      <c r="AI160" s="29"/>
      <c r="AJ160" s="28"/>
      <c r="AK160" s="32"/>
      <c r="AL160" s="27"/>
      <c r="AM160" s="29"/>
      <c r="AN160" s="28"/>
      <c r="AO160" s="32"/>
      <c r="AP160" s="27"/>
      <c r="AQ160" s="29"/>
      <c r="AR160" s="28"/>
      <c r="AS160" s="32"/>
      <c r="AT160" s="27"/>
      <c r="AU160" s="29"/>
      <c r="AV160" s="28"/>
      <c r="AW160" s="32"/>
      <c r="AX160" s="27"/>
      <c r="AY160" s="29"/>
      <c r="AZ160" s="28"/>
      <c r="BA160" s="32"/>
      <c r="BB160" s="27"/>
      <c r="BC160" s="29"/>
      <c r="BD160" s="28"/>
      <c r="BE160" s="32"/>
      <c r="BF160" s="27"/>
      <c r="BG160" s="29"/>
      <c r="BH160" s="28"/>
      <c r="BI160" s="32"/>
      <c r="BJ160" s="27"/>
      <c r="BK160" s="29"/>
      <c r="BL160" s="28"/>
      <c r="BM160" s="32"/>
    </row>
    <row r="161" customFormat="false" ht="15.75" hidden="false" customHeight="true" outlineLevel="0" collapsed="false">
      <c r="A161" s="27"/>
      <c r="B161" s="39" t="str">
        <f aca="false">IFERROR(INDEX(Customers!$C$4:$C$1003,MATCH($A161,Customers!$A$4:$A$1003,0)),"")</f>
        <v/>
      </c>
      <c r="C161" s="31" t="str">
        <f aca="false">IFERROR(INDEX(Customers!$F$4:$F$1003,MATCH($A161,Customers!$A$4:$A$1003,0)),"")</f>
        <v/>
      </c>
      <c r="D161" s="33" t="str">
        <f aca="false">IFERROR(INDEX(Customers!$K$4:$K$1003,MATCH($A161,Customers!$A$4:$A$1003,0)),"")</f>
        <v/>
      </c>
      <c r="E161" s="33" t="str">
        <f aca="false">IF($A161="","",IF($F161=0,"Not Started",IF($BJ161="Completed",Settings!$U$45,IF($BF161="Completed",Settings!$U$44,IF($BB161="Completed",Settings!$U$43,IF($AX161="Completed",Settings!$U$42,IF($AT161="Completed",Settings!$U$41,IF($AP161="Completed",Settings!$U$40,IF($AL161="Completed",Settings!$U$39,IF($AH161="Completed",Settings!$U$38,IF($AD161="Completed",Settings!$U$37,IF($Z161="Completed",Settings!$U$36,IF($V161="Completed",Settings!$U$35,IF($R161="Completed",Settings!$U$34,IF($N161="Completed",Settings!$U$33,IF($J161="Completed",Settings!$U$32,""))))))))))))))))</f>
        <v/>
      </c>
      <c r="F161" s="30" t="str">
        <f aca="false">IF($A161="","",COUNTIF($J161:$BM161,"Completed"))</f>
        <v/>
      </c>
      <c r="G161" s="35" t="str">
        <f aca="false">IF($A161="","",MIN($F161/13,1))</f>
        <v/>
      </c>
      <c r="H161" s="31" t="str">
        <f aca="false">IF($A161="","",IF($BJ161="Completed","Case Completed",IF($AX161="Completed","Visa Rejected",IF($BF161="Completed","Departed to Europe",IF($F161=0,"Not Started","In Progress")))))</f>
        <v/>
      </c>
      <c r="I161" s="30" t="str">
        <f aca="true">IF($K161="","",IF($BK161&lt;&gt;"",$BK161-$K161,IF($AY161&lt;&gt;"",$AY161-$K161,TODAY()-$K161)))</f>
        <v/>
      </c>
      <c r="J161" s="27"/>
      <c r="K161" s="29"/>
      <c r="L161" s="28"/>
      <c r="M161" s="32"/>
      <c r="N161" s="27"/>
      <c r="O161" s="29"/>
      <c r="P161" s="28"/>
      <c r="Q161" s="32"/>
      <c r="R161" s="27"/>
      <c r="S161" s="29"/>
      <c r="T161" s="28"/>
      <c r="U161" s="32"/>
      <c r="V161" s="27"/>
      <c r="W161" s="29"/>
      <c r="X161" s="28"/>
      <c r="Y161" s="32"/>
      <c r="Z161" s="27"/>
      <c r="AA161" s="29"/>
      <c r="AB161" s="28"/>
      <c r="AC161" s="32"/>
      <c r="AD161" s="27"/>
      <c r="AE161" s="29"/>
      <c r="AF161" s="28"/>
      <c r="AG161" s="32"/>
      <c r="AH161" s="27"/>
      <c r="AI161" s="29"/>
      <c r="AJ161" s="28"/>
      <c r="AK161" s="32"/>
      <c r="AL161" s="27"/>
      <c r="AM161" s="29"/>
      <c r="AN161" s="28"/>
      <c r="AO161" s="32"/>
      <c r="AP161" s="27"/>
      <c r="AQ161" s="29"/>
      <c r="AR161" s="28"/>
      <c r="AS161" s="32"/>
      <c r="AT161" s="27"/>
      <c r="AU161" s="29"/>
      <c r="AV161" s="28"/>
      <c r="AW161" s="32"/>
      <c r="AX161" s="27"/>
      <c r="AY161" s="29"/>
      <c r="AZ161" s="28"/>
      <c r="BA161" s="32"/>
      <c r="BB161" s="27"/>
      <c r="BC161" s="29"/>
      <c r="BD161" s="28"/>
      <c r="BE161" s="32"/>
      <c r="BF161" s="27"/>
      <c r="BG161" s="29"/>
      <c r="BH161" s="28"/>
      <c r="BI161" s="32"/>
      <c r="BJ161" s="27"/>
      <c r="BK161" s="29"/>
      <c r="BL161" s="28"/>
      <c r="BM161" s="32"/>
    </row>
    <row r="162" customFormat="false" ht="15.75" hidden="false" customHeight="true" outlineLevel="0" collapsed="false">
      <c r="A162" s="27"/>
      <c r="B162" s="39" t="str">
        <f aca="false">IFERROR(INDEX(Customers!$C$4:$C$1003,MATCH($A162,Customers!$A$4:$A$1003,0)),"")</f>
        <v/>
      </c>
      <c r="C162" s="31" t="str">
        <f aca="false">IFERROR(INDEX(Customers!$F$4:$F$1003,MATCH($A162,Customers!$A$4:$A$1003,0)),"")</f>
        <v/>
      </c>
      <c r="D162" s="33" t="str">
        <f aca="false">IFERROR(INDEX(Customers!$K$4:$K$1003,MATCH($A162,Customers!$A$4:$A$1003,0)),"")</f>
        <v/>
      </c>
      <c r="E162" s="33" t="str">
        <f aca="false">IF($A162="","",IF($F162=0,"Not Started",IF($BJ162="Completed",Settings!$U$45,IF($BF162="Completed",Settings!$U$44,IF($BB162="Completed",Settings!$U$43,IF($AX162="Completed",Settings!$U$42,IF($AT162="Completed",Settings!$U$41,IF($AP162="Completed",Settings!$U$40,IF($AL162="Completed",Settings!$U$39,IF($AH162="Completed",Settings!$U$38,IF($AD162="Completed",Settings!$U$37,IF($Z162="Completed",Settings!$U$36,IF($V162="Completed",Settings!$U$35,IF($R162="Completed",Settings!$U$34,IF($N162="Completed",Settings!$U$33,IF($J162="Completed",Settings!$U$32,""))))))))))))))))</f>
        <v/>
      </c>
      <c r="F162" s="30" t="str">
        <f aca="false">IF($A162="","",COUNTIF($J162:$BM162,"Completed"))</f>
        <v/>
      </c>
      <c r="G162" s="35" t="str">
        <f aca="false">IF($A162="","",MIN($F162/13,1))</f>
        <v/>
      </c>
      <c r="H162" s="31" t="str">
        <f aca="false">IF($A162="","",IF($BJ162="Completed","Case Completed",IF($AX162="Completed","Visa Rejected",IF($BF162="Completed","Departed to Europe",IF($F162=0,"Not Started","In Progress")))))</f>
        <v/>
      </c>
      <c r="I162" s="30" t="str">
        <f aca="true">IF($K162="","",IF($BK162&lt;&gt;"",$BK162-$K162,IF($AY162&lt;&gt;"",$AY162-$K162,TODAY()-$K162)))</f>
        <v/>
      </c>
      <c r="J162" s="27"/>
      <c r="K162" s="29"/>
      <c r="L162" s="28"/>
      <c r="M162" s="32"/>
      <c r="N162" s="27"/>
      <c r="O162" s="29"/>
      <c r="P162" s="28"/>
      <c r="Q162" s="32"/>
      <c r="R162" s="27"/>
      <c r="S162" s="29"/>
      <c r="T162" s="28"/>
      <c r="U162" s="32"/>
      <c r="V162" s="27"/>
      <c r="W162" s="29"/>
      <c r="X162" s="28"/>
      <c r="Y162" s="32"/>
      <c r="Z162" s="27"/>
      <c r="AA162" s="29"/>
      <c r="AB162" s="28"/>
      <c r="AC162" s="32"/>
      <c r="AD162" s="27"/>
      <c r="AE162" s="29"/>
      <c r="AF162" s="28"/>
      <c r="AG162" s="32"/>
      <c r="AH162" s="27"/>
      <c r="AI162" s="29"/>
      <c r="AJ162" s="28"/>
      <c r="AK162" s="32"/>
      <c r="AL162" s="27"/>
      <c r="AM162" s="29"/>
      <c r="AN162" s="28"/>
      <c r="AO162" s="32"/>
      <c r="AP162" s="27"/>
      <c r="AQ162" s="29"/>
      <c r="AR162" s="28"/>
      <c r="AS162" s="32"/>
      <c r="AT162" s="27"/>
      <c r="AU162" s="29"/>
      <c r="AV162" s="28"/>
      <c r="AW162" s="32"/>
      <c r="AX162" s="27"/>
      <c r="AY162" s="29"/>
      <c r="AZ162" s="28"/>
      <c r="BA162" s="32"/>
      <c r="BB162" s="27"/>
      <c r="BC162" s="29"/>
      <c r="BD162" s="28"/>
      <c r="BE162" s="32"/>
      <c r="BF162" s="27"/>
      <c r="BG162" s="29"/>
      <c r="BH162" s="28"/>
      <c r="BI162" s="32"/>
      <c r="BJ162" s="27"/>
      <c r="BK162" s="29"/>
      <c r="BL162" s="28"/>
      <c r="BM162" s="32"/>
    </row>
    <row r="163" customFormat="false" ht="15.75" hidden="false" customHeight="true" outlineLevel="0" collapsed="false">
      <c r="A163" s="27"/>
      <c r="B163" s="39" t="str">
        <f aca="false">IFERROR(INDEX(Customers!$C$4:$C$1003,MATCH($A163,Customers!$A$4:$A$1003,0)),"")</f>
        <v/>
      </c>
      <c r="C163" s="31" t="str">
        <f aca="false">IFERROR(INDEX(Customers!$F$4:$F$1003,MATCH($A163,Customers!$A$4:$A$1003,0)),"")</f>
        <v/>
      </c>
      <c r="D163" s="33" t="str">
        <f aca="false">IFERROR(INDEX(Customers!$K$4:$K$1003,MATCH($A163,Customers!$A$4:$A$1003,0)),"")</f>
        <v/>
      </c>
      <c r="E163" s="33" t="str">
        <f aca="false">IF($A163="","",IF($F163=0,"Not Started",IF($BJ163="Completed",Settings!$U$45,IF($BF163="Completed",Settings!$U$44,IF($BB163="Completed",Settings!$U$43,IF($AX163="Completed",Settings!$U$42,IF($AT163="Completed",Settings!$U$41,IF($AP163="Completed",Settings!$U$40,IF($AL163="Completed",Settings!$U$39,IF($AH163="Completed",Settings!$U$38,IF($AD163="Completed",Settings!$U$37,IF($Z163="Completed",Settings!$U$36,IF($V163="Completed",Settings!$U$35,IF($R163="Completed",Settings!$U$34,IF($N163="Completed",Settings!$U$33,IF($J163="Completed",Settings!$U$32,""))))))))))))))))</f>
        <v/>
      </c>
      <c r="F163" s="30" t="str">
        <f aca="false">IF($A163="","",COUNTIF($J163:$BM163,"Completed"))</f>
        <v/>
      </c>
      <c r="G163" s="35" t="str">
        <f aca="false">IF($A163="","",MIN($F163/13,1))</f>
        <v/>
      </c>
      <c r="H163" s="31" t="str">
        <f aca="false">IF($A163="","",IF($BJ163="Completed","Case Completed",IF($AX163="Completed","Visa Rejected",IF($BF163="Completed","Departed to Europe",IF($F163=0,"Not Started","In Progress")))))</f>
        <v/>
      </c>
      <c r="I163" s="30" t="str">
        <f aca="true">IF($K163="","",IF($BK163&lt;&gt;"",$BK163-$K163,IF($AY163&lt;&gt;"",$AY163-$K163,TODAY()-$K163)))</f>
        <v/>
      </c>
      <c r="J163" s="27"/>
      <c r="K163" s="29"/>
      <c r="L163" s="28"/>
      <c r="M163" s="32"/>
      <c r="N163" s="27"/>
      <c r="O163" s="29"/>
      <c r="P163" s="28"/>
      <c r="Q163" s="32"/>
      <c r="R163" s="27"/>
      <c r="S163" s="29"/>
      <c r="T163" s="28"/>
      <c r="U163" s="32"/>
      <c r="V163" s="27"/>
      <c r="W163" s="29"/>
      <c r="X163" s="28"/>
      <c r="Y163" s="32"/>
      <c r="Z163" s="27"/>
      <c r="AA163" s="29"/>
      <c r="AB163" s="28"/>
      <c r="AC163" s="32"/>
      <c r="AD163" s="27"/>
      <c r="AE163" s="29"/>
      <c r="AF163" s="28"/>
      <c r="AG163" s="32"/>
      <c r="AH163" s="27"/>
      <c r="AI163" s="29"/>
      <c r="AJ163" s="28"/>
      <c r="AK163" s="32"/>
      <c r="AL163" s="27"/>
      <c r="AM163" s="29"/>
      <c r="AN163" s="28"/>
      <c r="AO163" s="32"/>
      <c r="AP163" s="27"/>
      <c r="AQ163" s="29"/>
      <c r="AR163" s="28"/>
      <c r="AS163" s="32"/>
      <c r="AT163" s="27"/>
      <c r="AU163" s="29"/>
      <c r="AV163" s="28"/>
      <c r="AW163" s="32"/>
      <c r="AX163" s="27"/>
      <c r="AY163" s="29"/>
      <c r="AZ163" s="28"/>
      <c r="BA163" s="32"/>
      <c r="BB163" s="27"/>
      <c r="BC163" s="29"/>
      <c r="BD163" s="28"/>
      <c r="BE163" s="32"/>
      <c r="BF163" s="27"/>
      <c r="BG163" s="29"/>
      <c r="BH163" s="28"/>
      <c r="BI163" s="32"/>
      <c r="BJ163" s="27"/>
      <c r="BK163" s="29"/>
      <c r="BL163" s="28"/>
      <c r="BM163" s="32"/>
    </row>
    <row r="164" customFormat="false" ht="15.75" hidden="false" customHeight="true" outlineLevel="0" collapsed="false">
      <c r="A164" s="27"/>
      <c r="B164" s="39" t="str">
        <f aca="false">IFERROR(INDEX(Customers!$C$4:$C$1003,MATCH($A164,Customers!$A$4:$A$1003,0)),"")</f>
        <v/>
      </c>
      <c r="C164" s="31" t="str">
        <f aca="false">IFERROR(INDEX(Customers!$F$4:$F$1003,MATCH($A164,Customers!$A$4:$A$1003,0)),"")</f>
        <v/>
      </c>
      <c r="D164" s="33" t="str">
        <f aca="false">IFERROR(INDEX(Customers!$K$4:$K$1003,MATCH($A164,Customers!$A$4:$A$1003,0)),"")</f>
        <v/>
      </c>
      <c r="E164" s="33" t="str">
        <f aca="false">IF($A164="","",IF($F164=0,"Not Started",IF($BJ164="Completed",Settings!$U$45,IF($BF164="Completed",Settings!$U$44,IF($BB164="Completed",Settings!$U$43,IF($AX164="Completed",Settings!$U$42,IF($AT164="Completed",Settings!$U$41,IF($AP164="Completed",Settings!$U$40,IF($AL164="Completed",Settings!$U$39,IF($AH164="Completed",Settings!$U$38,IF($AD164="Completed",Settings!$U$37,IF($Z164="Completed",Settings!$U$36,IF($V164="Completed",Settings!$U$35,IF($R164="Completed",Settings!$U$34,IF($N164="Completed",Settings!$U$33,IF($J164="Completed",Settings!$U$32,""))))))))))))))))</f>
        <v/>
      </c>
      <c r="F164" s="30" t="str">
        <f aca="false">IF($A164="","",COUNTIF($J164:$BM164,"Completed"))</f>
        <v/>
      </c>
      <c r="G164" s="35" t="str">
        <f aca="false">IF($A164="","",MIN($F164/13,1))</f>
        <v/>
      </c>
      <c r="H164" s="31" t="str">
        <f aca="false">IF($A164="","",IF($BJ164="Completed","Case Completed",IF($AX164="Completed","Visa Rejected",IF($BF164="Completed","Departed to Europe",IF($F164=0,"Not Started","In Progress")))))</f>
        <v/>
      </c>
      <c r="I164" s="30" t="str">
        <f aca="true">IF($K164="","",IF($BK164&lt;&gt;"",$BK164-$K164,IF($AY164&lt;&gt;"",$AY164-$K164,TODAY()-$K164)))</f>
        <v/>
      </c>
      <c r="J164" s="27"/>
      <c r="K164" s="29"/>
      <c r="L164" s="28"/>
      <c r="M164" s="32"/>
      <c r="N164" s="27"/>
      <c r="O164" s="29"/>
      <c r="P164" s="28"/>
      <c r="Q164" s="32"/>
      <c r="R164" s="27"/>
      <c r="S164" s="29"/>
      <c r="T164" s="28"/>
      <c r="U164" s="32"/>
      <c r="V164" s="27"/>
      <c r="W164" s="29"/>
      <c r="X164" s="28"/>
      <c r="Y164" s="32"/>
      <c r="Z164" s="27"/>
      <c r="AA164" s="29"/>
      <c r="AB164" s="28"/>
      <c r="AC164" s="32"/>
      <c r="AD164" s="27"/>
      <c r="AE164" s="29"/>
      <c r="AF164" s="28"/>
      <c r="AG164" s="32"/>
      <c r="AH164" s="27"/>
      <c r="AI164" s="29"/>
      <c r="AJ164" s="28"/>
      <c r="AK164" s="32"/>
      <c r="AL164" s="27"/>
      <c r="AM164" s="29"/>
      <c r="AN164" s="28"/>
      <c r="AO164" s="32"/>
      <c r="AP164" s="27"/>
      <c r="AQ164" s="29"/>
      <c r="AR164" s="28"/>
      <c r="AS164" s="32"/>
      <c r="AT164" s="27"/>
      <c r="AU164" s="29"/>
      <c r="AV164" s="28"/>
      <c r="AW164" s="32"/>
      <c r="AX164" s="27"/>
      <c r="AY164" s="29"/>
      <c r="AZ164" s="28"/>
      <c r="BA164" s="32"/>
      <c r="BB164" s="27"/>
      <c r="BC164" s="29"/>
      <c r="BD164" s="28"/>
      <c r="BE164" s="32"/>
      <c r="BF164" s="27"/>
      <c r="BG164" s="29"/>
      <c r="BH164" s="28"/>
      <c r="BI164" s="32"/>
      <c r="BJ164" s="27"/>
      <c r="BK164" s="29"/>
      <c r="BL164" s="28"/>
      <c r="BM164" s="32"/>
    </row>
    <row r="165" customFormat="false" ht="15.75" hidden="false" customHeight="true" outlineLevel="0" collapsed="false">
      <c r="A165" s="27"/>
      <c r="B165" s="39" t="str">
        <f aca="false">IFERROR(INDEX(Customers!$C$4:$C$1003,MATCH($A165,Customers!$A$4:$A$1003,0)),"")</f>
        <v/>
      </c>
      <c r="C165" s="31" t="str">
        <f aca="false">IFERROR(INDEX(Customers!$F$4:$F$1003,MATCH($A165,Customers!$A$4:$A$1003,0)),"")</f>
        <v/>
      </c>
      <c r="D165" s="33" t="str">
        <f aca="false">IFERROR(INDEX(Customers!$K$4:$K$1003,MATCH($A165,Customers!$A$4:$A$1003,0)),"")</f>
        <v/>
      </c>
      <c r="E165" s="33" t="str">
        <f aca="false">IF($A165="","",IF($F165=0,"Not Started",IF($BJ165="Completed",Settings!$U$45,IF($BF165="Completed",Settings!$U$44,IF($BB165="Completed",Settings!$U$43,IF($AX165="Completed",Settings!$U$42,IF($AT165="Completed",Settings!$U$41,IF($AP165="Completed",Settings!$U$40,IF($AL165="Completed",Settings!$U$39,IF($AH165="Completed",Settings!$U$38,IF($AD165="Completed",Settings!$U$37,IF($Z165="Completed",Settings!$U$36,IF($V165="Completed",Settings!$U$35,IF($R165="Completed",Settings!$U$34,IF($N165="Completed",Settings!$U$33,IF($J165="Completed",Settings!$U$32,""))))))))))))))))</f>
        <v/>
      </c>
      <c r="F165" s="30" t="str">
        <f aca="false">IF($A165="","",COUNTIF($J165:$BM165,"Completed"))</f>
        <v/>
      </c>
      <c r="G165" s="35" t="str">
        <f aca="false">IF($A165="","",MIN($F165/13,1))</f>
        <v/>
      </c>
      <c r="H165" s="31" t="str">
        <f aca="false">IF($A165="","",IF($BJ165="Completed","Case Completed",IF($AX165="Completed","Visa Rejected",IF($BF165="Completed","Departed to Europe",IF($F165=0,"Not Started","In Progress")))))</f>
        <v/>
      </c>
      <c r="I165" s="30" t="str">
        <f aca="true">IF($K165="","",IF($BK165&lt;&gt;"",$BK165-$K165,IF($AY165&lt;&gt;"",$AY165-$K165,TODAY()-$K165)))</f>
        <v/>
      </c>
      <c r="J165" s="27"/>
      <c r="K165" s="29"/>
      <c r="L165" s="28"/>
      <c r="M165" s="32"/>
      <c r="N165" s="27"/>
      <c r="O165" s="29"/>
      <c r="P165" s="28"/>
      <c r="Q165" s="32"/>
      <c r="R165" s="27"/>
      <c r="S165" s="29"/>
      <c r="T165" s="28"/>
      <c r="U165" s="32"/>
      <c r="V165" s="27"/>
      <c r="W165" s="29"/>
      <c r="X165" s="28"/>
      <c r="Y165" s="32"/>
      <c r="Z165" s="27"/>
      <c r="AA165" s="29"/>
      <c r="AB165" s="28"/>
      <c r="AC165" s="32"/>
      <c r="AD165" s="27"/>
      <c r="AE165" s="29"/>
      <c r="AF165" s="28"/>
      <c r="AG165" s="32"/>
      <c r="AH165" s="27"/>
      <c r="AI165" s="29"/>
      <c r="AJ165" s="28"/>
      <c r="AK165" s="32"/>
      <c r="AL165" s="27"/>
      <c r="AM165" s="29"/>
      <c r="AN165" s="28"/>
      <c r="AO165" s="32"/>
      <c r="AP165" s="27"/>
      <c r="AQ165" s="29"/>
      <c r="AR165" s="28"/>
      <c r="AS165" s="32"/>
      <c r="AT165" s="27"/>
      <c r="AU165" s="29"/>
      <c r="AV165" s="28"/>
      <c r="AW165" s="32"/>
      <c r="AX165" s="27"/>
      <c r="AY165" s="29"/>
      <c r="AZ165" s="28"/>
      <c r="BA165" s="32"/>
      <c r="BB165" s="27"/>
      <c r="BC165" s="29"/>
      <c r="BD165" s="28"/>
      <c r="BE165" s="32"/>
      <c r="BF165" s="27"/>
      <c r="BG165" s="29"/>
      <c r="BH165" s="28"/>
      <c r="BI165" s="32"/>
      <c r="BJ165" s="27"/>
      <c r="BK165" s="29"/>
      <c r="BL165" s="28"/>
      <c r="BM165" s="32"/>
    </row>
    <row r="166" customFormat="false" ht="15.75" hidden="false" customHeight="true" outlineLevel="0" collapsed="false">
      <c r="A166" s="27"/>
      <c r="B166" s="39" t="str">
        <f aca="false">IFERROR(INDEX(Customers!$C$4:$C$1003,MATCH($A166,Customers!$A$4:$A$1003,0)),"")</f>
        <v/>
      </c>
      <c r="C166" s="31" t="str">
        <f aca="false">IFERROR(INDEX(Customers!$F$4:$F$1003,MATCH($A166,Customers!$A$4:$A$1003,0)),"")</f>
        <v/>
      </c>
      <c r="D166" s="33" t="str">
        <f aca="false">IFERROR(INDEX(Customers!$K$4:$K$1003,MATCH($A166,Customers!$A$4:$A$1003,0)),"")</f>
        <v/>
      </c>
      <c r="E166" s="33" t="str">
        <f aca="false">IF($A166="","",IF($F166=0,"Not Started",IF($BJ166="Completed",Settings!$U$45,IF($BF166="Completed",Settings!$U$44,IF($BB166="Completed",Settings!$U$43,IF($AX166="Completed",Settings!$U$42,IF($AT166="Completed",Settings!$U$41,IF($AP166="Completed",Settings!$U$40,IF($AL166="Completed",Settings!$U$39,IF($AH166="Completed",Settings!$U$38,IF($AD166="Completed",Settings!$U$37,IF($Z166="Completed",Settings!$U$36,IF($V166="Completed",Settings!$U$35,IF($R166="Completed",Settings!$U$34,IF($N166="Completed",Settings!$U$33,IF($J166="Completed",Settings!$U$32,""))))))))))))))))</f>
        <v/>
      </c>
      <c r="F166" s="30" t="str">
        <f aca="false">IF($A166="","",COUNTIF($J166:$BM166,"Completed"))</f>
        <v/>
      </c>
      <c r="G166" s="35" t="str">
        <f aca="false">IF($A166="","",MIN($F166/13,1))</f>
        <v/>
      </c>
      <c r="H166" s="31" t="str">
        <f aca="false">IF($A166="","",IF($BJ166="Completed","Case Completed",IF($AX166="Completed","Visa Rejected",IF($BF166="Completed","Departed to Europe",IF($F166=0,"Not Started","In Progress")))))</f>
        <v/>
      </c>
      <c r="I166" s="30" t="str">
        <f aca="true">IF($K166="","",IF($BK166&lt;&gt;"",$BK166-$K166,IF($AY166&lt;&gt;"",$AY166-$K166,TODAY()-$K166)))</f>
        <v/>
      </c>
      <c r="J166" s="27"/>
      <c r="K166" s="29"/>
      <c r="L166" s="28"/>
      <c r="M166" s="32"/>
      <c r="N166" s="27"/>
      <c r="O166" s="29"/>
      <c r="P166" s="28"/>
      <c r="Q166" s="32"/>
      <c r="R166" s="27"/>
      <c r="S166" s="29"/>
      <c r="T166" s="28"/>
      <c r="U166" s="32"/>
      <c r="V166" s="27"/>
      <c r="W166" s="29"/>
      <c r="X166" s="28"/>
      <c r="Y166" s="32"/>
      <c r="Z166" s="27"/>
      <c r="AA166" s="29"/>
      <c r="AB166" s="28"/>
      <c r="AC166" s="32"/>
      <c r="AD166" s="27"/>
      <c r="AE166" s="29"/>
      <c r="AF166" s="28"/>
      <c r="AG166" s="32"/>
      <c r="AH166" s="27"/>
      <c r="AI166" s="29"/>
      <c r="AJ166" s="28"/>
      <c r="AK166" s="32"/>
      <c r="AL166" s="27"/>
      <c r="AM166" s="29"/>
      <c r="AN166" s="28"/>
      <c r="AO166" s="32"/>
      <c r="AP166" s="27"/>
      <c r="AQ166" s="29"/>
      <c r="AR166" s="28"/>
      <c r="AS166" s="32"/>
      <c r="AT166" s="27"/>
      <c r="AU166" s="29"/>
      <c r="AV166" s="28"/>
      <c r="AW166" s="32"/>
      <c r="AX166" s="27"/>
      <c r="AY166" s="29"/>
      <c r="AZ166" s="28"/>
      <c r="BA166" s="32"/>
      <c r="BB166" s="27"/>
      <c r="BC166" s="29"/>
      <c r="BD166" s="28"/>
      <c r="BE166" s="32"/>
      <c r="BF166" s="27"/>
      <c r="BG166" s="29"/>
      <c r="BH166" s="28"/>
      <c r="BI166" s="32"/>
      <c r="BJ166" s="27"/>
      <c r="BK166" s="29"/>
      <c r="BL166" s="28"/>
      <c r="BM166" s="32"/>
    </row>
    <row r="167" customFormat="false" ht="15.75" hidden="false" customHeight="true" outlineLevel="0" collapsed="false">
      <c r="A167" s="27"/>
      <c r="B167" s="39" t="str">
        <f aca="false">IFERROR(INDEX(Customers!$C$4:$C$1003,MATCH($A167,Customers!$A$4:$A$1003,0)),"")</f>
        <v/>
      </c>
      <c r="C167" s="31" t="str">
        <f aca="false">IFERROR(INDEX(Customers!$F$4:$F$1003,MATCH($A167,Customers!$A$4:$A$1003,0)),"")</f>
        <v/>
      </c>
      <c r="D167" s="33" t="str">
        <f aca="false">IFERROR(INDEX(Customers!$K$4:$K$1003,MATCH($A167,Customers!$A$4:$A$1003,0)),"")</f>
        <v/>
      </c>
      <c r="E167" s="33" t="str">
        <f aca="false">IF($A167="","",IF($F167=0,"Not Started",IF($BJ167="Completed",Settings!$U$45,IF($BF167="Completed",Settings!$U$44,IF($BB167="Completed",Settings!$U$43,IF($AX167="Completed",Settings!$U$42,IF($AT167="Completed",Settings!$U$41,IF($AP167="Completed",Settings!$U$40,IF($AL167="Completed",Settings!$U$39,IF($AH167="Completed",Settings!$U$38,IF($AD167="Completed",Settings!$U$37,IF($Z167="Completed",Settings!$U$36,IF($V167="Completed",Settings!$U$35,IF($R167="Completed",Settings!$U$34,IF($N167="Completed",Settings!$U$33,IF($J167="Completed",Settings!$U$32,""))))))))))))))))</f>
        <v/>
      </c>
      <c r="F167" s="30" t="str">
        <f aca="false">IF($A167="","",COUNTIF($J167:$BM167,"Completed"))</f>
        <v/>
      </c>
      <c r="G167" s="35" t="str">
        <f aca="false">IF($A167="","",MIN($F167/13,1))</f>
        <v/>
      </c>
      <c r="H167" s="31" t="str">
        <f aca="false">IF($A167="","",IF($BJ167="Completed","Case Completed",IF($AX167="Completed","Visa Rejected",IF($BF167="Completed","Departed to Europe",IF($F167=0,"Not Started","In Progress")))))</f>
        <v/>
      </c>
      <c r="I167" s="30" t="str">
        <f aca="true">IF($K167="","",IF($BK167&lt;&gt;"",$BK167-$K167,IF($AY167&lt;&gt;"",$AY167-$K167,TODAY()-$K167)))</f>
        <v/>
      </c>
      <c r="J167" s="27"/>
      <c r="K167" s="29"/>
      <c r="L167" s="28"/>
      <c r="M167" s="32"/>
      <c r="N167" s="27"/>
      <c r="O167" s="29"/>
      <c r="P167" s="28"/>
      <c r="Q167" s="32"/>
      <c r="R167" s="27"/>
      <c r="S167" s="29"/>
      <c r="T167" s="28"/>
      <c r="U167" s="32"/>
      <c r="V167" s="27"/>
      <c r="W167" s="29"/>
      <c r="X167" s="28"/>
      <c r="Y167" s="32"/>
      <c r="Z167" s="27"/>
      <c r="AA167" s="29"/>
      <c r="AB167" s="28"/>
      <c r="AC167" s="32"/>
      <c r="AD167" s="27"/>
      <c r="AE167" s="29"/>
      <c r="AF167" s="28"/>
      <c r="AG167" s="32"/>
      <c r="AH167" s="27"/>
      <c r="AI167" s="29"/>
      <c r="AJ167" s="28"/>
      <c r="AK167" s="32"/>
      <c r="AL167" s="27"/>
      <c r="AM167" s="29"/>
      <c r="AN167" s="28"/>
      <c r="AO167" s="32"/>
      <c r="AP167" s="27"/>
      <c r="AQ167" s="29"/>
      <c r="AR167" s="28"/>
      <c r="AS167" s="32"/>
      <c r="AT167" s="27"/>
      <c r="AU167" s="29"/>
      <c r="AV167" s="28"/>
      <c r="AW167" s="32"/>
      <c r="AX167" s="27"/>
      <c r="AY167" s="29"/>
      <c r="AZ167" s="28"/>
      <c r="BA167" s="32"/>
      <c r="BB167" s="27"/>
      <c r="BC167" s="29"/>
      <c r="BD167" s="28"/>
      <c r="BE167" s="32"/>
      <c r="BF167" s="27"/>
      <c r="BG167" s="29"/>
      <c r="BH167" s="28"/>
      <c r="BI167" s="32"/>
      <c r="BJ167" s="27"/>
      <c r="BK167" s="29"/>
      <c r="BL167" s="28"/>
      <c r="BM167" s="32"/>
    </row>
    <row r="168" customFormat="false" ht="15.75" hidden="false" customHeight="true" outlineLevel="0" collapsed="false">
      <c r="A168" s="27"/>
      <c r="B168" s="39" t="str">
        <f aca="false">IFERROR(INDEX(Customers!$C$4:$C$1003,MATCH($A168,Customers!$A$4:$A$1003,0)),"")</f>
        <v/>
      </c>
      <c r="C168" s="31" t="str">
        <f aca="false">IFERROR(INDEX(Customers!$F$4:$F$1003,MATCH($A168,Customers!$A$4:$A$1003,0)),"")</f>
        <v/>
      </c>
      <c r="D168" s="33" t="str">
        <f aca="false">IFERROR(INDEX(Customers!$K$4:$K$1003,MATCH($A168,Customers!$A$4:$A$1003,0)),"")</f>
        <v/>
      </c>
      <c r="E168" s="33" t="str">
        <f aca="false">IF($A168="","",IF($F168=0,"Not Started",IF($BJ168="Completed",Settings!$U$45,IF($BF168="Completed",Settings!$U$44,IF($BB168="Completed",Settings!$U$43,IF($AX168="Completed",Settings!$U$42,IF($AT168="Completed",Settings!$U$41,IF($AP168="Completed",Settings!$U$40,IF($AL168="Completed",Settings!$U$39,IF($AH168="Completed",Settings!$U$38,IF($AD168="Completed",Settings!$U$37,IF($Z168="Completed",Settings!$U$36,IF($V168="Completed",Settings!$U$35,IF($R168="Completed",Settings!$U$34,IF($N168="Completed",Settings!$U$33,IF($J168="Completed",Settings!$U$32,""))))))))))))))))</f>
        <v/>
      </c>
      <c r="F168" s="30" t="str">
        <f aca="false">IF($A168="","",COUNTIF($J168:$BM168,"Completed"))</f>
        <v/>
      </c>
      <c r="G168" s="35" t="str">
        <f aca="false">IF($A168="","",MIN($F168/13,1))</f>
        <v/>
      </c>
      <c r="H168" s="31" t="str">
        <f aca="false">IF($A168="","",IF($BJ168="Completed","Case Completed",IF($AX168="Completed","Visa Rejected",IF($BF168="Completed","Departed to Europe",IF($F168=0,"Not Started","In Progress")))))</f>
        <v/>
      </c>
      <c r="I168" s="30" t="str">
        <f aca="true">IF($K168="","",IF($BK168&lt;&gt;"",$BK168-$K168,IF($AY168&lt;&gt;"",$AY168-$K168,TODAY()-$K168)))</f>
        <v/>
      </c>
      <c r="J168" s="27"/>
      <c r="K168" s="29"/>
      <c r="L168" s="28"/>
      <c r="M168" s="32"/>
      <c r="N168" s="27"/>
      <c r="O168" s="29"/>
      <c r="P168" s="28"/>
      <c r="Q168" s="32"/>
      <c r="R168" s="27"/>
      <c r="S168" s="29"/>
      <c r="T168" s="28"/>
      <c r="U168" s="32"/>
      <c r="V168" s="27"/>
      <c r="W168" s="29"/>
      <c r="X168" s="28"/>
      <c r="Y168" s="32"/>
      <c r="Z168" s="27"/>
      <c r="AA168" s="29"/>
      <c r="AB168" s="28"/>
      <c r="AC168" s="32"/>
      <c r="AD168" s="27"/>
      <c r="AE168" s="29"/>
      <c r="AF168" s="28"/>
      <c r="AG168" s="32"/>
      <c r="AH168" s="27"/>
      <c r="AI168" s="29"/>
      <c r="AJ168" s="28"/>
      <c r="AK168" s="32"/>
      <c r="AL168" s="27"/>
      <c r="AM168" s="29"/>
      <c r="AN168" s="28"/>
      <c r="AO168" s="32"/>
      <c r="AP168" s="27"/>
      <c r="AQ168" s="29"/>
      <c r="AR168" s="28"/>
      <c r="AS168" s="32"/>
      <c r="AT168" s="27"/>
      <c r="AU168" s="29"/>
      <c r="AV168" s="28"/>
      <c r="AW168" s="32"/>
      <c r="AX168" s="27"/>
      <c r="AY168" s="29"/>
      <c r="AZ168" s="28"/>
      <c r="BA168" s="32"/>
      <c r="BB168" s="27"/>
      <c r="BC168" s="29"/>
      <c r="BD168" s="28"/>
      <c r="BE168" s="32"/>
      <c r="BF168" s="27"/>
      <c r="BG168" s="29"/>
      <c r="BH168" s="28"/>
      <c r="BI168" s="32"/>
      <c r="BJ168" s="27"/>
      <c r="BK168" s="29"/>
      <c r="BL168" s="28"/>
      <c r="BM168" s="32"/>
    </row>
    <row r="169" customFormat="false" ht="15.75" hidden="false" customHeight="true" outlineLevel="0" collapsed="false">
      <c r="A169" s="27"/>
      <c r="B169" s="39" t="str">
        <f aca="false">IFERROR(INDEX(Customers!$C$4:$C$1003,MATCH($A169,Customers!$A$4:$A$1003,0)),"")</f>
        <v/>
      </c>
      <c r="C169" s="31" t="str">
        <f aca="false">IFERROR(INDEX(Customers!$F$4:$F$1003,MATCH($A169,Customers!$A$4:$A$1003,0)),"")</f>
        <v/>
      </c>
      <c r="D169" s="33" t="str">
        <f aca="false">IFERROR(INDEX(Customers!$K$4:$K$1003,MATCH($A169,Customers!$A$4:$A$1003,0)),"")</f>
        <v/>
      </c>
      <c r="E169" s="33" t="str">
        <f aca="false">IF($A169="","",IF($F169=0,"Not Started",IF($BJ169="Completed",Settings!$U$45,IF($BF169="Completed",Settings!$U$44,IF($BB169="Completed",Settings!$U$43,IF($AX169="Completed",Settings!$U$42,IF($AT169="Completed",Settings!$U$41,IF($AP169="Completed",Settings!$U$40,IF($AL169="Completed",Settings!$U$39,IF($AH169="Completed",Settings!$U$38,IF($AD169="Completed",Settings!$U$37,IF($Z169="Completed",Settings!$U$36,IF($V169="Completed",Settings!$U$35,IF($R169="Completed",Settings!$U$34,IF($N169="Completed",Settings!$U$33,IF($J169="Completed",Settings!$U$32,""))))))))))))))))</f>
        <v/>
      </c>
      <c r="F169" s="30" t="str">
        <f aca="false">IF($A169="","",COUNTIF($J169:$BM169,"Completed"))</f>
        <v/>
      </c>
      <c r="G169" s="35" t="str">
        <f aca="false">IF($A169="","",MIN($F169/13,1))</f>
        <v/>
      </c>
      <c r="H169" s="31" t="str">
        <f aca="false">IF($A169="","",IF($BJ169="Completed","Case Completed",IF($AX169="Completed","Visa Rejected",IF($BF169="Completed","Departed to Europe",IF($F169=0,"Not Started","In Progress")))))</f>
        <v/>
      </c>
      <c r="I169" s="30" t="str">
        <f aca="true">IF($K169="","",IF($BK169&lt;&gt;"",$BK169-$K169,IF($AY169&lt;&gt;"",$AY169-$K169,TODAY()-$K169)))</f>
        <v/>
      </c>
      <c r="J169" s="27"/>
      <c r="K169" s="29"/>
      <c r="L169" s="28"/>
      <c r="M169" s="32"/>
      <c r="N169" s="27"/>
      <c r="O169" s="29"/>
      <c r="P169" s="28"/>
      <c r="Q169" s="32"/>
      <c r="R169" s="27"/>
      <c r="S169" s="29"/>
      <c r="T169" s="28"/>
      <c r="U169" s="32"/>
      <c r="V169" s="27"/>
      <c r="W169" s="29"/>
      <c r="X169" s="28"/>
      <c r="Y169" s="32"/>
      <c r="Z169" s="27"/>
      <c r="AA169" s="29"/>
      <c r="AB169" s="28"/>
      <c r="AC169" s="32"/>
      <c r="AD169" s="27"/>
      <c r="AE169" s="29"/>
      <c r="AF169" s="28"/>
      <c r="AG169" s="32"/>
      <c r="AH169" s="27"/>
      <c r="AI169" s="29"/>
      <c r="AJ169" s="28"/>
      <c r="AK169" s="32"/>
      <c r="AL169" s="27"/>
      <c r="AM169" s="29"/>
      <c r="AN169" s="28"/>
      <c r="AO169" s="32"/>
      <c r="AP169" s="27"/>
      <c r="AQ169" s="29"/>
      <c r="AR169" s="28"/>
      <c r="AS169" s="32"/>
      <c r="AT169" s="27"/>
      <c r="AU169" s="29"/>
      <c r="AV169" s="28"/>
      <c r="AW169" s="32"/>
      <c r="AX169" s="27"/>
      <c r="AY169" s="29"/>
      <c r="AZ169" s="28"/>
      <c r="BA169" s="32"/>
      <c r="BB169" s="27"/>
      <c r="BC169" s="29"/>
      <c r="BD169" s="28"/>
      <c r="BE169" s="32"/>
      <c r="BF169" s="27"/>
      <c r="BG169" s="29"/>
      <c r="BH169" s="28"/>
      <c r="BI169" s="32"/>
      <c r="BJ169" s="27"/>
      <c r="BK169" s="29"/>
      <c r="BL169" s="28"/>
      <c r="BM169" s="32"/>
    </row>
    <row r="170" customFormat="false" ht="15.75" hidden="false" customHeight="true" outlineLevel="0" collapsed="false">
      <c r="A170" s="27"/>
      <c r="B170" s="39" t="str">
        <f aca="false">IFERROR(INDEX(Customers!$C$4:$C$1003,MATCH($A170,Customers!$A$4:$A$1003,0)),"")</f>
        <v/>
      </c>
      <c r="C170" s="31" t="str">
        <f aca="false">IFERROR(INDEX(Customers!$F$4:$F$1003,MATCH($A170,Customers!$A$4:$A$1003,0)),"")</f>
        <v/>
      </c>
      <c r="D170" s="33" t="str">
        <f aca="false">IFERROR(INDEX(Customers!$K$4:$K$1003,MATCH($A170,Customers!$A$4:$A$1003,0)),"")</f>
        <v/>
      </c>
      <c r="E170" s="33" t="str">
        <f aca="false">IF($A170="","",IF($F170=0,"Not Started",IF($BJ170="Completed",Settings!$U$45,IF($BF170="Completed",Settings!$U$44,IF($BB170="Completed",Settings!$U$43,IF($AX170="Completed",Settings!$U$42,IF($AT170="Completed",Settings!$U$41,IF($AP170="Completed",Settings!$U$40,IF($AL170="Completed",Settings!$U$39,IF($AH170="Completed",Settings!$U$38,IF($AD170="Completed",Settings!$U$37,IF($Z170="Completed",Settings!$U$36,IF($V170="Completed",Settings!$U$35,IF($R170="Completed",Settings!$U$34,IF($N170="Completed",Settings!$U$33,IF($J170="Completed",Settings!$U$32,""))))))))))))))))</f>
        <v/>
      </c>
      <c r="F170" s="30" t="str">
        <f aca="false">IF($A170="","",COUNTIF($J170:$BM170,"Completed"))</f>
        <v/>
      </c>
      <c r="G170" s="35" t="str">
        <f aca="false">IF($A170="","",MIN($F170/13,1))</f>
        <v/>
      </c>
      <c r="H170" s="31" t="str">
        <f aca="false">IF($A170="","",IF($BJ170="Completed","Case Completed",IF($AX170="Completed","Visa Rejected",IF($BF170="Completed","Departed to Europe",IF($F170=0,"Not Started","In Progress")))))</f>
        <v/>
      </c>
      <c r="I170" s="30" t="str">
        <f aca="true">IF($K170="","",IF($BK170&lt;&gt;"",$BK170-$K170,IF($AY170&lt;&gt;"",$AY170-$K170,TODAY()-$K170)))</f>
        <v/>
      </c>
      <c r="J170" s="27"/>
      <c r="K170" s="29"/>
      <c r="L170" s="28"/>
      <c r="M170" s="32"/>
      <c r="N170" s="27"/>
      <c r="O170" s="29"/>
      <c r="P170" s="28"/>
      <c r="Q170" s="32"/>
      <c r="R170" s="27"/>
      <c r="S170" s="29"/>
      <c r="T170" s="28"/>
      <c r="U170" s="32"/>
      <c r="V170" s="27"/>
      <c r="W170" s="29"/>
      <c r="X170" s="28"/>
      <c r="Y170" s="32"/>
      <c r="Z170" s="27"/>
      <c r="AA170" s="29"/>
      <c r="AB170" s="28"/>
      <c r="AC170" s="32"/>
      <c r="AD170" s="27"/>
      <c r="AE170" s="29"/>
      <c r="AF170" s="28"/>
      <c r="AG170" s="32"/>
      <c r="AH170" s="27"/>
      <c r="AI170" s="29"/>
      <c r="AJ170" s="28"/>
      <c r="AK170" s="32"/>
      <c r="AL170" s="27"/>
      <c r="AM170" s="29"/>
      <c r="AN170" s="28"/>
      <c r="AO170" s="32"/>
      <c r="AP170" s="27"/>
      <c r="AQ170" s="29"/>
      <c r="AR170" s="28"/>
      <c r="AS170" s="32"/>
      <c r="AT170" s="27"/>
      <c r="AU170" s="29"/>
      <c r="AV170" s="28"/>
      <c r="AW170" s="32"/>
      <c r="AX170" s="27"/>
      <c r="AY170" s="29"/>
      <c r="AZ170" s="28"/>
      <c r="BA170" s="32"/>
      <c r="BB170" s="27"/>
      <c r="BC170" s="29"/>
      <c r="BD170" s="28"/>
      <c r="BE170" s="32"/>
      <c r="BF170" s="27"/>
      <c r="BG170" s="29"/>
      <c r="BH170" s="28"/>
      <c r="BI170" s="32"/>
      <c r="BJ170" s="27"/>
      <c r="BK170" s="29"/>
      <c r="BL170" s="28"/>
      <c r="BM170" s="32"/>
    </row>
    <row r="171" customFormat="false" ht="15.75" hidden="false" customHeight="true" outlineLevel="0" collapsed="false">
      <c r="A171" s="27"/>
      <c r="B171" s="39" t="str">
        <f aca="false">IFERROR(INDEX(Customers!$C$4:$C$1003,MATCH($A171,Customers!$A$4:$A$1003,0)),"")</f>
        <v/>
      </c>
      <c r="C171" s="31" t="str">
        <f aca="false">IFERROR(INDEX(Customers!$F$4:$F$1003,MATCH($A171,Customers!$A$4:$A$1003,0)),"")</f>
        <v/>
      </c>
      <c r="D171" s="33" t="str">
        <f aca="false">IFERROR(INDEX(Customers!$K$4:$K$1003,MATCH($A171,Customers!$A$4:$A$1003,0)),"")</f>
        <v/>
      </c>
      <c r="E171" s="33" t="str">
        <f aca="false">IF($A171="","",IF($F171=0,"Not Started",IF($BJ171="Completed",Settings!$U$45,IF($BF171="Completed",Settings!$U$44,IF($BB171="Completed",Settings!$U$43,IF($AX171="Completed",Settings!$U$42,IF($AT171="Completed",Settings!$U$41,IF($AP171="Completed",Settings!$U$40,IF($AL171="Completed",Settings!$U$39,IF($AH171="Completed",Settings!$U$38,IF($AD171="Completed",Settings!$U$37,IF($Z171="Completed",Settings!$U$36,IF($V171="Completed",Settings!$U$35,IF($R171="Completed",Settings!$U$34,IF($N171="Completed",Settings!$U$33,IF($J171="Completed",Settings!$U$32,""))))))))))))))))</f>
        <v/>
      </c>
      <c r="F171" s="30" t="str">
        <f aca="false">IF($A171="","",COUNTIF($J171:$BM171,"Completed"))</f>
        <v/>
      </c>
      <c r="G171" s="35" t="str">
        <f aca="false">IF($A171="","",MIN($F171/13,1))</f>
        <v/>
      </c>
      <c r="H171" s="31" t="str">
        <f aca="false">IF($A171="","",IF($BJ171="Completed","Case Completed",IF($AX171="Completed","Visa Rejected",IF($BF171="Completed","Departed to Europe",IF($F171=0,"Not Started","In Progress")))))</f>
        <v/>
      </c>
      <c r="I171" s="30" t="str">
        <f aca="true">IF($K171="","",IF($BK171&lt;&gt;"",$BK171-$K171,IF($AY171&lt;&gt;"",$AY171-$K171,TODAY()-$K171)))</f>
        <v/>
      </c>
      <c r="J171" s="27"/>
      <c r="K171" s="29"/>
      <c r="L171" s="28"/>
      <c r="M171" s="32"/>
      <c r="N171" s="27"/>
      <c r="O171" s="29"/>
      <c r="P171" s="28"/>
      <c r="Q171" s="32"/>
      <c r="R171" s="27"/>
      <c r="S171" s="29"/>
      <c r="T171" s="28"/>
      <c r="U171" s="32"/>
      <c r="V171" s="27"/>
      <c r="W171" s="29"/>
      <c r="X171" s="28"/>
      <c r="Y171" s="32"/>
      <c r="Z171" s="27"/>
      <c r="AA171" s="29"/>
      <c r="AB171" s="28"/>
      <c r="AC171" s="32"/>
      <c r="AD171" s="27"/>
      <c r="AE171" s="29"/>
      <c r="AF171" s="28"/>
      <c r="AG171" s="32"/>
      <c r="AH171" s="27"/>
      <c r="AI171" s="29"/>
      <c r="AJ171" s="28"/>
      <c r="AK171" s="32"/>
      <c r="AL171" s="27"/>
      <c r="AM171" s="29"/>
      <c r="AN171" s="28"/>
      <c r="AO171" s="32"/>
      <c r="AP171" s="27"/>
      <c r="AQ171" s="29"/>
      <c r="AR171" s="28"/>
      <c r="AS171" s="32"/>
      <c r="AT171" s="27"/>
      <c r="AU171" s="29"/>
      <c r="AV171" s="28"/>
      <c r="AW171" s="32"/>
      <c r="AX171" s="27"/>
      <c r="AY171" s="29"/>
      <c r="AZ171" s="28"/>
      <c r="BA171" s="32"/>
      <c r="BB171" s="27"/>
      <c r="BC171" s="29"/>
      <c r="BD171" s="28"/>
      <c r="BE171" s="32"/>
      <c r="BF171" s="27"/>
      <c r="BG171" s="29"/>
      <c r="BH171" s="28"/>
      <c r="BI171" s="32"/>
      <c r="BJ171" s="27"/>
      <c r="BK171" s="29"/>
      <c r="BL171" s="28"/>
      <c r="BM171" s="32"/>
    </row>
    <row r="172" customFormat="false" ht="15.75" hidden="false" customHeight="true" outlineLevel="0" collapsed="false">
      <c r="A172" s="27"/>
      <c r="B172" s="39" t="str">
        <f aca="false">IFERROR(INDEX(Customers!$C$4:$C$1003,MATCH($A172,Customers!$A$4:$A$1003,0)),"")</f>
        <v/>
      </c>
      <c r="C172" s="31" t="str">
        <f aca="false">IFERROR(INDEX(Customers!$F$4:$F$1003,MATCH($A172,Customers!$A$4:$A$1003,0)),"")</f>
        <v/>
      </c>
      <c r="D172" s="33" t="str">
        <f aca="false">IFERROR(INDEX(Customers!$K$4:$K$1003,MATCH($A172,Customers!$A$4:$A$1003,0)),"")</f>
        <v/>
      </c>
      <c r="E172" s="33" t="str">
        <f aca="false">IF($A172="","",IF($F172=0,"Not Started",IF($BJ172="Completed",Settings!$U$45,IF($BF172="Completed",Settings!$U$44,IF($BB172="Completed",Settings!$U$43,IF($AX172="Completed",Settings!$U$42,IF($AT172="Completed",Settings!$U$41,IF($AP172="Completed",Settings!$U$40,IF($AL172="Completed",Settings!$U$39,IF($AH172="Completed",Settings!$U$38,IF($AD172="Completed",Settings!$U$37,IF($Z172="Completed",Settings!$U$36,IF($V172="Completed",Settings!$U$35,IF($R172="Completed",Settings!$U$34,IF($N172="Completed",Settings!$U$33,IF($J172="Completed",Settings!$U$32,""))))))))))))))))</f>
        <v/>
      </c>
      <c r="F172" s="30" t="str">
        <f aca="false">IF($A172="","",COUNTIF($J172:$BM172,"Completed"))</f>
        <v/>
      </c>
      <c r="G172" s="35" t="str">
        <f aca="false">IF($A172="","",MIN($F172/13,1))</f>
        <v/>
      </c>
      <c r="H172" s="31" t="str">
        <f aca="false">IF($A172="","",IF($BJ172="Completed","Case Completed",IF($AX172="Completed","Visa Rejected",IF($BF172="Completed","Departed to Europe",IF($F172=0,"Not Started","In Progress")))))</f>
        <v/>
      </c>
      <c r="I172" s="30" t="str">
        <f aca="true">IF($K172="","",IF($BK172&lt;&gt;"",$BK172-$K172,IF($AY172&lt;&gt;"",$AY172-$K172,TODAY()-$K172)))</f>
        <v/>
      </c>
      <c r="J172" s="27"/>
      <c r="K172" s="29"/>
      <c r="L172" s="28"/>
      <c r="M172" s="32"/>
      <c r="N172" s="27"/>
      <c r="O172" s="29"/>
      <c r="P172" s="28"/>
      <c r="Q172" s="32"/>
      <c r="R172" s="27"/>
      <c r="S172" s="29"/>
      <c r="T172" s="28"/>
      <c r="U172" s="32"/>
      <c r="V172" s="27"/>
      <c r="W172" s="29"/>
      <c r="X172" s="28"/>
      <c r="Y172" s="32"/>
      <c r="Z172" s="27"/>
      <c r="AA172" s="29"/>
      <c r="AB172" s="28"/>
      <c r="AC172" s="32"/>
      <c r="AD172" s="27"/>
      <c r="AE172" s="29"/>
      <c r="AF172" s="28"/>
      <c r="AG172" s="32"/>
      <c r="AH172" s="27"/>
      <c r="AI172" s="29"/>
      <c r="AJ172" s="28"/>
      <c r="AK172" s="32"/>
      <c r="AL172" s="27"/>
      <c r="AM172" s="29"/>
      <c r="AN172" s="28"/>
      <c r="AO172" s="32"/>
      <c r="AP172" s="27"/>
      <c r="AQ172" s="29"/>
      <c r="AR172" s="28"/>
      <c r="AS172" s="32"/>
      <c r="AT172" s="27"/>
      <c r="AU172" s="29"/>
      <c r="AV172" s="28"/>
      <c r="AW172" s="32"/>
      <c r="AX172" s="27"/>
      <c r="AY172" s="29"/>
      <c r="AZ172" s="28"/>
      <c r="BA172" s="32"/>
      <c r="BB172" s="27"/>
      <c r="BC172" s="29"/>
      <c r="BD172" s="28"/>
      <c r="BE172" s="32"/>
      <c r="BF172" s="27"/>
      <c r="BG172" s="29"/>
      <c r="BH172" s="28"/>
      <c r="BI172" s="32"/>
      <c r="BJ172" s="27"/>
      <c r="BK172" s="29"/>
      <c r="BL172" s="28"/>
      <c r="BM172" s="32"/>
    </row>
    <row r="173" customFormat="false" ht="15.75" hidden="false" customHeight="true" outlineLevel="0" collapsed="false">
      <c r="A173" s="27"/>
      <c r="B173" s="39" t="str">
        <f aca="false">IFERROR(INDEX(Customers!$C$4:$C$1003,MATCH($A173,Customers!$A$4:$A$1003,0)),"")</f>
        <v/>
      </c>
      <c r="C173" s="31" t="str">
        <f aca="false">IFERROR(INDEX(Customers!$F$4:$F$1003,MATCH($A173,Customers!$A$4:$A$1003,0)),"")</f>
        <v/>
      </c>
      <c r="D173" s="33" t="str">
        <f aca="false">IFERROR(INDEX(Customers!$K$4:$K$1003,MATCH($A173,Customers!$A$4:$A$1003,0)),"")</f>
        <v/>
      </c>
      <c r="E173" s="33" t="str">
        <f aca="false">IF($A173="","",IF($F173=0,"Not Started",IF($BJ173="Completed",Settings!$U$45,IF($BF173="Completed",Settings!$U$44,IF($BB173="Completed",Settings!$U$43,IF($AX173="Completed",Settings!$U$42,IF($AT173="Completed",Settings!$U$41,IF($AP173="Completed",Settings!$U$40,IF($AL173="Completed",Settings!$U$39,IF($AH173="Completed",Settings!$U$38,IF($AD173="Completed",Settings!$U$37,IF($Z173="Completed",Settings!$U$36,IF($V173="Completed",Settings!$U$35,IF($R173="Completed",Settings!$U$34,IF($N173="Completed",Settings!$U$33,IF($J173="Completed",Settings!$U$32,""))))))))))))))))</f>
        <v/>
      </c>
      <c r="F173" s="30" t="str">
        <f aca="false">IF($A173="","",COUNTIF($J173:$BM173,"Completed"))</f>
        <v/>
      </c>
      <c r="G173" s="35" t="str">
        <f aca="false">IF($A173="","",MIN($F173/13,1))</f>
        <v/>
      </c>
      <c r="H173" s="31" t="str">
        <f aca="false">IF($A173="","",IF($BJ173="Completed","Case Completed",IF($AX173="Completed","Visa Rejected",IF($BF173="Completed","Departed to Europe",IF($F173=0,"Not Started","In Progress")))))</f>
        <v/>
      </c>
      <c r="I173" s="30" t="str">
        <f aca="true">IF($K173="","",IF($BK173&lt;&gt;"",$BK173-$K173,IF($AY173&lt;&gt;"",$AY173-$K173,TODAY()-$K173)))</f>
        <v/>
      </c>
      <c r="J173" s="27"/>
      <c r="K173" s="29"/>
      <c r="L173" s="28"/>
      <c r="M173" s="32"/>
      <c r="N173" s="27"/>
      <c r="O173" s="29"/>
      <c r="P173" s="28"/>
      <c r="Q173" s="32"/>
      <c r="R173" s="27"/>
      <c r="S173" s="29"/>
      <c r="T173" s="28"/>
      <c r="U173" s="32"/>
      <c r="V173" s="27"/>
      <c r="W173" s="29"/>
      <c r="X173" s="28"/>
      <c r="Y173" s="32"/>
      <c r="Z173" s="27"/>
      <c r="AA173" s="29"/>
      <c r="AB173" s="28"/>
      <c r="AC173" s="32"/>
      <c r="AD173" s="27"/>
      <c r="AE173" s="29"/>
      <c r="AF173" s="28"/>
      <c r="AG173" s="32"/>
      <c r="AH173" s="27"/>
      <c r="AI173" s="29"/>
      <c r="AJ173" s="28"/>
      <c r="AK173" s="32"/>
      <c r="AL173" s="27"/>
      <c r="AM173" s="29"/>
      <c r="AN173" s="28"/>
      <c r="AO173" s="32"/>
      <c r="AP173" s="27"/>
      <c r="AQ173" s="29"/>
      <c r="AR173" s="28"/>
      <c r="AS173" s="32"/>
      <c r="AT173" s="27"/>
      <c r="AU173" s="29"/>
      <c r="AV173" s="28"/>
      <c r="AW173" s="32"/>
      <c r="AX173" s="27"/>
      <c r="AY173" s="29"/>
      <c r="AZ173" s="28"/>
      <c r="BA173" s="32"/>
      <c r="BB173" s="27"/>
      <c r="BC173" s="29"/>
      <c r="BD173" s="28"/>
      <c r="BE173" s="32"/>
      <c r="BF173" s="27"/>
      <c r="BG173" s="29"/>
      <c r="BH173" s="28"/>
      <c r="BI173" s="32"/>
      <c r="BJ173" s="27"/>
      <c r="BK173" s="29"/>
      <c r="BL173" s="28"/>
      <c r="BM173" s="32"/>
    </row>
    <row r="174" customFormat="false" ht="15.75" hidden="false" customHeight="true" outlineLevel="0" collapsed="false">
      <c r="A174" s="27"/>
      <c r="B174" s="39" t="str">
        <f aca="false">IFERROR(INDEX(Customers!$C$4:$C$1003,MATCH($A174,Customers!$A$4:$A$1003,0)),"")</f>
        <v/>
      </c>
      <c r="C174" s="31" t="str">
        <f aca="false">IFERROR(INDEX(Customers!$F$4:$F$1003,MATCH($A174,Customers!$A$4:$A$1003,0)),"")</f>
        <v/>
      </c>
      <c r="D174" s="33" t="str">
        <f aca="false">IFERROR(INDEX(Customers!$K$4:$K$1003,MATCH($A174,Customers!$A$4:$A$1003,0)),"")</f>
        <v/>
      </c>
      <c r="E174" s="33" t="str">
        <f aca="false">IF($A174="","",IF($F174=0,"Not Started",IF($BJ174="Completed",Settings!$U$45,IF($BF174="Completed",Settings!$U$44,IF($BB174="Completed",Settings!$U$43,IF($AX174="Completed",Settings!$U$42,IF($AT174="Completed",Settings!$U$41,IF($AP174="Completed",Settings!$U$40,IF($AL174="Completed",Settings!$U$39,IF($AH174="Completed",Settings!$U$38,IF($AD174="Completed",Settings!$U$37,IF($Z174="Completed",Settings!$U$36,IF($V174="Completed",Settings!$U$35,IF($R174="Completed",Settings!$U$34,IF($N174="Completed",Settings!$U$33,IF($J174="Completed",Settings!$U$32,""))))))))))))))))</f>
        <v/>
      </c>
      <c r="F174" s="30" t="str">
        <f aca="false">IF($A174="","",COUNTIF($J174:$BM174,"Completed"))</f>
        <v/>
      </c>
      <c r="G174" s="35" t="str">
        <f aca="false">IF($A174="","",MIN($F174/13,1))</f>
        <v/>
      </c>
      <c r="H174" s="31" t="str">
        <f aca="false">IF($A174="","",IF($BJ174="Completed","Case Completed",IF($AX174="Completed","Visa Rejected",IF($BF174="Completed","Departed to Europe",IF($F174=0,"Not Started","In Progress")))))</f>
        <v/>
      </c>
      <c r="I174" s="30" t="str">
        <f aca="true">IF($K174="","",IF($BK174&lt;&gt;"",$BK174-$K174,IF($AY174&lt;&gt;"",$AY174-$K174,TODAY()-$K174)))</f>
        <v/>
      </c>
      <c r="J174" s="27"/>
      <c r="K174" s="29"/>
      <c r="L174" s="28"/>
      <c r="M174" s="32"/>
      <c r="N174" s="27"/>
      <c r="O174" s="29"/>
      <c r="P174" s="28"/>
      <c r="Q174" s="32"/>
      <c r="R174" s="27"/>
      <c r="S174" s="29"/>
      <c r="T174" s="28"/>
      <c r="U174" s="32"/>
      <c r="V174" s="27"/>
      <c r="W174" s="29"/>
      <c r="X174" s="28"/>
      <c r="Y174" s="32"/>
      <c r="Z174" s="27"/>
      <c r="AA174" s="29"/>
      <c r="AB174" s="28"/>
      <c r="AC174" s="32"/>
      <c r="AD174" s="27"/>
      <c r="AE174" s="29"/>
      <c r="AF174" s="28"/>
      <c r="AG174" s="32"/>
      <c r="AH174" s="27"/>
      <c r="AI174" s="29"/>
      <c r="AJ174" s="28"/>
      <c r="AK174" s="32"/>
      <c r="AL174" s="27"/>
      <c r="AM174" s="29"/>
      <c r="AN174" s="28"/>
      <c r="AO174" s="32"/>
      <c r="AP174" s="27"/>
      <c r="AQ174" s="29"/>
      <c r="AR174" s="28"/>
      <c r="AS174" s="32"/>
      <c r="AT174" s="27"/>
      <c r="AU174" s="29"/>
      <c r="AV174" s="28"/>
      <c r="AW174" s="32"/>
      <c r="AX174" s="27"/>
      <c r="AY174" s="29"/>
      <c r="AZ174" s="28"/>
      <c r="BA174" s="32"/>
      <c r="BB174" s="27"/>
      <c r="BC174" s="29"/>
      <c r="BD174" s="28"/>
      <c r="BE174" s="32"/>
      <c r="BF174" s="27"/>
      <c r="BG174" s="29"/>
      <c r="BH174" s="28"/>
      <c r="BI174" s="32"/>
      <c r="BJ174" s="27"/>
      <c r="BK174" s="29"/>
      <c r="BL174" s="28"/>
      <c r="BM174" s="32"/>
    </row>
    <row r="175" customFormat="false" ht="15.75" hidden="false" customHeight="true" outlineLevel="0" collapsed="false">
      <c r="A175" s="27"/>
      <c r="B175" s="39" t="str">
        <f aca="false">IFERROR(INDEX(Customers!$C$4:$C$1003,MATCH($A175,Customers!$A$4:$A$1003,0)),"")</f>
        <v/>
      </c>
      <c r="C175" s="31" t="str">
        <f aca="false">IFERROR(INDEX(Customers!$F$4:$F$1003,MATCH($A175,Customers!$A$4:$A$1003,0)),"")</f>
        <v/>
      </c>
      <c r="D175" s="33" t="str">
        <f aca="false">IFERROR(INDEX(Customers!$K$4:$K$1003,MATCH($A175,Customers!$A$4:$A$1003,0)),"")</f>
        <v/>
      </c>
      <c r="E175" s="33" t="str">
        <f aca="false">IF($A175="","",IF($F175=0,"Not Started",IF($BJ175="Completed",Settings!$U$45,IF($BF175="Completed",Settings!$U$44,IF($BB175="Completed",Settings!$U$43,IF($AX175="Completed",Settings!$U$42,IF($AT175="Completed",Settings!$U$41,IF($AP175="Completed",Settings!$U$40,IF($AL175="Completed",Settings!$U$39,IF($AH175="Completed",Settings!$U$38,IF($AD175="Completed",Settings!$U$37,IF($Z175="Completed",Settings!$U$36,IF($V175="Completed",Settings!$U$35,IF($R175="Completed",Settings!$U$34,IF($N175="Completed",Settings!$U$33,IF($J175="Completed",Settings!$U$32,""))))))))))))))))</f>
        <v/>
      </c>
      <c r="F175" s="30" t="str">
        <f aca="false">IF($A175="","",COUNTIF($J175:$BM175,"Completed"))</f>
        <v/>
      </c>
      <c r="G175" s="35" t="str">
        <f aca="false">IF($A175="","",MIN($F175/13,1))</f>
        <v/>
      </c>
      <c r="H175" s="31" t="str">
        <f aca="false">IF($A175="","",IF($BJ175="Completed","Case Completed",IF($AX175="Completed","Visa Rejected",IF($BF175="Completed","Departed to Europe",IF($F175=0,"Not Started","In Progress")))))</f>
        <v/>
      </c>
      <c r="I175" s="30" t="str">
        <f aca="true">IF($K175="","",IF($BK175&lt;&gt;"",$BK175-$K175,IF($AY175&lt;&gt;"",$AY175-$K175,TODAY()-$K175)))</f>
        <v/>
      </c>
      <c r="J175" s="27"/>
      <c r="K175" s="29"/>
      <c r="L175" s="28"/>
      <c r="M175" s="32"/>
      <c r="N175" s="27"/>
      <c r="O175" s="29"/>
      <c r="P175" s="28"/>
      <c r="Q175" s="32"/>
      <c r="R175" s="27"/>
      <c r="S175" s="29"/>
      <c r="T175" s="28"/>
      <c r="U175" s="32"/>
      <c r="V175" s="27"/>
      <c r="W175" s="29"/>
      <c r="X175" s="28"/>
      <c r="Y175" s="32"/>
      <c r="Z175" s="27"/>
      <c r="AA175" s="29"/>
      <c r="AB175" s="28"/>
      <c r="AC175" s="32"/>
      <c r="AD175" s="27"/>
      <c r="AE175" s="29"/>
      <c r="AF175" s="28"/>
      <c r="AG175" s="32"/>
      <c r="AH175" s="27"/>
      <c r="AI175" s="29"/>
      <c r="AJ175" s="28"/>
      <c r="AK175" s="32"/>
      <c r="AL175" s="27"/>
      <c r="AM175" s="29"/>
      <c r="AN175" s="28"/>
      <c r="AO175" s="32"/>
      <c r="AP175" s="27"/>
      <c r="AQ175" s="29"/>
      <c r="AR175" s="28"/>
      <c r="AS175" s="32"/>
      <c r="AT175" s="27"/>
      <c r="AU175" s="29"/>
      <c r="AV175" s="28"/>
      <c r="AW175" s="32"/>
      <c r="AX175" s="27"/>
      <c r="AY175" s="29"/>
      <c r="AZ175" s="28"/>
      <c r="BA175" s="32"/>
      <c r="BB175" s="27"/>
      <c r="BC175" s="29"/>
      <c r="BD175" s="28"/>
      <c r="BE175" s="32"/>
      <c r="BF175" s="27"/>
      <c r="BG175" s="29"/>
      <c r="BH175" s="28"/>
      <c r="BI175" s="32"/>
      <c r="BJ175" s="27"/>
      <c r="BK175" s="29"/>
      <c r="BL175" s="28"/>
      <c r="BM175" s="32"/>
    </row>
    <row r="176" customFormat="false" ht="15.75" hidden="false" customHeight="true" outlineLevel="0" collapsed="false">
      <c r="A176" s="27"/>
      <c r="B176" s="39" t="str">
        <f aca="false">IFERROR(INDEX(Customers!$C$4:$C$1003,MATCH($A176,Customers!$A$4:$A$1003,0)),"")</f>
        <v/>
      </c>
      <c r="C176" s="31" t="str">
        <f aca="false">IFERROR(INDEX(Customers!$F$4:$F$1003,MATCH($A176,Customers!$A$4:$A$1003,0)),"")</f>
        <v/>
      </c>
      <c r="D176" s="33" t="str">
        <f aca="false">IFERROR(INDEX(Customers!$K$4:$K$1003,MATCH($A176,Customers!$A$4:$A$1003,0)),"")</f>
        <v/>
      </c>
      <c r="E176" s="33" t="str">
        <f aca="false">IF($A176="","",IF($F176=0,"Not Started",IF($BJ176="Completed",Settings!$U$45,IF($BF176="Completed",Settings!$U$44,IF($BB176="Completed",Settings!$U$43,IF($AX176="Completed",Settings!$U$42,IF($AT176="Completed",Settings!$U$41,IF($AP176="Completed",Settings!$U$40,IF($AL176="Completed",Settings!$U$39,IF($AH176="Completed",Settings!$U$38,IF($AD176="Completed",Settings!$U$37,IF($Z176="Completed",Settings!$U$36,IF($V176="Completed",Settings!$U$35,IF($R176="Completed",Settings!$U$34,IF($N176="Completed",Settings!$U$33,IF($J176="Completed",Settings!$U$32,""))))))))))))))))</f>
        <v/>
      </c>
      <c r="F176" s="30" t="str">
        <f aca="false">IF($A176="","",COUNTIF($J176:$BM176,"Completed"))</f>
        <v/>
      </c>
      <c r="G176" s="35" t="str">
        <f aca="false">IF($A176="","",MIN($F176/13,1))</f>
        <v/>
      </c>
      <c r="H176" s="31" t="str">
        <f aca="false">IF($A176="","",IF($BJ176="Completed","Case Completed",IF($AX176="Completed","Visa Rejected",IF($BF176="Completed","Departed to Europe",IF($F176=0,"Not Started","In Progress")))))</f>
        <v/>
      </c>
      <c r="I176" s="30" t="str">
        <f aca="true">IF($K176="","",IF($BK176&lt;&gt;"",$BK176-$K176,IF($AY176&lt;&gt;"",$AY176-$K176,TODAY()-$K176)))</f>
        <v/>
      </c>
      <c r="J176" s="27"/>
      <c r="K176" s="29"/>
      <c r="L176" s="28"/>
      <c r="M176" s="32"/>
      <c r="N176" s="27"/>
      <c r="O176" s="29"/>
      <c r="P176" s="28"/>
      <c r="Q176" s="32"/>
      <c r="R176" s="27"/>
      <c r="S176" s="29"/>
      <c r="T176" s="28"/>
      <c r="U176" s="32"/>
      <c r="V176" s="27"/>
      <c r="W176" s="29"/>
      <c r="X176" s="28"/>
      <c r="Y176" s="32"/>
      <c r="Z176" s="27"/>
      <c r="AA176" s="29"/>
      <c r="AB176" s="28"/>
      <c r="AC176" s="32"/>
      <c r="AD176" s="27"/>
      <c r="AE176" s="29"/>
      <c r="AF176" s="28"/>
      <c r="AG176" s="32"/>
      <c r="AH176" s="27"/>
      <c r="AI176" s="29"/>
      <c r="AJ176" s="28"/>
      <c r="AK176" s="32"/>
      <c r="AL176" s="27"/>
      <c r="AM176" s="29"/>
      <c r="AN176" s="28"/>
      <c r="AO176" s="32"/>
      <c r="AP176" s="27"/>
      <c r="AQ176" s="29"/>
      <c r="AR176" s="28"/>
      <c r="AS176" s="32"/>
      <c r="AT176" s="27"/>
      <c r="AU176" s="29"/>
      <c r="AV176" s="28"/>
      <c r="AW176" s="32"/>
      <c r="AX176" s="27"/>
      <c r="AY176" s="29"/>
      <c r="AZ176" s="28"/>
      <c r="BA176" s="32"/>
      <c r="BB176" s="27"/>
      <c r="BC176" s="29"/>
      <c r="BD176" s="28"/>
      <c r="BE176" s="32"/>
      <c r="BF176" s="27"/>
      <c r="BG176" s="29"/>
      <c r="BH176" s="28"/>
      <c r="BI176" s="32"/>
      <c r="BJ176" s="27"/>
      <c r="BK176" s="29"/>
      <c r="BL176" s="28"/>
      <c r="BM176" s="32"/>
    </row>
    <row r="177" customFormat="false" ht="15.75" hidden="false" customHeight="true" outlineLevel="0" collapsed="false">
      <c r="A177" s="27"/>
      <c r="B177" s="39" t="str">
        <f aca="false">IFERROR(INDEX(Customers!$C$4:$C$1003,MATCH($A177,Customers!$A$4:$A$1003,0)),"")</f>
        <v/>
      </c>
      <c r="C177" s="31" t="str">
        <f aca="false">IFERROR(INDEX(Customers!$F$4:$F$1003,MATCH($A177,Customers!$A$4:$A$1003,0)),"")</f>
        <v/>
      </c>
      <c r="D177" s="33" t="str">
        <f aca="false">IFERROR(INDEX(Customers!$K$4:$K$1003,MATCH($A177,Customers!$A$4:$A$1003,0)),"")</f>
        <v/>
      </c>
      <c r="E177" s="33" t="str">
        <f aca="false">IF($A177="","",IF($F177=0,"Not Started",IF($BJ177="Completed",Settings!$U$45,IF($BF177="Completed",Settings!$U$44,IF($BB177="Completed",Settings!$U$43,IF($AX177="Completed",Settings!$U$42,IF($AT177="Completed",Settings!$U$41,IF($AP177="Completed",Settings!$U$40,IF($AL177="Completed",Settings!$U$39,IF($AH177="Completed",Settings!$U$38,IF($AD177="Completed",Settings!$U$37,IF($Z177="Completed",Settings!$U$36,IF($V177="Completed",Settings!$U$35,IF($R177="Completed",Settings!$U$34,IF($N177="Completed",Settings!$U$33,IF($J177="Completed",Settings!$U$32,""))))))))))))))))</f>
        <v/>
      </c>
      <c r="F177" s="30" t="str">
        <f aca="false">IF($A177="","",COUNTIF($J177:$BM177,"Completed"))</f>
        <v/>
      </c>
      <c r="G177" s="35" t="str">
        <f aca="false">IF($A177="","",MIN($F177/13,1))</f>
        <v/>
      </c>
      <c r="H177" s="31" t="str">
        <f aca="false">IF($A177="","",IF($BJ177="Completed","Case Completed",IF($AX177="Completed","Visa Rejected",IF($BF177="Completed","Departed to Europe",IF($F177=0,"Not Started","In Progress")))))</f>
        <v/>
      </c>
      <c r="I177" s="30" t="str">
        <f aca="true">IF($K177="","",IF($BK177&lt;&gt;"",$BK177-$K177,IF($AY177&lt;&gt;"",$AY177-$K177,TODAY()-$K177)))</f>
        <v/>
      </c>
      <c r="J177" s="27"/>
      <c r="K177" s="29"/>
      <c r="L177" s="28"/>
      <c r="M177" s="32"/>
      <c r="N177" s="27"/>
      <c r="O177" s="29"/>
      <c r="P177" s="28"/>
      <c r="Q177" s="32"/>
      <c r="R177" s="27"/>
      <c r="S177" s="29"/>
      <c r="T177" s="28"/>
      <c r="U177" s="32"/>
      <c r="V177" s="27"/>
      <c r="W177" s="29"/>
      <c r="X177" s="28"/>
      <c r="Y177" s="32"/>
      <c r="Z177" s="27"/>
      <c r="AA177" s="29"/>
      <c r="AB177" s="28"/>
      <c r="AC177" s="32"/>
      <c r="AD177" s="27"/>
      <c r="AE177" s="29"/>
      <c r="AF177" s="28"/>
      <c r="AG177" s="32"/>
      <c r="AH177" s="27"/>
      <c r="AI177" s="29"/>
      <c r="AJ177" s="28"/>
      <c r="AK177" s="32"/>
      <c r="AL177" s="27"/>
      <c r="AM177" s="29"/>
      <c r="AN177" s="28"/>
      <c r="AO177" s="32"/>
      <c r="AP177" s="27"/>
      <c r="AQ177" s="29"/>
      <c r="AR177" s="28"/>
      <c r="AS177" s="32"/>
      <c r="AT177" s="27"/>
      <c r="AU177" s="29"/>
      <c r="AV177" s="28"/>
      <c r="AW177" s="32"/>
      <c r="AX177" s="27"/>
      <c r="AY177" s="29"/>
      <c r="AZ177" s="28"/>
      <c r="BA177" s="32"/>
      <c r="BB177" s="27"/>
      <c r="BC177" s="29"/>
      <c r="BD177" s="28"/>
      <c r="BE177" s="32"/>
      <c r="BF177" s="27"/>
      <c r="BG177" s="29"/>
      <c r="BH177" s="28"/>
      <c r="BI177" s="32"/>
      <c r="BJ177" s="27"/>
      <c r="BK177" s="29"/>
      <c r="BL177" s="28"/>
      <c r="BM177" s="32"/>
    </row>
    <row r="178" customFormat="false" ht="15.75" hidden="false" customHeight="true" outlineLevel="0" collapsed="false">
      <c r="A178" s="27"/>
      <c r="B178" s="39" t="str">
        <f aca="false">IFERROR(INDEX(Customers!$C$4:$C$1003,MATCH($A178,Customers!$A$4:$A$1003,0)),"")</f>
        <v/>
      </c>
      <c r="C178" s="31" t="str">
        <f aca="false">IFERROR(INDEX(Customers!$F$4:$F$1003,MATCH($A178,Customers!$A$4:$A$1003,0)),"")</f>
        <v/>
      </c>
      <c r="D178" s="33" t="str">
        <f aca="false">IFERROR(INDEX(Customers!$K$4:$K$1003,MATCH($A178,Customers!$A$4:$A$1003,0)),"")</f>
        <v/>
      </c>
      <c r="E178" s="33" t="str">
        <f aca="false">IF($A178="","",IF($F178=0,"Not Started",IF($BJ178="Completed",Settings!$U$45,IF($BF178="Completed",Settings!$U$44,IF($BB178="Completed",Settings!$U$43,IF($AX178="Completed",Settings!$U$42,IF($AT178="Completed",Settings!$U$41,IF($AP178="Completed",Settings!$U$40,IF($AL178="Completed",Settings!$U$39,IF($AH178="Completed",Settings!$U$38,IF($AD178="Completed",Settings!$U$37,IF($Z178="Completed",Settings!$U$36,IF($V178="Completed",Settings!$U$35,IF($R178="Completed",Settings!$U$34,IF($N178="Completed",Settings!$U$33,IF($J178="Completed",Settings!$U$32,""))))))))))))))))</f>
        <v/>
      </c>
      <c r="F178" s="30" t="str">
        <f aca="false">IF($A178="","",COUNTIF($J178:$BM178,"Completed"))</f>
        <v/>
      </c>
      <c r="G178" s="35" t="str">
        <f aca="false">IF($A178="","",MIN($F178/13,1))</f>
        <v/>
      </c>
      <c r="H178" s="31" t="str">
        <f aca="false">IF($A178="","",IF($BJ178="Completed","Case Completed",IF($AX178="Completed","Visa Rejected",IF($BF178="Completed","Departed to Europe",IF($F178=0,"Not Started","In Progress")))))</f>
        <v/>
      </c>
      <c r="I178" s="30" t="str">
        <f aca="true">IF($K178="","",IF($BK178&lt;&gt;"",$BK178-$K178,IF($AY178&lt;&gt;"",$AY178-$K178,TODAY()-$K178)))</f>
        <v/>
      </c>
      <c r="J178" s="27"/>
      <c r="K178" s="29"/>
      <c r="L178" s="28"/>
      <c r="M178" s="32"/>
      <c r="N178" s="27"/>
      <c r="O178" s="29"/>
      <c r="P178" s="28"/>
      <c r="Q178" s="32"/>
      <c r="R178" s="27"/>
      <c r="S178" s="29"/>
      <c r="T178" s="28"/>
      <c r="U178" s="32"/>
      <c r="V178" s="27"/>
      <c r="W178" s="29"/>
      <c r="X178" s="28"/>
      <c r="Y178" s="32"/>
      <c r="Z178" s="27"/>
      <c r="AA178" s="29"/>
      <c r="AB178" s="28"/>
      <c r="AC178" s="32"/>
      <c r="AD178" s="27"/>
      <c r="AE178" s="29"/>
      <c r="AF178" s="28"/>
      <c r="AG178" s="32"/>
      <c r="AH178" s="27"/>
      <c r="AI178" s="29"/>
      <c r="AJ178" s="28"/>
      <c r="AK178" s="32"/>
      <c r="AL178" s="27"/>
      <c r="AM178" s="29"/>
      <c r="AN178" s="28"/>
      <c r="AO178" s="32"/>
      <c r="AP178" s="27"/>
      <c r="AQ178" s="29"/>
      <c r="AR178" s="28"/>
      <c r="AS178" s="32"/>
      <c r="AT178" s="27"/>
      <c r="AU178" s="29"/>
      <c r="AV178" s="28"/>
      <c r="AW178" s="32"/>
      <c r="AX178" s="27"/>
      <c r="AY178" s="29"/>
      <c r="AZ178" s="28"/>
      <c r="BA178" s="32"/>
      <c r="BB178" s="27"/>
      <c r="BC178" s="29"/>
      <c r="BD178" s="28"/>
      <c r="BE178" s="32"/>
      <c r="BF178" s="27"/>
      <c r="BG178" s="29"/>
      <c r="BH178" s="28"/>
      <c r="BI178" s="32"/>
      <c r="BJ178" s="27"/>
      <c r="BK178" s="29"/>
      <c r="BL178" s="28"/>
      <c r="BM178" s="32"/>
    </row>
    <row r="179" customFormat="false" ht="15.75" hidden="false" customHeight="true" outlineLevel="0" collapsed="false">
      <c r="A179" s="27"/>
      <c r="B179" s="39" t="str">
        <f aca="false">IFERROR(INDEX(Customers!$C$4:$C$1003,MATCH($A179,Customers!$A$4:$A$1003,0)),"")</f>
        <v/>
      </c>
      <c r="C179" s="31" t="str">
        <f aca="false">IFERROR(INDEX(Customers!$F$4:$F$1003,MATCH($A179,Customers!$A$4:$A$1003,0)),"")</f>
        <v/>
      </c>
      <c r="D179" s="33" t="str">
        <f aca="false">IFERROR(INDEX(Customers!$K$4:$K$1003,MATCH($A179,Customers!$A$4:$A$1003,0)),"")</f>
        <v/>
      </c>
      <c r="E179" s="33" t="str">
        <f aca="false">IF($A179="","",IF($F179=0,"Not Started",IF($BJ179="Completed",Settings!$U$45,IF($BF179="Completed",Settings!$U$44,IF($BB179="Completed",Settings!$U$43,IF($AX179="Completed",Settings!$U$42,IF($AT179="Completed",Settings!$U$41,IF($AP179="Completed",Settings!$U$40,IF($AL179="Completed",Settings!$U$39,IF($AH179="Completed",Settings!$U$38,IF($AD179="Completed",Settings!$U$37,IF($Z179="Completed",Settings!$U$36,IF($V179="Completed",Settings!$U$35,IF($R179="Completed",Settings!$U$34,IF($N179="Completed",Settings!$U$33,IF($J179="Completed",Settings!$U$32,""))))))))))))))))</f>
        <v/>
      </c>
      <c r="F179" s="30" t="str">
        <f aca="false">IF($A179="","",COUNTIF($J179:$BM179,"Completed"))</f>
        <v/>
      </c>
      <c r="G179" s="35" t="str">
        <f aca="false">IF($A179="","",MIN($F179/13,1))</f>
        <v/>
      </c>
      <c r="H179" s="31" t="str">
        <f aca="false">IF($A179="","",IF($BJ179="Completed","Case Completed",IF($AX179="Completed","Visa Rejected",IF($BF179="Completed","Departed to Europe",IF($F179=0,"Not Started","In Progress")))))</f>
        <v/>
      </c>
      <c r="I179" s="30" t="str">
        <f aca="true">IF($K179="","",IF($BK179&lt;&gt;"",$BK179-$K179,IF($AY179&lt;&gt;"",$AY179-$K179,TODAY()-$K179)))</f>
        <v/>
      </c>
      <c r="J179" s="27"/>
      <c r="K179" s="29"/>
      <c r="L179" s="28"/>
      <c r="M179" s="32"/>
      <c r="N179" s="27"/>
      <c r="O179" s="29"/>
      <c r="P179" s="28"/>
      <c r="Q179" s="32"/>
      <c r="R179" s="27"/>
      <c r="S179" s="29"/>
      <c r="T179" s="28"/>
      <c r="U179" s="32"/>
      <c r="V179" s="27"/>
      <c r="W179" s="29"/>
      <c r="X179" s="28"/>
      <c r="Y179" s="32"/>
      <c r="Z179" s="27"/>
      <c r="AA179" s="29"/>
      <c r="AB179" s="28"/>
      <c r="AC179" s="32"/>
      <c r="AD179" s="27"/>
      <c r="AE179" s="29"/>
      <c r="AF179" s="28"/>
      <c r="AG179" s="32"/>
      <c r="AH179" s="27"/>
      <c r="AI179" s="29"/>
      <c r="AJ179" s="28"/>
      <c r="AK179" s="32"/>
      <c r="AL179" s="27"/>
      <c r="AM179" s="29"/>
      <c r="AN179" s="28"/>
      <c r="AO179" s="32"/>
      <c r="AP179" s="27"/>
      <c r="AQ179" s="29"/>
      <c r="AR179" s="28"/>
      <c r="AS179" s="32"/>
      <c r="AT179" s="27"/>
      <c r="AU179" s="29"/>
      <c r="AV179" s="28"/>
      <c r="AW179" s="32"/>
      <c r="AX179" s="27"/>
      <c r="AY179" s="29"/>
      <c r="AZ179" s="28"/>
      <c r="BA179" s="32"/>
      <c r="BB179" s="27"/>
      <c r="BC179" s="29"/>
      <c r="BD179" s="28"/>
      <c r="BE179" s="32"/>
      <c r="BF179" s="27"/>
      <c r="BG179" s="29"/>
      <c r="BH179" s="28"/>
      <c r="BI179" s="32"/>
      <c r="BJ179" s="27"/>
      <c r="BK179" s="29"/>
      <c r="BL179" s="28"/>
      <c r="BM179" s="32"/>
    </row>
    <row r="180" customFormat="false" ht="15.75" hidden="false" customHeight="true" outlineLevel="0" collapsed="false">
      <c r="A180" s="27"/>
      <c r="B180" s="39" t="str">
        <f aca="false">IFERROR(INDEX(Customers!$C$4:$C$1003,MATCH($A180,Customers!$A$4:$A$1003,0)),"")</f>
        <v/>
      </c>
      <c r="C180" s="31" t="str">
        <f aca="false">IFERROR(INDEX(Customers!$F$4:$F$1003,MATCH($A180,Customers!$A$4:$A$1003,0)),"")</f>
        <v/>
      </c>
      <c r="D180" s="33" t="str">
        <f aca="false">IFERROR(INDEX(Customers!$K$4:$K$1003,MATCH($A180,Customers!$A$4:$A$1003,0)),"")</f>
        <v/>
      </c>
      <c r="E180" s="33" t="str">
        <f aca="false">IF($A180="","",IF($F180=0,"Not Started",IF($BJ180="Completed",Settings!$U$45,IF($BF180="Completed",Settings!$U$44,IF($BB180="Completed",Settings!$U$43,IF($AX180="Completed",Settings!$U$42,IF($AT180="Completed",Settings!$U$41,IF($AP180="Completed",Settings!$U$40,IF($AL180="Completed",Settings!$U$39,IF($AH180="Completed",Settings!$U$38,IF($AD180="Completed",Settings!$U$37,IF($Z180="Completed",Settings!$U$36,IF($V180="Completed",Settings!$U$35,IF($R180="Completed",Settings!$U$34,IF($N180="Completed",Settings!$U$33,IF($J180="Completed",Settings!$U$32,""))))))))))))))))</f>
        <v/>
      </c>
      <c r="F180" s="30" t="str">
        <f aca="false">IF($A180="","",COUNTIF($J180:$BM180,"Completed"))</f>
        <v/>
      </c>
      <c r="G180" s="35" t="str">
        <f aca="false">IF($A180="","",MIN($F180/13,1))</f>
        <v/>
      </c>
      <c r="H180" s="31" t="str">
        <f aca="false">IF($A180="","",IF($BJ180="Completed","Case Completed",IF($AX180="Completed","Visa Rejected",IF($BF180="Completed","Departed to Europe",IF($F180=0,"Not Started","In Progress")))))</f>
        <v/>
      </c>
      <c r="I180" s="30" t="str">
        <f aca="true">IF($K180="","",IF($BK180&lt;&gt;"",$BK180-$K180,IF($AY180&lt;&gt;"",$AY180-$K180,TODAY()-$K180)))</f>
        <v/>
      </c>
      <c r="J180" s="27"/>
      <c r="K180" s="29"/>
      <c r="L180" s="28"/>
      <c r="M180" s="32"/>
      <c r="N180" s="27"/>
      <c r="O180" s="29"/>
      <c r="P180" s="28"/>
      <c r="Q180" s="32"/>
      <c r="R180" s="27"/>
      <c r="S180" s="29"/>
      <c r="T180" s="28"/>
      <c r="U180" s="32"/>
      <c r="V180" s="27"/>
      <c r="W180" s="29"/>
      <c r="X180" s="28"/>
      <c r="Y180" s="32"/>
      <c r="Z180" s="27"/>
      <c r="AA180" s="29"/>
      <c r="AB180" s="28"/>
      <c r="AC180" s="32"/>
      <c r="AD180" s="27"/>
      <c r="AE180" s="29"/>
      <c r="AF180" s="28"/>
      <c r="AG180" s="32"/>
      <c r="AH180" s="27"/>
      <c r="AI180" s="29"/>
      <c r="AJ180" s="28"/>
      <c r="AK180" s="32"/>
      <c r="AL180" s="27"/>
      <c r="AM180" s="29"/>
      <c r="AN180" s="28"/>
      <c r="AO180" s="32"/>
      <c r="AP180" s="27"/>
      <c r="AQ180" s="29"/>
      <c r="AR180" s="28"/>
      <c r="AS180" s="32"/>
      <c r="AT180" s="27"/>
      <c r="AU180" s="29"/>
      <c r="AV180" s="28"/>
      <c r="AW180" s="32"/>
      <c r="AX180" s="27"/>
      <c r="AY180" s="29"/>
      <c r="AZ180" s="28"/>
      <c r="BA180" s="32"/>
      <c r="BB180" s="27"/>
      <c r="BC180" s="29"/>
      <c r="BD180" s="28"/>
      <c r="BE180" s="32"/>
      <c r="BF180" s="27"/>
      <c r="BG180" s="29"/>
      <c r="BH180" s="28"/>
      <c r="BI180" s="32"/>
      <c r="BJ180" s="27"/>
      <c r="BK180" s="29"/>
      <c r="BL180" s="28"/>
      <c r="BM180" s="32"/>
    </row>
    <row r="181" customFormat="false" ht="15.75" hidden="false" customHeight="true" outlineLevel="0" collapsed="false">
      <c r="A181" s="27"/>
      <c r="B181" s="39" t="str">
        <f aca="false">IFERROR(INDEX(Customers!$C$4:$C$1003,MATCH($A181,Customers!$A$4:$A$1003,0)),"")</f>
        <v/>
      </c>
      <c r="C181" s="31" t="str">
        <f aca="false">IFERROR(INDEX(Customers!$F$4:$F$1003,MATCH($A181,Customers!$A$4:$A$1003,0)),"")</f>
        <v/>
      </c>
      <c r="D181" s="33" t="str">
        <f aca="false">IFERROR(INDEX(Customers!$K$4:$K$1003,MATCH($A181,Customers!$A$4:$A$1003,0)),"")</f>
        <v/>
      </c>
      <c r="E181" s="33" t="str">
        <f aca="false">IF($A181="","",IF($F181=0,"Not Started",IF($BJ181="Completed",Settings!$U$45,IF($BF181="Completed",Settings!$U$44,IF($BB181="Completed",Settings!$U$43,IF($AX181="Completed",Settings!$U$42,IF($AT181="Completed",Settings!$U$41,IF($AP181="Completed",Settings!$U$40,IF($AL181="Completed",Settings!$U$39,IF($AH181="Completed",Settings!$U$38,IF($AD181="Completed",Settings!$U$37,IF($Z181="Completed",Settings!$U$36,IF($V181="Completed",Settings!$U$35,IF($R181="Completed",Settings!$U$34,IF($N181="Completed",Settings!$U$33,IF($J181="Completed",Settings!$U$32,""))))))))))))))))</f>
        <v/>
      </c>
      <c r="F181" s="30" t="str">
        <f aca="false">IF($A181="","",COUNTIF($J181:$BM181,"Completed"))</f>
        <v/>
      </c>
      <c r="G181" s="35" t="str">
        <f aca="false">IF($A181="","",MIN($F181/13,1))</f>
        <v/>
      </c>
      <c r="H181" s="31" t="str">
        <f aca="false">IF($A181="","",IF($BJ181="Completed","Case Completed",IF($AX181="Completed","Visa Rejected",IF($BF181="Completed","Departed to Europe",IF($F181=0,"Not Started","In Progress")))))</f>
        <v/>
      </c>
      <c r="I181" s="30" t="str">
        <f aca="true">IF($K181="","",IF($BK181&lt;&gt;"",$BK181-$K181,IF($AY181&lt;&gt;"",$AY181-$K181,TODAY()-$K181)))</f>
        <v/>
      </c>
      <c r="J181" s="27"/>
      <c r="K181" s="29"/>
      <c r="L181" s="28"/>
      <c r="M181" s="32"/>
      <c r="N181" s="27"/>
      <c r="O181" s="29"/>
      <c r="P181" s="28"/>
      <c r="Q181" s="32"/>
      <c r="R181" s="27"/>
      <c r="S181" s="29"/>
      <c r="T181" s="28"/>
      <c r="U181" s="32"/>
      <c r="V181" s="27"/>
      <c r="W181" s="29"/>
      <c r="X181" s="28"/>
      <c r="Y181" s="32"/>
      <c r="Z181" s="27"/>
      <c r="AA181" s="29"/>
      <c r="AB181" s="28"/>
      <c r="AC181" s="32"/>
      <c r="AD181" s="27"/>
      <c r="AE181" s="29"/>
      <c r="AF181" s="28"/>
      <c r="AG181" s="32"/>
      <c r="AH181" s="27"/>
      <c r="AI181" s="29"/>
      <c r="AJ181" s="28"/>
      <c r="AK181" s="32"/>
      <c r="AL181" s="27"/>
      <c r="AM181" s="29"/>
      <c r="AN181" s="28"/>
      <c r="AO181" s="32"/>
      <c r="AP181" s="27"/>
      <c r="AQ181" s="29"/>
      <c r="AR181" s="28"/>
      <c r="AS181" s="32"/>
      <c r="AT181" s="27"/>
      <c r="AU181" s="29"/>
      <c r="AV181" s="28"/>
      <c r="AW181" s="32"/>
      <c r="AX181" s="27"/>
      <c r="AY181" s="29"/>
      <c r="AZ181" s="28"/>
      <c r="BA181" s="32"/>
      <c r="BB181" s="27"/>
      <c r="BC181" s="29"/>
      <c r="BD181" s="28"/>
      <c r="BE181" s="32"/>
      <c r="BF181" s="27"/>
      <c r="BG181" s="29"/>
      <c r="BH181" s="28"/>
      <c r="BI181" s="32"/>
      <c r="BJ181" s="27"/>
      <c r="BK181" s="29"/>
      <c r="BL181" s="28"/>
      <c r="BM181" s="32"/>
    </row>
    <row r="182" customFormat="false" ht="15.75" hidden="false" customHeight="true" outlineLevel="0" collapsed="false">
      <c r="A182" s="27"/>
      <c r="B182" s="39" t="str">
        <f aca="false">IFERROR(INDEX(Customers!$C$4:$C$1003,MATCH($A182,Customers!$A$4:$A$1003,0)),"")</f>
        <v/>
      </c>
      <c r="C182" s="31" t="str">
        <f aca="false">IFERROR(INDEX(Customers!$F$4:$F$1003,MATCH($A182,Customers!$A$4:$A$1003,0)),"")</f>
        <v/>
      </c>
      <c r="D182" s="33" t="str">
        <f aca="false">IFERROR(INDEX(Customers!$K$4:$K$1003,MATCH($A182,Customers!$A$4:$A$1003,0)),"")</f>
        <v/>
      </c>
      <c r="E182" s="33" t="str">
        <f aca="false">IF($A182="","",IF($F182=0,"Not Started",IF($BJ182="Completed",Settings!$U$45,IF($BF182="Completed",Settings!$U$44,IF($BB182="Completed",Settings!$U$43,IF($AX182="Completed",Settings!$U$42,IF($AT182="Completed",Settings!$U$41,IF($AP182="Completed",Settings!$U$40,IF($AL182="Completed",Settings!$U$39,IF($AH182="Completed",Settings!$U$38,IF($AD182="Completed",Settings!$U$37,IF($Z182="Completed",Settings!$U$36,IF($V182="Completed",Settings!$U$35,IF($R182="Completed",Settings!$U$34,IF($N182="Completed",Settings!$U$33,IF($J182="Completed",Settings!$U$32,""))))))))))))))))</f>
        <v/>
      </c>
      <c r="F182" s="30" t="str">
        <f aca="false">IF($A182="","",COUNTIF($J182:$BM182,"Completed"))</f>
        <v/>
      </c>
      <c r="G182" s="35" t="str">
        <f aca="false">IF($A182="","",MIN($F182/13,1))</f>
        <v/>
      </c>
      <c r="H182" s="31" t="str">
        <f aca="false">IF($A182="","",IF($BJ182="Completed","Case Completed",IF($AX182="Completed","Visa Rejected",IF($BF182="Completed","Departed to Europe",IF($F182=0,"Not Started","In Progress")))))</f>
        <v/>
      </c>
      <c r="I182" s="30" t="str">
        <f aca="true">IF($K182="","",IF($BK182&lt;&gt;"",$BK182-$K182,IF($AY182&lt;&gt;"",$AY182-$K182,TODAY()-$K182)))</f>
        <v/>
      </c>
      <c r="J182" s="27"/>
      <c r="K182" s="29"/>
      <c r="L182" s="28"/>
      <c r="M182" s="32"/>
      <c r="N182" s="27"/>
      <c r="O182" s="29"/>
      <c r="P182" s="28"/>
      <c r="Q182" s="32"/>
      <c r="R182" s="27"/>
      <c r="S182" s="29"/>
      <c r="T182" s="28"/>
      <c r="U182" s="32"/>
      <c r="V182" s="27"/>
      <c r="W182" s="29"/>
      <c r="X182" s="28"/>
      <c r="Y182" s="32"/>
      <c r="Z182" s="27"/>
      <c r="AA182" s="29"/>
      <c r="AB182" s="28"/>
      <c r="AC182" s="32"/>
      <c r="AD182" s="27"/>
      <c r="AE182" s="29"/>
      <c r="AF182" s="28"/>
      <c r="AG182" s="32"/>
      <c r="AH182" s="27"/>
      <c r="AI182" s="29"/>
      <c r="AJ182" s="28"/>
      <c r="AK182" s="32"/>
      <c r="AL182" s="27"/>
      <c r="AM182" s="29"/>
      <c r="AN182" s="28"/>
      <c r="AO182" s="32"/>
      <c r="AP182" s="27"/>
      <c r="AQ182" s="29"/>
      <c r="AR182" s="28"/>
      <c r="AS182" s="32"/>
      <c r="AT182" s="27"/>
      <c r="AU182" s="29"/>
      <c r="AV182" s="28"/>
      <c r="AW182" s="32"/>
      <c r="AX182" s="27"/>
      <c r="AY182" s="29"/>
      <c r="AZ182" s="28"/>
      <c r="BA182" s="32"/>
      <c r="BB182" s="27"/>
      <c r="BC182" s="29"/>
      <c r="BD182" s="28"/>
      <c r="BE182" s="32"/>
      <c r="BF182" s="27"/>
      <c r="BG182" s="29"/>
      <c r="BH182" s="28"/>
      <c r="BI182" s="32"/>
      <c r="BJ182" s="27"/>
      <c r="BK182" s="29"/>
      <c r="BL182" s="28"/>
      <c r="BM182" s="32"/>
    </row>
    <row r="183" customFormat="false" ht="15.75" hidden="false" customHeight="true" outlineLevel="0" collapsed="false">
      <c r="A183" s="27"/>
      <c r="B183" s="39" t="str">
        <f aca="false">IFERROR(INDEX(Customers!$C$4:$C$1003,MATCH($A183,Customers!$A$4:$A$1003,0)),"")</f>
        <v/>
      </c>
      <c r="C183" s="31" t="str">
        <f aca="false">IFERROR(INDEX(Customers!$F$4:$F$1003,MATCH($A183,Customers!$A$4:$A$1003,0)),"")</f>
        <v/>
      </c>
      <c r="D183" s="33" t="str">
        <f aca="false">IFERROR(INDEX(Customers!$K$4:$K$1003,MATCH($A183,Customers!$A$4:$A$1003,0)),"")</f>
        <v/>
      </c>
      <c r="E183" s="33" t="str">
        <f aca="false">IF($A183="","",IF($F183=0,"Not Started",IF($BJ183="Completed",Settings!$U$45,IF($BF183="Completed",Settings!$U$44,IF($BB183="Completed",Settings!$U$43,IF($AX183="Completed",Settings!$U$42,IF($AT183="Completed",Settings!$U$41,IF($AP183="Completed",Settings!$U$40,IF($AL183="Completed",Settings!$U$39,IF($AH183="Completed",Settings!$U$38,IF($AD183="Completed",Settings!$U$37,IF($Z183="Completed",Settings!$U$36,IF($V183="Completed",Settings!$U$35,IF($R183="Completed",Settings!$U$34,IF($N183="Completed",Settings!$U$33,IF($J183="Completed",Settings!$U$32,""))))))))))))))))</f>
        <v/>
      </c>
      <c r="F183" s="30" t="str">
        <f aca="false">IF($A183="","",COUNTIF($J183:$BM183,"Completed"))</f>
        <v/>
      </c>
      <c r="G183" s="35" t="str">
        <f aca="false">IF($A183="","",MIN($F183/13,1))</f>
        <v/>
      </c>
      <c r="H183" s="31" t="str">
        <f aca="false">IF($A183="","",IF($BJ183="Completed","Case Completed",IF($AX183="Completed","Visa Rejected",IF($BF183="Completed","Departed to Europe",IF($F183=0,"Not Started","In Progress")))))</f>
        <v/>
      </c>
      <c r="I183" s="30" t="str">
        <f aca="true">IF($K183="","",IF($BK183&lt;&gt;"",$BK183-$K183,IF($AY183&lt;&gt;"",$AY183-$K183,TODAY()-$K183)))</f>
        <v/>
      </c>
      <c r="J183" s="27"/>
      <c r="K183" s="29"/>
      <c r="L183" s="28"/>
      <c r="M183" s="32"/>
      <c r="N183" s="27"/>
      <c r="O183" s="29"/>
      <c r="P183" s="28"/>
      <c r="Q183" s="32"/>
      <c r="R183" s="27"/>
      <c r="S183" s="29"/>
      <c r="T183" s="28"/>
      <c r="U183" s="32"/>
      <c r="V183" s="27"/>
      <c r="W183" s="29"/>
      <c r="X183" s="28"/>
      <c r="Y183" s="32"/>
      <c r="Z183" s="27"/>
      <c r="AA183" s="29"/>
      <c r="AB183" s="28"/>
      <c r="AC183" s="32"/>
      <c r="AD183" s="27"/>
      <c r="AE183" s="29"/>
      <c r="AF183" s="28"/>
      <c r="AG183" s="32"/>
      <c r="AH183" s="27"/>
      <c r="AI183" s="29"/>
      <c r="AJ183" s="28"/>
      <c r="AK183" s="32"/>
      <c r="AL183" s="27"/>
      <c r="AM183" s="29"/>
      <c r="AN183" s="28"/>
      <c r="AO183" s="32"/>
      <c r="AP183" s="27"/>
      <c r="AQ183" s="29"/>
      <c r="AR183" s="28"/>
      <c r="AS183" s="32"/>
      <c r="AT183" s="27"/>
      <c r="AU183" s="29"/>
      <c r="AV183" s="28"/>
      <c r="AW183" s="32"/>
      <c r="AX183" s="27"/>
      <c r="AY183" s="29"/>
      <c r="AZ183" s="28"/>
      <c r="BA183" s="32"/>
      <c r="BB183" s="27"/>
      <c r="BC183" s="29"/>
      <c r="BD183" s="28"/>
      <c r="BE183" s="32"/>
      <c r="BF183" s="27"/>
      <c r="BG183" s="29"/>
      <c r="BH183" s="28"/>
      <c r="BI183" s="32"/>
      <c r="BJ183" s="27"/>
      <c r="BK183" s="29"/>
      <c r="BL183" s="28"/>
      <c r="BM183" s="32"/>
    </row>
    <row r="184" customFormat="false" ht="15.75" hidden="false" customHeight="true" outlineLevel="0" collapsed="false">
      <c r="A184" s="27"/>
      <c r="B184" s="39" t="str">
        <f aca="false">IFERROR(INDEX(Customers!$C$4:$C$1003,MATCH($A184,Customers!$A$4:$A$1003,0)),"")</f>
        <v/>
      </c>
      <c r="C184" s="31" t="str">
        <f aca="false">IFERROR(INDEX(Customers!$F$4:$F$1003,MATCH($A184,Customers!$A$4:$A$1003,0)),"")</f>
        <v/>
      </c>
      <c r="D184" s="33" t="str">
        <f aca="false">IFERROR(INDEX(Customers!$K$4:$K$1003,MATCH($A184,Customers!$A$4:$A$1003,0)),"")</f>
        <v/>
      </c>
      <c r="E184" s="33" t="str">
        <f aca="false">IF($A184="","",IF($F184=0,"Not Started",IF($BJ184="Completed",Settings!$U$45,IF($BF184="Completed",Settings!$U$44,IF($BB184="Completed",Settings!$U$43,IF($AX184="Completed",Settings!$U$42,IF($AT184="Completed",Settings!$U$41,IF($AP184="Completed",Settings!$U$40,IF($AL184="Completed",Settings!$U$39,IF($AH184="Completed",Settings!$U$38,IF($AD184="Completed",Settings!$U$37,IF($Z184="Completed",Settings!$U$36,IF($V184="Completed",Settings!$U$35,IF($R184="Completed",Settings!$U$34,IF($N184="Completed",Settings!$U$33,IF($J184="Completed",Settings!$U$32,""))))))))))))))))</f>
        <v/>
      </c>
      <c r="F184" s="30" t="str">
        <f aca="false">IF($A184="","",COUNTIF($J184:$BM184,"Completed"))</f>
        <v/>
      </c>
      <c r="G184" s="35" t="str">
        <f aca="false">IF($A184="","",MIN($F184/13,1))</f>
        <v/>
      </c>
      <c r="H184" s="31" t="str">
        <f aca="false">IF($A184="","",IF($BJ184="Completed","Case Completed",IF($AX184="Completed","Visa Rejected",IF($BF184="Completed","Departed to Europe",IF($F184=0,"Not Started","In Progress")))))</f>
        <v/>
      </c>
      <c r="I184" s="30" t="str">
        <f aca="true">IF($K184="","",IF($BK184&lt;&gt;"",$BK184-$K184,IF($AY184&lt;&gt;"",$AY184-$K184,TODAY()-$K184)))</f>
        <v/>
      </c>
      <c r="J184" s="27"/>
      <c r="K184" s="29"/>
      <c r="L184" s="28"/>
      <c r="M184" s="32"/>
      <c r="N184" s="27"/>
      <c r="O184" s="29"/>
      <c r="P184" s="28"/>
      <c r="Q184" s="32"/>
      <c r="R184" s="27"/>
      <c r="S184" s="29"/>
      <c r="T184" s="28"/>
      <c r="U184" s="32"/>
      <c r="V184" s="27"/>
      <c r="W184" s="29"/>
      <c r="X184" s="28"/>
      <c r="Y184" s="32"/>
      <c r="Z184" s="27"/>
      <c r="AA184" s="29"/>
      <c r="AB184" s="28"/>
      <c r="AC184" s="32"/>
      <c r="AD184" s="27"/>
      <c r="AE184" s="29"/>
      <c r="AF184" s="28"/>
      <c r="AG184" s="32"/>
      <c r="AH184" s="27"/>
      <c r="AI184" s="29"/>
      <c r="AJ184" s="28"/>
      <c r="AK184" s="32"/>
      <c r="AL184" s="27"/>
      <c r="AM184" s="29"/>
      <c r="AN184" s="28"/>
      <c r="AO184" s="32"/>
      <c r="AP184" s="27"/>
      <c r="AQ184" s="29"/>
      <c r="AR184" s="28"/>
      <c r="AS184" s="32"/>
      <c r="AT184" s="27"/>
      <c r="AU184" s="29"/>
      <c r="AV184" s="28"/>
      <c r="AW184" s="32"/>
      <c r="AX184" s="27"/>
      <c r="AY184" s="29"/>
      <c r="AZ184" s="28"/>
      <c r="BA184" s="32"/>
      <c r="BB184" s="27"/>
      <c r="BC184" s="29"/>
      <c r="BD184" s="28"/>
      <c r="BE184" s="32"/>
      <c r="BF184" s="27"/>
      <c r="BG184" s="29"/>
      <c r="BH184" s="28"/>
      <c r="BI184" s="32"/>
      <c r="BJ184" s="27"/>
      <c r="BK184" s="29"/>
      <c r="BL184" s="28"/>
      <c r="BM184" s="32"/>
    </row>
    <row r="185" customFormat="false" ht="15.75" hidden="false" customHeight="true" outlineLevel="0" collapsed="false">
      <c r="A185" s="27"/>
      <c r="B185" s="39" t="str">
        <f aca="false">IFERROR(INDEX(Customers!$C$4:$C$1003,MATCH($A185,Customers!$A$4:$A$1003,0)),"")</f>
        <v/>
      </c>
      <c r="C185" s="31" t="str">
        <f aca="false">IFERROR(INDEX(Customers!$F$4:$F$1003,MATCH($A185,Customers!$A$4:$A$1003,0)),"")</f>
        <v/>
      </c>
      <c r="D185" s="33" t="str">
        <f aca="false">IFERROR(INDEX(Customers!$K$4:$K$1003,MATCH($A185,Customers!$A$4:$A$1003,0)),"")</f>
        <v/>
      </c>
      <c r="E185" s="33" t="str">
        <f aca="false">IF($A185="","",IF($F185=0,"Not Started",IF($BJ185="Completed",Settings!$U$45,IF($BF185="Completed",Settings!$U$44,IF($BB185="Completed",Settings!$U$43,IF($AX185="Completed",Settings!$U$42,IF($AT185="Completed",Settings!$U$41,IF($AP185="Completed",Settings!$U$40,IF($AL185="Completed",Settings!$U$39,IF($AH185="Completed",Settings!$U$38,IF($AD185="Completed",Settings!$U$37,IF($Z185="Completed",Settings!$U$36,IF($V185="Completed",Settings!$U$35,IF($R185="Completed",Settings!$U$34,IF($N185="Completed",Settings!$U$33,IF($J185="Completed",Settings!$U$32,""))))))))))))))))</f>
        <v/>
      </c>
      <c r="F185" s="30" t="str">
        <f aca="false">IF($A185="","",COUNTIF($J185:$BM185,"Completed"))</f>
        <v/>
      </c>
      <c r="G185" s="35" t="str">
        <f aca="false">IF($A185="","",MIN($F185/13,1))</f>
        <v/>
      </c>
      <c r="H185" s="31" t="str">
        <f aca="false">IF($A185="","",IF($BJ185="Completed","Case Completed",IF($AX185="Completed","Visa Rejected",IF($BF185="Completed","Departed to Europe",IF($F185=0,"Not Started","In Progress")))))</f>
        <v/>
      </c>
      <c r="I185" s="30" t="str">
        <f aca="true">IF($K185="","",IF($BK185&lt;&gt;"",$BK185-$K185,IF($AY185&lt;&gt;"",$AY185-$K185,TODAY()-$K185)))</f>
        <v/>
      </c>
      <c r="J185" s="27"/>
      <c r="K185" s="29"/>
      <c r="L185" s="28"/>
      <c r="M185" s="32"/>
      <c r="N185" s="27"/>
      <c r="O185" s="29"/>
      <c r="P185" s="28"/>
      <c r="Q185" s="32"/>
      <c r="R185" s="27"/>
      <c r="S185" s="29"/>
      <c r="T185" s="28"/>
      <c r="U185" s="32"/>
      <c r="V185" s="27"/>
      <c r="W185" s="29"/>
      <c r="X185" s="28"/>
      <c r="Y185" s="32"/>
      <c r="Z185" s="27"/>
      <c r="AA185" s="29"/>
      <c r="AB185" s="28"/>
      <c r="AC185" s="32"/>
      <c r="AD185" s="27"/>
      <c r="AE185" s="29"/>
      <c r="AF185" s="28"/>
      <c r="AG185" s="32"/>
      <c r="AH185" s="27"/>
      <c r="AI185" s="29"/>
      <c r="AJ185" s="28"/>
      <c r="AK185" s="32"/>
      <c r="AL185" s="27"/>
      <c r="AM185" s="29"/>
      <c r="AN185" s="28"/>
      <c r="AO185" s="32"/>
      <c r="AP185" s="27"/>
      <c r="AQ185" s="29"/>
      <c r="AR185" s="28"/>
      <c r="AS185" s="32"/>
      <c r="AT185" s="27"/>
      <c r="AU185" s="29"/>
      <c r="AV185" s="28"/>
      <c r="AW185" s="32"/>
      <c r="AX185" s="27"/>
      <c r="AY185" s="29"/>
      <c r="AZ185" s="28"/>
      <c r="BA185" s="32"/>
      <c r="BB185" s="27"/>
      <c r="BC185" s="29"/>
      <c r="BD185" s="28"/>
      <c r="BE185" s="32"/>
      <c r="BF185" s="27"/>
      <c r="BG185" s="29"/>
      <c r="BH185" s="28"/>
      <c r="BI185" s="32"/>
      <c r="BJ185" s="27"/>
      <c r="BK185" s="29"/>
      <c r="BL185" s="28"/>
      <c r="BM185" s="32"/>
    </row>
    <row r="186" customFormat="false" ht="15.75" hidden="false" customHeight="true" outlineLevel="0" collapsed="false">
      <c r="A186" s="27"/>
      <c r="B186" s="39" t="str">
        <f aca="false">IFERROR(INDEX(Customers!$C$4:$C$1003,MATCH($A186,Customers!$A$4:$A$1003,0)),"")</f>
        <v/>
      </c>
      <c r="C186" s="31" t="str">
        <f aca="false">IFERROR(INDEX(Customers!$F$4:$F$1003,MATCH($A186,Customers!$A$4:$A$1003,0)),"")</f>
        <v/>
      </c>
      <c r="D186" s="33" t="str">
        <f aca="false">IFERROR(INDEX(Customers!$K$4:$K$1003,MATCH($A186,Customers!$A$4:$A$1003,0)),"")</f>
        <v/>
      </c>
      <c r="E186" s="33" t="str">
        <f aca="false">IF($A186="","",IF($F186=0,"Not Started",IF($BJ186="Completed",Settings!$U$45,IF($BF186="Completed",Settings!$U$44,IF($BB186="Completed",Settings!$U$43,IF($AX186="Completed",Settings!$U$42,IF($AT186="Completed",Settings!$U$41,IF($AP186="Completed",Settings!$U$40,IF($AL186="Completed",Settings!$U$39,IF($AH186="Completed",Settings!$U$38,IF($AD186="Completed",Settings!$U$37,IF($Z186="Completed",Settings!$U$36,IF($V186="Completed",Settings!$U$35,IF($R186="Completed",Settings!$U$34,IF($N186="Completed",Settings!$U$33,IF($J186="Completed",Settings!$U$32,""))))))))))))))))</f>
        <v/>
      </c>
      <c r="F186" s="30" t="str">
        <f aca="false">IF($A186="","",COUNTIF($J186:$BM186,"Completed"))</f>
        <v/>
      </c>
      <c r="G186" s="35" t="str">
        <f aca="false">IF($A186="","",MIN($F186/13,1))</f>
        <v/>
      </c>
      <c r="H186" s="31" t="str">
        <f aca="false">IF($A186="","",IF($BJ186="Completed","Case Completed",IF($AX186="Completed","Visa Rejected",IF($BF186="Completed","Departed to Europe",IF($F186=0,"Not Started","In Progress")))))</f>
        <v/>
      </c>
      <c r="I186" s="30" t="str">
        <f aca="true">IF($K186="","",IF($BK186&lt;&gt;"",$BK186-$K186,IF($AY186&lt;&gt;"",$AY186-$K186,TODAY()-$K186)))</f>
        <v/>
      </c>
      <c r="J186" s="27"/>
      <c r="K186" s="29"/>
      <c r="L186" s="28"/>
      <c r="M186" s="32"/>
      <c r="N186" s="27"/>
      <c r="O186" s="29"/>
      <c r="P186" s="28"/>
      <c r="Q186" s="32"/>
      <c r="R186" s="27"/>
      <c r="S186" s="29"/>
      <c r="T186" s="28"/>
      <c r="U186" s="32"/>
      <c r="V186" s="27"/>
      <c r="W186" s="29"/>
      <c r="X186" s="28"/>
      <c r="Y186" s="32"/>
      <c r="Z186" s="27"/>
      <c r="AA186" s="29"/>
      <c r="AB186" s="28"/>
      <c r="AC186" s="32"/>
      <c r="AD186" s="27"/>
      <c r="AE186" s="29"/>
      <c r="AF186" s="28"/>
      <c r="AG186" s="32"/>
      <c r="AH186" s="27"/>
      <c r="AI186" s="29"/>
      <c r="AJ186" s="28"/>
      <c r="AK186" s="32"/>
      <c r="AL186" s="27"/>
      <c r="AM186" s="29"/>
      <c r="AN186" s="28"/>
      <c r="AO186" s="32"/>
      <c r="AP186" s="27"/>
      <c r="AQ186" s="29"/>
      <c r="AR186" s="28"/>
      <c r="AS186" s="32"/>
      <c r="AT186" s="27"/>
      <c r="AU186" s="29"/>
      <c r="AV186" s="28"/>
      <c r="AW186" s="32"/>
      <c r="AX186" s="27"/>
      <c r="AY186" s="29"/>
      <c r="AZ186" s="28"/>
      <c r="BA186" s="32"/>
      <c r="BB186" s="27"/>
      <c r="BC186" s="29"/>
      <c r="BD186" s="28"/>
      <c r="BE186" s="32"/>
      <c r="BF186" s="27"/>
      <c r="BG186" s="29"/>
      <c r="BH186" s="28"/>
      <c r="BI186" s="32"/>
      <c r="BJ186" s="27"/>
      <c r="BK186" s="29"/>
      <c r="BL186" s="28"/>
      <c r="BM186" s="32"/>
    </row>
    <row r="187" customFormat="false" ht="15.75" hidden="false" customHeight="true" outlineLevel="0" collapsed="false">
      <c r="A187" s="27"/>
      <c r="B187" s="39" t="str">
        <f aca="false">IFERROR(INDEX(Customers!$C$4:$C$1003,MATCH($A187,Customers!$A$4:$A$1003,0)),"")</f>
        <v/>
      </c>
      <c r="C187" s="31" t="str">
        <f aca="false">IFERROR(INDEX(Customers!$F$4:$F$1003,MATCH($A187,Customers!$A$4:$A$1003,0)),"")</f>
        <v/>
      </c>
      <c r="D187" s="33" t="str">
        <f aca="false">IFERROR(INDEX(Customers!$K$4:$K$1003,MATCH($A187,Customers!$A$4:$A$1003,0)),"")</f>
        <v/>
      </c>
      <c r="E187" s="33" t="str">
        <f aca="false">IF($A187="","",IF($F187=0,"Not Started",IF($BJ187="Completed",Settings!$U$45,IF($BF187="Completed",Settings!$U$44,IF($BB187="Completed",Settings!$U$43,IF($AX187="Completed",Settings!$U$42,IF($AT187="Completed",Settings!$U$41,IF($AP187="Completed",Settings!$U$40,IF($AL187="Completed",Settings!$U$39,IF($AH187="Completed",Settings!$U$38,IF($AD187="Completed",Settings!$U$37,IF($Z187="Completed",Settings!$U$36,IF($V187="Completed",Settings!$U$35,IF($R187="Completed",Settings!$U$34,IF($N187="Completed",Settings!$U$33,IF($J187="Completed",Settings!$U$32,""))))))))))))))))</f>
        <v/>
      </c>
      <c r="F187" s="30" t="str">
        <f aca="false">IF($A187="","",COUNTIF($J187:$BM187,"Completed"))</f>
        <v/>
      </c>
      <c r="G187" s="35" t="str">
        <f aca="false">IF($A187="","",MIN($F187/13,1))</f>
        <v/>
      </c>
      <c r="H187" s="31" t="str">
        <f aca="false">IF($A187="","",IF($BJ187="Completed","Case Completed",IF($AX187="Completed","Visa Rejected",IF($BF187="Completed","Departed to Europe",IF($F187=0,"Not Started","In Progress")))))</f>
        <v/>
      </c>
      <c r="I187" s="30" t="str">
        <f aca="true">IF($K187="","",IF($BK187&lt;&gt;"",$BK187-$K187,IF($AY187&lt;&gt;"",$AY187-$K187,TODAY()-$K187)))</f>
        <v/>
      </c>
      <c r="J187" s="27"/>
      <c r="K187" s="29"/>
      <c r="L187" s="28"/>
      <c r="M187" s="32"/>
      <c r="N187" s="27"/>
      <c r="O187" s="29"/>
      <c r="P187" s="28"/>
      <c r="Q187" s="32"/>
      <c r="R187" s="27"/>
      <c r="S187" s="29"/>
      <c r="T187" s="28"/>
      <c r="U187" s="32"/>
      <c r="V187" s="27"/>
      <c r="W187" s="29"/>
      <c r="X187" s="28"/>
      <c r="Y187" s="32"/>
      <c r="Z187" s="27"/>
      <c r="AA187" s="29"/>
      <c r="AB187" s="28"/>
      <c r="AC187" s="32"/>
      <c r="AD187" s="27"/>
      <c r="AE187" s="29"/>
      <c r="AF187" s="28"/>
      <c r="AG187" s="32"/>
      <c r="AH187" s="27"/>
      <c r="AI187" s="29"/>
      <c r="AJ187" s="28"/>
      <c r="AK187" s="32"/>
      <c r="AL187" s="27"/>
      <c r="AM187" s="29"/>
      <c r="AN187" s="28"/>
      <c r="AO187" s="32"/>
      <c r="AP187" s="27"/>
      <c r="AQ187" s="29"/>
      <c r="AR187" s="28"/>
      <c r="AS187" s="32"/>
      <c r="AT187" s="27"/>
      <c r="AU187" s="29"/>
      <c r="AV187" s="28"/>
      <c r="AW187" s="32"/>
      <c r="AX187" s="27"/>
      <c r="AY187" s="29"/>
      <c r="AZ187" s="28"/>
      <c r="BA187" s="32"/>
      <c r="BB187" s="27"/>
      <c r="BC187" s="29"/>
      <c r="BD187" s="28"/>
      <c r="BE187" s="32"/>
      <c r="BF187" s="27"/>
      <c r="BG187" s="29"/>
      <c r="BH187" s="28"/>
      <c r="BI187" s="32"/>
      <c r="BJ187" s="27"/>
      <c r="BK187" s="29"/>
      <c r="BL187" s="28"/>
      <c r="BM187" s="32"/>
    </row>
    <row r="188" customFormat="false" ht="15.75" hidden="false" customHeight="true" outlineLevel="0" collapsed="false">
      <c r="A188" s="27"/>
      <c r="B188" s="39" t="str">
        <f aca="false">IFERROR(INDEX(Customers!$C$4:$C$1003,MATCH($A188,Customers!$A$4:$A$1003,0)),"")</f>
        <v/>
      </c>
      <c r="C188" s="31" t="str">
        <f aca="false">IFERROR(INDEX(Customers!$F$4:$F$1003,MATCH($A188,Customers!$A$4:$A$1003,0)),"")</f>
        <v/>
      </c>
      <c r="D188" s="33" t="str">
        <f aca="false">IFERROR(INDEX(Customers!$K$4:$K$1003,MATCH($A188,Customers!$A$4:$A$1003,0)),"")</f>
        <v/>
      </c>
      <c r="E188" s="33" t="str">
        <f aca="false">IF($A188="","",IF($F188=0,"Not Started",IF($BJ188="Completed",Settings!$U$45,IF($BF188="Completed",Settings!$U$44,IF($BB188="Completed",Settings!$U$43,IF($AX188="Completed",Settings!$U$42,IF($AT188="Completed",Settings!$U$41,IF($AP188="Completed",Settings!$U$40,IF($AL188="Completed",Settings!$U$39,IF($AH188="Completed",Settings!$U$38,IF($AD188="Completed",Settings!$U$37,IF($Z188="Completed",Settings!$U$36,IF($V188="Completed",Settings!$U$35,IF($R188="Completed",Settings!$U$34,IF($N188="Completed",Settings!$U$33,IF($J188="Completed",Settings!$U$32,""))))))))))))))))</f>
        <v/>
      </c>
      <c r="F188" s="30" t="str">
        <f aca="false">IF($A188="","",COUNTIF($J188:$BM188,"Completed"))</f>
        <v/>
      </c>
      <c r="G188" s="35" t="str">
        <f aca="false">IF($A188="","",MIN($F188/13,1))</f>
        <v/>
      </c>
      <c r="H188" s="31" t="str">
        <f aca="false">IF($A188="","",IF($BJ188="Completed","Case Completed",IF($AX188="Completed","Visa Rejected",IF($BF188="Completed","Departed to Europe",IF($F188=0,"Not Started","In Progress")))))</f>
        <v/>
      </c>
      <c r="I188" s="30" t="str">
        <f aca="true">IF($K188="","",IF($BK188&lt;&gt;"",$BK188-$K188,IF($AY188&lt;&gt;"",$AY188-$K188,TODAY()-$K188)))</f>
        <v/>
      </c>
      <c r="J188" s="27"/>
      <c r="K188" s="29"/>
      <c r="L188" s="28"/>
      <c r="M188" s="32"/>
      <c r="N188" s="27"/>
      <c r="O188" s="29"/>
      <c r="P188" s="28"/>
      <c r="Q188" s="32"/>
      <c r="R188" s="27"/>
      <c r="S188" s="29"/>
      <c r="T188" s="28"/>
      <c r="U188" s="32"/>
      <c r="V188" s="27"/>
      <c r="W188" s="29"/>
      <c r="X188" s="28"/>
      <c r="Y188" s="32"/>
      <c r="Z188" s="27"/>
      <c r="AA188" s="29"/>
      <c r="AB188" s="28"/>
      <c r="AC188" s="32"/>
      <c r="AD188" s="27"/>
      <c r="AE188" s="29"/>
      <c r="AF188" s="28"/>
      <c r="AG188" s="32"/>
      <c r="AH188" s="27"/>
      <c r="AI188" s="29"/>
      <c r="AJ188" s="28"/>
      <c r="AK188" s="32"/>
      <c r="AL188" s="27"/>
      <c r="AM188" s="29"/>
      <c r="AN188" s="28"/>
      <c r="AO188" s="32"/>
      <c r="AP188" s="27"/>
      <c r="AQ188" s="29"/>
      <c r="AR188" s="28"/>
      <c r="AS188" s="32"/>
      <c r="AT188" s="27"/>
      <c r="AU188" s="29"/>
      <c r="AV188" s="28"/>
      <c r="AW188" s="32"/>
      <c r="AX188" s="27"/>
      <c r="AY188" s="29"/>
      <c r="AZ188" s="28"/>
      <c r="BA188" s="32"/>
      <c r="BB188" s="27"/>
      <c r="BC188" s="29"/>
      <c r="BD188" s="28"/>
      <c r="BE188" s="32"/>
      <c r="BF188" s="27"/>
      <c r="BG188" s="29"/>
      <c r="BH188" s="28"/>
      <c r="BI188" s="32"/>
      <c r="BJ188" s="27"/>
      <c r="BK188" s="29"/>
      <c r="BL188" s="28"/>
      <c r="BM188" s="32"/>
    </row>
    <row r="189" customFormat="false" ht="15.75" hidden="false" customHeight="true" outlineLevel="0" collapsed="false">
      <c r="A189" s="27"/>
      <c r="B189" s="39" t="str">
        <f aca="false">IFERROR(INDEX(Customers!$C$4:$C$1003,MATCH($A189,Customers!$A$4:$A$1003,0)),"")</f>
        <v/>
      </c>
      <c r="C189" s="31" t="str">
        <f aca="false">IFERROR(INDEX(Customers!$F$4:$F$1003,MATCH($A189,Customers!$A$4:$A$1003,0)),"")</f>
        <v/>
      </c>
      <c r="D189" s="33" t="str">
        <f aca="false">IFERROR(INDEX(Customers!$K$4:$K$1003,MATCH($A189,Customers!$A$4:$A$1003,0)),"")</f>
        <v/>
      </c>
      <c r="E189" s="33" t="str">
        <f aca="false">IF($A189="","",IF($F189=0,"Not Started",IF($BJ189="Completed",Settings!$U$45,IF($BF189="Completed",Settings!$U$44,IF($BB189="Completed",Settings!$U$43,IF($AX189="Completed",Settings!$U$42,IF($AT189="Completed",Settings!$U$41,IF($AP189="Completed",Settings!$U$40,IF($AL189="Completed",Settings!$U$39,IF($AH189="Completed",Settings!$U$38,IF($AD189="Completed",Settings!$U$37,IF($Z189="Completed",Settings!$U$36,IF($V189="Completed",Settings!$U$35,IF($R189="Completed",Settings!$U$34,IF($N189="Completed",Settings!$U$33,IF($J189="Completed",Settings!$U$32,""))))))))))))))))</f>
        <v/>
      </c>
      <c r="F189" s="30" t="str">
        <f aca="false">IF($A189="","",COUNTIF($J189:$BM189,"Completed"))</f>
        <v/>
      </c>
      <c r="G189" s="35" t="str">
        <f aca="false">IF($A189="","",MIN($F189/13,1))</f>
        <v/>
      </c>
      <c r="H189" s="31" t="str">
        <f aca="false">IF($A189="","",IF($BJ189="Completed","Case Completed",IF($AX189="Completed","Visa Rejected",IF($BF189="Completed","Departed to Europe",IF($F189=0,"Not Started","In Progress")))))</f>
        <v/>
      </c>
      <c r="I189" s="30" t="str">
        <f aca="true">IF($K189="","",IF($BK189&lt;&gt;"",$BK189-$K189,IF($AY189&lt;&gt;"",$AY189-$K189,TODAY()-$K189)))</f>
        <v/>
      </c>
      <c r="J189" s="27"/>
      <c r="K189" s="29"/>
      <c r="L189" s="28"/>
      <c r="M189" s="32"/>
      <c r="N189" s="27"/>
      <c r="O189" s="29"/>
      <c r="P189" s="28"/>
      <c r="Q189" s="32"/>
      <c r="R189" s="27"/>
      <c r="S189" s="29"/>
      <c r="T189" s="28"/>
      <c r="U189" s="32"/>
      <c r="V189" s="27"/>
      <c r="W189" s="29"/>
      <c r="X189" s="28"/>
      <c r="Y189" s="32"/>
      <c r="Z189" s="27"/>
      <c r="AA189" s="29"/>
      <c r="AB189" s="28"/>
      <c r="AC189" s="32"/>
      <c r="AD189" s="27"/>
      <c r="AE189" s="29"/>
      <c r="AF189" s="28"/>
      <c r="AG189" s="32"/>
      <c r="AH189" s="27"/>
      <c r="AI189" s="29"/>
      <c r="AJ189" s="28"/>
      <c r="AK189" s="32"/>
      <c r="AL189" s="27"/>
      <c r="AM189" s="29"/>
      <c r="AN189" s="28"/>
      <c r="AO189" s="32"/>
      <c r="AP189" s="27"/>
      <c r="AQ189" s="29"/>
      <c r="AR189" s="28"/>
      <c r="AS189" s="32"/>
      <c r="AT189" s="27"/>
      <c r="AU189" s="29"/>
      <c r="AV189" s="28"/>
      <c r="AW189" s="32"/>
      <c r="AX189" s="27"/>
      <c r="AY189" s="29"/>
      <c r="AZ189" s="28"/>
      <c r="BA189" s="32"/>
      <c r="BB189" s="27"/>
      <c r="BC189" s="29"/>
      <c r="BD189" s="28"/>
      <c r="BE189" s="32"/>
      <c r="BF189" s="27"/>
      <c r="BG189" s="29"/>
      <c r="BH189" s="28"/>
      <c r="BI189" s="32"/>
      <c r="BJ189" s="27"/>
      <c r="BK189" s="29"/>
      <c r="BL189" s="28"/>
      <c r="BM189" s="32"/>
    </row>
    <row r="190" customFormat="false" ht="15.75" hidden="false" customHeight="true" outlineLevel="0" collapsed="false">
      <c r="A190" s="27"/>
      <c r="B190" s="39" t="str">
        <f aca="false">IFERROR(INDEX(Customers!$C$4:$C$1003,MATCH($A190,Customers!$A$4:$A$1003,0)),"")</f>
        <v/>
      </c>
      <c r="C190" s="31" t="str">
        <f aca="false">IFERROR(INDEX(Customers!$F$4:$F$1003,MATCH($A190,Customers!$A$4:$A$1003,0)),"")</f>
        <v/>
      </c>
      <c r="D190" s="33" t="str">
        <f aca="false">IFERROR(INDEX(Customers!$K$4:$K$1003,MATCH($A190,Customers!$A$4:$A$1003,0)),"")</f>
        <v/>
      </c>
      <c r="E190" s="33" t="str">
        <f aca="false">IF($A190="","",IF($F190=0,"Not Started",IF($BJ190="Completed",Settings!$U$45,IF($BF190="Completed",Settings!$U$44,IF($BB190="Completed",Settings!$U$43,IF($AX190="Completed",Settings!$U$42,IF($AT190="Completed",Settings!$U$41,IF($AP190="Completed",Settings!$U$40,IF($AL190="Completed",Settings!$U$39,IF($AH190="Completed",Settings!$U$38,IF($AD190="Completed",Settings!$U$37,IF($Z190="Completed",Settings!$U$36,IF($V190="Completed",Settings!$U$35,IF($R190="Completed",Settings!$U$34,IF($N190="Completed",Settings!$U$33,IF($J190="Completed",Settings!$U$32,""))))))))))))))))</f>
        <v/>
      </c>
      <c r="F190" s="30" t="str">
        <f aca="false">IF($A190="","",COUNTIF($J190:$BM190,"Completed"))</f>
        <v/>
      </c>
      <c r="G190" s="35" t="str">
        <f aca="false">IF($A190="","",MIN($F190/13,1))</f>
        <v/>
      </c>
      <c r="H190" s="31" t="str">
        <f aca="false">IF($A190="","",IF($BJ190="Completed","Case Completed",IF($AX190="Completed","Visa Rejected",IF($BF190="Completed","Departed to Europe",IF($F190=0,"Not Started","In Progress")))))</f>
        <v/>
      </c>
      <c r="I190" s="30" t="str">
        <f aca="true">IF($K190="","",IF($BK190&lt;&gt;"",$BK190-$K190,IF($AY190&lt;&gt;"",$AY190-$K190,TODAY()-$K190)))</f>
        <v/>
      </c>
      <c r="J190" s="27"/>
      <c r="K190" s="29"/>
      <c r="L190" s="28"/>
      <c r="M190" s="32"/>
      <c r="N190" s="27"/>
      <c r="O190" s="29"/>
      <c r="P190" s="28"/>
      <c r="Q190" s="32"/>
      <c r="R190" s="27"/>
      <c r="S190" s="29"/>
      <c r="T190" s="28"/>
      <c r="U190" s="32"/>
      <c r="V190" s="27"/>
      <c r="W190" s="29"/>
      <c r="X190" s="28"/>
      <c r="Y190" s="32"/>
      <c r="Z190" s="27"/>
      <c r="AA190" s="29"/>
      <c r="AB190" s="28"/>
      <c r="AC190" s="32"/>
      <c r="AD190" s="27"/>
      <c r="AE190" s="29"/>
      <c r="AF190" s="28"/>
      <c r="AG190" s="32"/>
      <c r="AH190" s="27"/>
      <c r="AI190" s="29"/>
      <c r="AJ190" s="28"/>
      <c r="AK190" s="32"/>
      <c r="AL190" s="27"/>
      <c r="AM190" s="29"/>
      <c r="AN190" s="28"/>
      <c r="AO190" s="32"/>
      <c r="AP190" s="27"/>
      <c r="AQ190" s="29"/>
      <c r="AR190" s="28"/>
      <c r="AS190" s="32"/>
      <c r="AT190" s="27"/>
      <c r="AU190" s="29"/>
      <c r="AV190" s="28"/>
      <c r="AW190" s="32"/>
      <c r="AX190" s="27"/>
      <c r="AY190" s="29"/>
      <c r="AZ190" s="28"/>
      <c r="BA190" s="32"/>
      <c r="BB190" s="27"/>
      <c r="BC190" s="29"/>
      <c r="BD190" s="28"/>
      <c r="BE190" s="32"/>
      <c r="BF190" s="27"/>
      <c r="BG190" s="29"/>
      <c r="BH190" s="28"/>
      <c r="BI190" s="32"/>
      <c r="BJ190" s="27"/>
      <c r="BK190" s="29"/>
      <c r="BL190" s="28"/>
      <c r="BM190" s="32"/>
    </row>
    <row r="191" customFormat="false" ht="15.75" hidden="false" customHeight="true" outlineLevel="0" collapsed="false">
      <c r="A191" s="27"/>
      <c r="B191" s="39" t="str">
        <f aca="false">IFERROR(INDEX(Customers!$C$4:$C$1003,MATCH($A191,Customers!$A$4:$A$1003,0)),"")</f>
        <v/>
      </c>
      <c r="C191" s="31" t="str">
        <f aca="false">IFERROR(INDEX(Customers!$F$4:$F$1003,MATCH($A191,Customers!$A$4:$A$1003,0)),"")</f>
        <v/>
      </c>
      <c r="D191" s="33" t="str">
        <f aca="false">IFERROR(INDEX(Customers!$K$4:$K$1003,MATCH($A191,Customers!$A$4:$A$1003,0)),"")</f>
        <v/>
      </c>
      <c r="E191" s="33" t="str">
        <f aca="false">IF($A191="","",IF($F191=0,"Not Started",IF($BJ191="Completed",Settings!$U$45,IF($BF191="Completed",Settings!$U$44,IF($BB191="Completed",Settings!$U$43,IF($AX191="Completed",Settings!$U$42,IF($AT191="Completed",Settings!$U$41,IF($AP191="Completed",Settings!$U$40,IF($AL191="Completed",Settings!$U$39,IF($AH191="Completed",Settings!$U$38,IF($AD191="Completed",Settings!$U$37,IF($Z191="Completed",Settings!$U$36,IF($V191="Completed",Settings!$U$35,IF($R191="Completed",Settings!$U$34,IF($N191="Completed",Settings!$U$33,IF($J191="Completed",Settings!$U$32,""))))))))))))))))</f>
        <v/>
      </c>
      <c r="F191" s="30" t="str">
        <f aca="false">IF($A191="","",COUNTIF($J191:$BM191,"Completed"))</f>
        <v/>
      </c>
      <c r="G191" s="35" t="str">
        <f aca="false">IF($A191="","",MIN($F191/13,1))</f>
        <v/>
      </c>
      <c r="H191" s="31" t="str">
        <f aca="false">IF($A191="","",IF($BJ191="Completed","Case Completed",IF($AX191="Completed","Visa Rejected",IF($BF191="Completed","Departed to Europe",IF($F191=0,"Not Started","In Progress")))))</f>
        <v/>
      </c>
      <c r="I191" s="30" t="str">
        <f aca="true">IF($K191="","",IF($BK191&lt;&gt;"",$BK191-$K191,IF($AY191&lt;&gt;"",$AY191-$K191,TODAY()-$K191)))</f>
        <v/>
      </c>
      <c r="J191" s="27"/>
      <c r="K191" s="29"/>
      <c r="L191" s="28"/>
      <c r="M191" s="32"/>
      <c r="N191" s="27"/>
      <c r="O191" s="29"/>
      <c r="P191" s="28"/>
      <c r="Q191" s="32"/>
      <c r="R191" s="27"/>
      <c r="S191" s="29"/>
      <c r="T191" s="28"/>
      <c r="U191" s="32"/>
      <c r="V191" s="27"/>
      <c r="W191" s="29"/>
      <c r="X191" s="28"/>
      <c r="Y191" s="32"/>
      <c r="Z191" s="27"/>
      <c r="AA191" s="29"/>
      <c r="AB191" s="28"/>
      <c r="AC191" s="32"/>
      <c r="AD191" s="27"/>
      <c r="AE191" s="29"/>
      <c r="AF191" s="28"/>
      <c r="AG191" s="32"/>
      <c r="AH191" s="27"/>
      <c r="AI191" s="29"/>
      <c r="AJ191" s="28"/>
      <c r="AK191" s="32"/>
      <c r="AL191" s="27"/>
      <c r="AM191" s="29"/>
      <c r="AN191" s="28"/>
      <c r="AO191" s="32"/>
      <c r="AP191" s="27"/>
      <c r="AQ191" s="29"/>
      <c r="AR191" s="28"/>
      <c r="AS191" s="32"/>
      <c r="AT191" s="27"/>
      <c r="AU191" s="29"/>
      <c r="AV191" s="28"/>
      <c r="AW191" s="32"/>
      <c r="AX191" s="27"/>
      <c r="AY191" s="29"/>
      <c r="AZ191" s="28"/>
      <c r="BA191" s="32"/>
      <c r="BB191" s="27"/>
      <c r="BC191" s="29"/>
      <c r="BD191" s="28"/>
      <c r="BE191" s="32"/>
      <c r="BF191" s="27"/>
      <c r="BG191" s="29"/>
      <c r="BH191" s="28"/>
      <c r="BI191" s="32"/>
      <c r="BJ191" s="27"/>
      <c r="BK191" s="29"/>
      <c r="BL191" s="28"/>
      <c r="BM191" s="32"/>
    </row>
    <row r="192" customFormat="false" ht="15.75" hidden="false" customHeight="true" outlineLevel="0" collapsed="false">
      <c r="A192" s="27"/>
      <c r="B192" s="39" t="str">
        <f aca="false">IFERROR(INDEX(Customers!$C$4:$C$1003,MATCH($A192,Customers!$A$4:$A$1003,0)),"")</f>
        <v/>
      </c>
      <c r="C192" s="31" t="str">
        <f aca="false">IFERROR(INDEX(Customers!$F$4:$F$1003,MATCH($A192,Customers!$A$4:$A$1003,0)),"")</f>
        <v/>
      </c>
      <c r="D192" s="33" t="str">
        <f aca="false">IFERROR(INDEX(Customers!$K$4:$K$1003,MATCH($A192,Customers!$A$4:$A$1003,0)),"")</f>
        <v/>
      </c>
      <c r="E192" s="33" t="str">
        <f aca="false">IF($A192="","",IF($F192=0,"Not Started",IF($BJ192="Completed",Settings!$U$45,IF($BF192="Completed",Settings!$U$44,IF($BB192="Completed",Settings!$U$43,IF($AX192="Completed",Settings!$U$42,IF($AT192="Completed",Settings!$U$41,IF($AP192="Completed",Settings!$U$40,IF($AL192="Completed",Settings!$U$39,IF($AH192="Completed",Settings!$U$38,IF($AD192="Completed",Settings!$U$37,IF($Z192="Completed",Settings!$U$36,IF($V192="Completed",Settings!$U$35,IF($R192="Completed",Settings!$U$34,IF($N192="Completed",Settings!$U$33,IF($J192="Completed",Settings!$U$32,""))))))))))))))))</f>
        <v/>
      </c>
      <c r="F192" s="30" t="str">
        <f aca="false">IF($A192="","",COUNTIF($J192:$BM192,"Completed"))</f>
        <v/>
      </c>
      <c r="G192" s="35" t="str">
        <f aca="false">IF($A192="","",MIN($F192/13,1))</f>
        <v/>
      </c>
      <c r="H192" s="31" t="str">
        <f aca="false">IF($A192="","",IF($BJ192="Completed","Case Completed",IF($AX192="Completed","Visa Rejected",IF($BF192="Completed","Departed to Europe",IF($F192=0,"Not Started","In Progress")))))</f>
        <v/>
      </c>
      <c r="I192" s="30" t="str">
        <f aca="true">IF($K192="","",IF($BK192&lt;&gt;"",$BK192-$K192,IF($AY192&lt;&gt;"",$AY192-$K192,TODAY()-$K192)))</f>
        <v/>
      </c>
      <c r="J192" s="27"/>
      <c r="K192" s="29"/>
      <c r="L192" s="28"/>
      <c r="M192" s="32"/>
      <c r="N192" s="27"/>
      <c r="O192" s="29"/>
      <c r="P192" s="28"/>
      <c r="Q192" s="32"/>
      <c r="R192" s="27"/>
      <c r="S192" s="29"/>
      <c r="T192" s="28"/>
      <c r="U192" s="32"/>
      <c r="V192" s="27"/>
      <c r="W192" s="29"/>
      <c r="X192" s="28"/>
      <c r="Y192" s="32"/>
      <c r="Z192" s="27"/>
      <c r="AA192" s="29"/>
      <c r="AB192" s="28"/>
      <c r="AC192" s="32"/>
      <c r="AD192" s="27"/>
      <c r="AE192" s="29"/>
      <c r="AF192" s="28"/>
      <c r="AG192" s="32"/>
      <c r="AH192" s="27"/>
      <c r="AI192" s="29"/>
      <c r="AJ192" s="28"/>
      <c r="AK192" s="32"/>
      <c r="AL192" s="27"/>
      <c r="AM192" s="29"/>
      <c r="AN192" s="28"/>
      <c r="AO192" s="32"/>
      <c r="AP192" s="27"/>
      <c r="AQ192" s="29"/>
      <c r="AR192" s="28"/>
      <c r="AS192" s="32"/>
      <c r="AT192" s="27"/>
      <c r="AU192" s="29"/>
      <c r="AV192" s="28"/>
      <c r="AW192" s="32"/>
      <c r="AX192" s="27"/>
      <c r="AY192" s="29"/>
      <c r="AZ192" s="28"/>
      <c r="BA192" s="32"/>
      <c r="BB192" s="27"/>
      <c r="BC192" s="29"/>
      <c r="BD192" s="28"/>
      <c r="BE192" s="32"/>
      <c r="BF192" s="27"/>
      <c r="BG192" s="29"/>
      <c r="BH192" s="28"/>
      <c r="BI192" s="32"/>
      <c r="BJ192" s="27"/>
      <c r="BK192" s="29"/>
      <c r="BL192" s="28"/>
      <c r="BM192" s="32"/>
    </row>
    <row r="193" customFormat="false" ht="15.75" hidden="false" customHeight="true" outlineLevel="0" collapsed="false">
      <c r="A193" s="27"/>
      <c r="B193" s="39" t="str">
        <f aca="false">IFERROR(INDEX(Customers!$C$4:$C$1003,MATCH($A193,Customers!$A$4:$A$1003,0)),"")</f>
        <v/>
      </c>
      <c r="C193" s="31" t="str">
        <f aca="false">IFERROR(INDEX(Customers!$F$4:$F$1003,MATCH($A193,Customers!$A$4:$A$1003,0)),"")</f>
        <v/>
      </c>
      <c r="D193" s="33" t="str">
        <f aca="false">IFERROR(INDEX(Customers!$K$4:$K$1003,MATCH($A193,Customers!$A$4:$A$1003,0)),"")</f>
        <v/>
      </c>
      <c r="E193" s="33" t="str">
        <f aca="false">IF($A193="","",IF($F193=0,"Not Started",IF($BJ193="Completed",Settings!$U$45,IF($BF193="Completed",Settings!$U$44,IF($BB193="Completed",Settings!$U$43,IF($AX193="Completed",Settings!$U$42,IF($AT193="Completed",Settings!$U$41,IF($AP193="Completed",Settings!$U$40,IF($AL193="Completed",Settings!$U$39,IF($AH193="Completed",Settings!$U$38,IF($AD193="Completed",Settings!$U$37,IF($Z193="Completed",Settings!$U$36,IF($V193="Completed",Settings!$U$35,IF($R193="Completed",Settings!$U$34,IF($N193="Completed",Settings!$U$33,IF($J193="Completed",Settings!$U$32,""))))))))))))))))</f>
        <v/>
      </c>
      <c r="F193" s="30" t="str">
        <f aca="false">IF($A193="","",COUNTIF($J193:$BM193,"Completed"))</f>
        <v/>
      </c>
      <c r="G193" s="35" t="str">
        <f aca="false">IF($A193="","",MIN($F193/13,1))</f>
        <v/>
      </c>
      <c r="H193" s="31" t="str">
        <f aca="false">IF($A193="","",IF($BJ193="Completed","Case Completed",IF($AX193="Completed","Visa Rejected",IF($BF193="Completed","Departed to Europe",IF($F193=0,"Not Started","In Progress")))))</f>
        <v/>
      </c>
      <c r="I193" s="30" t="str">
        <f aca="true">IF($K193="","",IF($BK193&lt;&gt;"",$BK193-$K193,IF($AY193&lt;&gt;"",$AY193-$K193,TODAY()-$K193)))</f>
        <v/>
      </c>
      <c r="J193" s="27"/>
      <c r="K193" s="29"/>
      <c r="L193" s="28"/>
      <c r="M193" s="32"/>
      <c r="N193" s="27"/>
      <c r="O193" s="29"/>
      <c r="P193" s="28"/>
      <c r="Q193" s="32"/>
      <c r="R193" s="27"/>
      <c r="S193" s="29"/>
      <c r="T193" s="28"/>
      <c r="U193" s="32"/>
      <c r="V193" s="27"/>
      <c r="W193" s="29"/>
      <c r="X193" s="28"/>
      <c r="Y193" s="32"/>
      <c r="Z193" s="27"/>
      <c r="AA193" s="29"/>
      <c r="AB193" s="28"/>
      <c r="AC193" s="32"/>
      <c r="AD193" s="27"/>
      <c r="AE193" s="29"/>
      <c r="AF193" s="28"/>
      <c r="AG193" s="32"/>
      <c r="AH193" s="27"/>
      <c r="AI193" s="29"/>
      <c r="AJ193" s="28"/>
      <c r="AK193" s="32"/>
      <c r="AL193" s="27"/>
      <c r="AM193" s="29"/>
      <c r="AN193" s="28"/>
      <c r="AO193" s="32"/>
      <c r="AP193" s="27"/>
      <c r="AQ193" s="29"/>
      <c r="AR193" s="28"/>
      <c r="AS193" s="32"/>
      <c r="AT193" s="27"/>
      <c r="AU193" s="29"/>
      <c r="AV193" s="28"/>
      <c r="AW193" s="32"/>
      <c r="AX193" s="27"/>
      <c r="AY193" s="29"/>
      <c r="AZ193" s="28"/>
      <c r="BA193" s="32"/>
      <c r="BB193" s="27"/>
      <c r="BC193" s="29"/>
      <c r="BD193" s="28"/>
      <c r="BE193" s="32"/>
      <c r="BF193" s="27"/>
      <c r="BG193" s="29"/>
      <c r="BH193" s="28"/>
      <c r="BI193" s="32"/>
      <c r="BJ193" s="27"/>
      <c r="BK193" s="29"/>
      <c r="BL193" s="28"/>
      <c r="BM193" s="32"/>
    </row>
    <row r="194" customFormat="false" ht="15.75" hidden="false" customHeight="true" outlineLevel="0" collapsed="false">
      <c r="A194" s="27"/>
      <c r="B194" s="39" t="str">
        <f aca="false">IFERROR(INDEX(Customers!$C$4:$C$1003,MATCH($A194,Customers!$A$4:$A$1003,0)),"")</f>
        <v/>
      </c>
      <c r="C194" s="31" t="str">
        <f aca="false">IFERROR(INDEX(Customers!$F$4:$F$1003,MATCH($A194,Customers!$A$4:$A$1003,0)),"")</f>
        <v/>
      </c>
      <c r="D194" s="33" t="str">
        <f aca="false">IFERROR(INDEX(Customers!$K$4:$K$1003,MATCH($A194,Customers!$A$4:$A$1003,0)),"")</f>
        <v/>
      </c>
      <c r="E194" s="33" t="str">
        <f aca="false">IF($A194="","",IF($F194=0,"Not Started",IF($BJ194="Completed",Settings!$U$45,IF($BF194="Completed",Settings!$U$44,IF($BB194="Completed",Settings!$U$43,IF($AX194="Completed",Settings!$U$42,IF($AT194="Completed",Settings!$U$41,IF($AP194="Completed",Settings!$U$40,IF($AL194="Completed",Settings!$U$39,IF($AH194="Completed",Settings!$U$38,IF($AD194="Completed",Settings!$U$37,IF($Z194="Completed",Settings!$U$36,IF($V194="Completed",Settings!$U$35,IF($R194="Completed",Settings!$U$34,IF($N194="Completed",Settings!$U$33,IF($J194="Completed",Settings!$U$32,""))))))))))))))))</f>
        <v/>
      </c>
      <c r="F194" s="30" t="str">
        <f aca="false">IF($A194="","",COUNTIF($J194:$BM194,"Completed"))</f>
        <v/>
      </c>
      <c r="G194" s="35" t="str">
        <f aca="false">IF($A194="","",MIN($F194/13,1))</f>
        <v/>
      </c>
      <c r="H194" s="31" t="str">
        <f aca="false">IF($A194="","",IF($BJ194="Completed","Case Completed",IF($AX194="Completed","Visa Rejected",IF($BF194="Completed","Departed to Europe",IF($F194=0,"Not Started","In Progress")))))</f>
        <v/>
      </c>
      <c r="I194" s="30" t="str">
        <f aca="true">IF($K194="","",IF($BK194&lt;&gt;"",$BK194-$K194,IF($AY194&lt;&gt;"",$AY194-$K194,TODAY()-$K194)))</f>
        <v/>
      </c>
      <c r="J194" s="27"/>
      <c r="K194" s="29"/>
      <c r="L194" s="28"/>
      <c r="M194" s="32"/>
      <c r="N194" s="27"/>
      <c r="O194" s="29"/>
      <c r="P194" s="28"/>
      <c r="Q194" s="32"/>
      <c r="R194" s="27"/>
      <c r="S194" s="29"/>
      <c r="T194" s="28"/>
      <c r="U194" s="32"/>
      <c r="V194" s="27"/>
      <c r="W194" s="29"/>
      <c r="X194" s="28"/>
      <c r="Y194" s="32"/>
      <c r="Z194" s="27"/>
      <c r="AA194" s="29"/>
      <c r="AB194" s="28"/>
      <c r="AC194" s="32"/>
      <c r="AD194" s="27"/>
      <c r="AE194" s="29"/>
      <c r="AF194" s="28"/>
      <c r="AG194" s="32"/>
      <c r="AH194" s="27"/>
      <c r="AI194" s="29"/>
      <c r="AJ194" s="28"/>
      <c r="AK194" s="32"/>
      <c r="AL194" s="27"/>
      <c r="AM194" s="29"/>
      <c r="AN194" s="28"/>
      <c r="AO194" s="32"/>
      <c r="AP194" s="27"/>
      <c r="AQ194" s="29"/>
      <c r="AR194" s="28"/>
      <c r="AS194" s="32"/>
      <c r="AT194" s="27"/>
      <c r="AU194" s="29"/>
      <c r="AV194" s="28"/>
      <c r="AW194" s="32"/>
      <c r="AX194" s="27"/>
      <c r="AY194" s="29"/>
      <c r="AZ194" s="28"/>
      <c r="BA194" s="32"/>
      <c r="BB194" s="27"/>
      <c r="BC194" s="29"/>
      <c r="BD194" s="28"/>
      <c r="BE194" s="32"/>
      <c r="BF194" s="27"/>
      <c r="BG194" s="29"/>
      <c r="BH194" s="28"/>
      <c r="BI194" s="32"/>
      <c r="BJ194" s="27"/>
      <c r="BK194" s="29"/>
      <c r="BL194" s="28"/>
      <c r="BM194" s="32"/>
    </row>
    <row r="195" customFormat="false" ht="15.75" hidden="false" customHeight="true" outlineLevel="0" collapsed="false">
      <c r="A195" s="27"/>
      <c r="B195" s="39" t="str">
        <f aca="false">IFERROR(INDEX(Customers!$C$4:$C$1003,MATCH($A195,Customers!$A$4:$A$1003,0)),"")</f>
        <v/>
      </c>
      <c r="C195" s="31" t="str">
        <f aca="false">IFERROR(INDEX(Customers!$F$4:$F$1003,MATCH($A195,Customers!$A$4:$A$1003,0)),"")</f>
        <v/>
      </c>
      <c r="D195" s="33" t="str">
        <f aca="false">IFERROR(INDEX(Customers!$K$4:$K$1003,MATCH($A195,Customers!$A$4:$A$1003,0)),"")</f>
        <v/>
      </c>
      <c r="E195" s="33" t="str">
        <f aca="false">IF($A195="","",IF($F195=0,"Not Started",IF($BJ195="Completed",Settings!$U$45,IF($BF195="Completed",Settings!$U$44,IF($BB195="Completed",Settings!$U$43,IF($AX195="Completed",Settings!$U$42,IF($AT195="Completed",Settings!$U$41,IF($AP195="Completed",Settings!$U$40,IF($AL195="Completed",Settings!$U$39,IF($AH195="Completed",Settings!$U$38,IF($AD195="Completed",Settings!$U$37,IF($Z195="Completed",Settings!$U$36,IF($V195="Completed",Settings!$U$35,IF($R195="Completed",Settings!$U$34,IF($N195="Completed",Settings!$U$33,IF($J195="Completed",Settings!$U$32,""))))))))))))))))</f>
        <v/>
      </c>
      <c r="F195" s="30" t="str">
        <f aca="false">IF($A195="","",COUNTIF($J195:$BM195,"Completed"))</f>
        <v/>
      </c>
      <c r="G195" s="35" t="str">
        <f aca="false">IF($A195="","",MIN($F195/13,1))</f>
        <v/>
      </c>
      <c r="H195" s="31" t="str">
        <f aca="false">IF($A195="","",IF($BJ195="Completed","Case Completed",IF($AX195="Completed","Visa Rejected",IF($BF195="Completed","Departed to Europe",IF($F195=0,"Not Started","In Progress")))))</f>
        <v/>
      </c>
      <c r="I195" s="30" t="str">
        <f aca="true">IF($K195="","",IF($BK195&lt;&gt;"",$BK195-$K195,IF($AY195&lt;&gt;"",$AY195-$K195,TODAY()-$K195)))</f>
        <v/>
      </c>
      <c r="J195" s="27"/>
      <c r="K195" s="29"/>
      <c r="L195" s="28"/>
      <c r="M195" s="32"/>
      <c r="N195" s="27"/>
      <c r="O195" s="29"/>
      <c r="P195" s="28"/>
      <c r="Q195" s="32"/>
      <c r="R195" s="27"/>
      <c r="S195" s="29"/>
      <c r="T195" s="28"/>
      <c r="U195" s="32"/>
      <c r="V195" s="27"/>
      <c r="W195" s="29"/>
      <c r="X195" s="28"/>
      <c r="Y195" s="32"/>
      <c r="Z195" s="27"/>
      <c r="AA195" s="29"/>
      <c r="AB195" s="28"/>
      <c r="AC195" s="32"/>
      <c r="AD195" s="27"/>
      <c r="AE195" s="29"/>
      <c r="AF195" s="28"/>
      <c r="AG195" s="32"/>
      <c r="AH195" s="27"/>
      <c r="AI195" s="29"/>
      <c r="AJ195" s="28"/>
      <c r="AK195" s="32"/>
      <c r="AL195" s="27"/>
      <c r="AM195" s="29"/>
      <c r="AN195" s="28"/>
      <c r="AO195" s="32"/>
      <c r="AP195" s="27"/>
      <c r="AQ195" s="29"/>
      <c r="AR195" s="28"/>
      <c r="AS195" s="32"/>
      <c r="AT195" s="27"/>
      <c r="AU195" s="29"/>
      <c r="AV195" s="28"/>
      <c r="AW195" s="32"/>
      <c r="AX195" s="27"/>
      <c r="AY195" s="29"/>
      <c r="AZ195" s="28"/>
      <c r="BA195" s="32"/>
      <c r="BB195" s="27"/>
      <c r="BC195" s="29"/>
      <c r="BD195" s="28"/>
      <c r="BE195" s="32"/>
      <c r="BF195" s="27"/>
      <c r="BG195" s="29"/>
      <c r="BH195" s="28"/>
      <c r="BI195" s="32"/>
      <c r="BJ195" s="27"/>
      <c r="BK195" s="29"/>
      <c r="BL195" s="28"/>
      <c r="BM195" s="32"/>
    </row>
    <row r="196" customFormat="false" ht="15.75" hidden="false" customHeight="true" outlineLevel="0" collapsed="false">
      <c r="A196" s="27"/>
      <c r="B196" s="39" t="str">
        <f aca="false">IFERROR(INDEX(Customers!$C$4:$C$1003,MATCH($A196,Customers!$A$4:$A$1003,0)),"")</f>
        <v/>
      </c>
      <c r="C196" s="31" t="str">
        <f aca="false">IFERROR(INDEX(Customers!$F$4:$F$1003,MATCH($A196,Customers!$A$4:$A$1003,0)),"")</f>
        <v/>
      </c>
      <c r="D196" s="33" t="str">
        <f aca="false">IFERROR(INDEX(Customers!$K$4:$K$1003,MATCH($A196,Customers!$A$4:$A$1003,0)),"")</f>
        <v/>
      </c>
      <c r="E196" s="33" t="str">
        <f aca="false">IF($A196="","",IF($F196=0,"Not Started",IF($BJ196="Completed",Settings!$U$45,IF($BF196="Completed",Settings!$U$44,IF($BB196="Completed",Settings!$U$43,IF($AX196="Completed",Settings!$U$42,IF($AT196="Completed",Settings!$U$41,IF($AP196="Completed",Settings!$U$40,IF($AL196="Completed",Settings!$U$39,IF($AH196="Completed",Settings!$U$38,IF($AD196="Completed",Settings!$U$37,IF($Z196="Completed",Settings!$U$36,IF($V196="Completed",Settings!$U$35,IF($R196="Completed",Settings!$U$34,IF($N196="Completed",Settings!$U$33,IF($J196="Completed",Settings!$U$32,""))))))))))))))))</f>
        <v/>
      </c>
      <c r="F196" s="30" t="str">
        <f aca="false">IF($A196="","",COUNTIF($J196:$BM196,"Completed"))</f>
        <v/>
      </c>
      <c r="G196" s="35" t="str">
        <f aca="false">IF($A196="","",MIN($F196/13,1))</f>
        <v/>
      </c>
      <c r="H196" s="31" t="str">
        <f aca="false">IF($A196="","",IF($BJ196="Completed","Case Completed",IF($AX196="Completed","Visa Rejected",IF($BF196="Completed","Departed to Europe",IF($F196=0,"Not Started","In Progress")))))</f>
        <v/>
      </c>
      <c r="I196" s="30" t="str">
        <f aca="true">IF($K196="","",IF($BK196&lt;&gt;"",$BK196-$K196,IF($AY196&lt;&gt;"",$AY196-$K196,TODAY()-$K196)))</f>
        <v/>
      </c>
      <c r="J196" s="27"/>
      <c r="K196" s="29"/>
      <c r="L196" s="28"/>
      <c r="M196" s="32"/>
      <c r="N196" s="27"/>
      <c r="O196" s="29"/>
      <c r="P196" s="28"/>
      <c r="Q196" s="32"/>
      <c r="R196" s="27"/>
      <c r="S196" s="29"/>
      <c r="T196" s="28"/>
      <c r="U196" s="32"/>
      <c r="V196" s="27"/>
      <c r="W196" s="29"/>
      <c r="X196" s="28"/>
      <c r="Y196" s="32"/>
      <c r="Z196" s="27"/>
      <c r="AA196" s="29"/>
      <c r="AB196" s="28"/>
      <c r="AC196" s="32"/>
      <c r="AD196" s="27"/>
      <c r="AE196" s="29"/>
      <c r="AF196" s="28"/>
      <c r="AG196" s="32"/>
      <c r="AH196" s="27"/>
      <c r="AI196" s="29"/>
      <c r="AJ196" s="28"/>
      <c r="AK196" s="32"/>
      <c r="AL196" s="27"/>
      <c r="AM196" s="29"/>
      <c r="AN196" s="28"/>
      <c r="AO196" s="32"/>
      <c r="AP196" s="27"/>
      <c r="AQ196" s="29"/>
      <c r="AR196" s="28"/>
      <c r="AS196" s="32"/>
      <c r="AT196" s="27"/>
      <c r="AU196" s="29"/>
      <c r="AV196" s="28"/>
      <c r="AW196" s="32"/>
      <c r="AX196" s="27"/>
      <c r="AY196" s="29"/>
      <c r="AZ196" s="28"/>
      <c r="BA196" s="32"/>
      <c r="BB196" s="27"/>
      <c r="BC196" s="29"/>
      <c r="BD196" s="28"/>
      <c r="BE196" s="32"/>
      <c r="BF196" s="27"/>
      <c r="BG196" s="29"/>
      <c r="BH196" s="28"/>
      <c r="BI196" s="32"/>
      <c r="BJ196" s="27"/>
      <c r="BK196" s="29"/>
      <c r="BL196" s="28"/>
      <c r="BM196" s="32"/>
    </row>
    <row r="197" customFormat="false" ht="15.75" hidden="false" customHeight="true" outlineLevel="0" collapsed="false">
      <c r="A197" s="27"/>
      <c r="B197" s="39" t="str">
        <f aca="false">IFERROR(INDEX(Customers!$C$4:$C$1003,MATCH($A197,Customers!$A$4:$A$1003,0)),"")</f>
        <v/>
      </c>
      <c r="C197" s="31" t="str">
        <f aca="false">IFERROR(INDEX(Customers!$F$4:$F$1003,MATCH($A197,Customers!$A$4:$A$1003,0)),"")</f>
        <v/>
      </c>
      <c r="D197" s="33" t="str">
        <f aca="false">IFERROR(INDEX(Customers!$K$4:$K$1003,MATCH($A197,Customers!$A$4:$A$1003,0)),"")</f>
        <v/>
      </c>
      <c r="E197" s="33" t="str">
        <f aca="false">IF($A197="","",IF($F197=0,"Not Started",IF($BJ197="Completed",Settings!$U$45,IF($BF197="Completed",Settings!$U$44,IF($BB197="Completed",Settings!$U$43,IF($AX197="Completed",Settings!$U$42,IF($AT197="Completed",Settings!$U$41,IF($AP197="Completed",Settings!$U$40,IF($AL197="Completed",Settings!$U$39,IF($AH197="Completed",Settings!$U$38,IF($AD197="Completed",Settings!$U$37,IF($Z197="Completed",Settings!$U$36,IF($V197="Completed",Settings!$U$35,IF($R197="Completed",Settings!$U$34,IF($N197="Completed",Settings!$U$33,IF($J197="Completed",Settings!$U$32,""))))))))))))))))</f>
        <v/>
      </c>
      <c r="F197" s="30" t="str">
        <f aca="false">IF($A197="","",COUNTIF($J197:$BM197,"Completed"))</f>
        <v/>
      </c>
      <c r="G197" s="35" t="str">
        <f aca="false">IF($A197="","",MIN($F197/13,1))</f>
        <v/>
      </c>
      <c r="H197" s="31" t="str">
        <f aca="false">IF($A197="","",IF($BJ197="Completed","Case Completed",IF($AX197="Completed","Visa Rejected",IF($BF197="Completed","Departed to Europe",IF($F197=0,"Not Started","In Progress")))))</f>
        <v/>
      </c>
      <c r="I197" s="30" t="str">
        <f aca="true">IF($K197="","",IF($BK197&lt;&gt;"",$BK197-$K197,IF($AY197&lt;&gt;"",$AY197-$K197,TODAY()-$K197)))</f>
        <v/>
      </c>
      <c r="J197" s="27"/>
      <c r="K197" s="29"/>
      <c r="L197" s="28"/>
      <c r="M197" s="32"/>
      <c r="N197" s="27"/>
      <c r="O197" s="29"/>
      <c r="P197" s="28"/>
      <c r="Q197" s="32"/>
      <c r="R197" s="27"/>
      <c r="S197" s="29"/>
      <c r="T197" s="28"/>
      <c r="U197" s="32"/>
      <c r="V197" s="27"/>
      <c r="W197" s="29"/>
      <c r="X197" s="28"/>
      <c r="Y197" s="32"/>
      <c r="Z197" s="27"/>
      <c r="AA197" s="29"/>
      <c r="AB197" s="28"/>
      <c r="AC197" s="32"/>
      <c r="AD197" s="27"/>
      <c r="AE197" s="29"/>
      <c r="AF197" s="28"/>
      <c r="AG197" s="32"/>
      <c r="AH197" s="27"/>
      <c r="AI197" s="29"/>
      <c r="AJ197" s="28"/>
      <c r="AK197" s="32"/>
      <c r="AL197" s="27"/>
      <c r="AM197" s="29"/>
      <c r="AN197" s="28"/>
      <c r="AO197" s="32"/>
      <c r="AP197" s="27"/>
      <c r="AQ197" s="29"/>
      <c r="AR197" s="28"/>
      <c r="AS197" s="32"/>
      <c r="AT197" s="27"/>
      <c r="AU197" s="29"/>
      <c r="AV197" s="28"/>
      <c r="AW197" s="32"/>
      <c r="AX197" s="27"/>
      <c r="AY197" s="29"/>
      <c r="AZ197" s="28"/>
      <c r="BA197" s="32"/>
      <c r="BB197" s="27"/>
      <c r="BC197" s="29"/>
      <c r="BD197" s="28"/>
      <c r="BE197" s="32"/>
      <c r="BF197" s="27"/>
      <c r="BG197" s="29"/>
      <c r="BH197" s="28"/>
      <c r="BI197" s="32"/>
      <c r="BJ197" s="27"/>
      <c r="BK197" s="29"/>
      <c r="BL197" s="28"/>
      <c r="BM197" s="32"/>
    </row>
    <row r="198" customFormat="false" ht="15.75" hidden="false" customHeight="true" outlineLevel="0" collapsed="false">
      <c r="A198" s="27"/>
      <c r="B198" s="39" t="str">
        <f aca="false">IFERROR(INDEX(Customers!$C$4:$C$1003,MATCH($A198,Customers!$A$4:$A$1003,0)),"")</f>
        <v/>
      </c>
      <c r="C198" s="31" t="str">
        <f aca="false">IFERROR(INDEX(Customers!$F$4:$F$1003,MATCH($A198,Customers!$A$4:$A$1003,0)),"")</f>
        <v/>
      </c>
      <c r="D198" s="33" t="str">
        <f aca="false">IFERROR(INDEX(Customers!$K$4:$K$1003,MATCH($A198,Customers!$A$4:$A$1003,0)),"")</f>
        <v/>
      </c>
      <c r="E198" s="33" t="str">
        <f aca="false">IF($A198="","",IF($F198=0,"Not Started",IF($BJ198="Completed",Settings!$U$45,IF($BF198="Completed",Settings!$U$44,IF($BB198="Completed",Settings!$U$43,IF($AX198="Completed",Settings!$U$42,IF($AT198="Completed",Settings!$U$41,IF($AP198="Completed",Settings!$U$40,IF($AL198="Completed",Settings!$U$39,IF($AH198="Completed",Settings!$U$38,IF($AD198="Completed",Settings!$U$37,IF($Z198="Completed",Settings!$U$36,IF($V198="Completed",Settings!$U$35,IF($R198="Completed",Settings!$U$34,IF($N198="Completed",Settings!$U$33,IF($J198="Completed",Settings!$U$32,""))))))))))))))))</f>
        <v/>
      </c>
      <c r="F198" s="30" t="str">
        <f aca="false">IF($A198="","",COUNTIF($J198:$BM198,"Completed"))</f>
        <v/>
      </c>
      <c r="G198" s="35" t="str">
        <f aca="false">IF($A198="","",MIN($F198/13,1))</f>
        <v/>
      </c>
      <c r="H198" s="31" t="str">
        <f aca="false">IF($A198="","",IF($BJ198="Completed","Case Completed",IF($AX198="Completed","Visa Rejected",IF($BF198="Completed","Departed to Europe",IF($F198=0,"Not Started","In Progress")))))</f>
        <v/>
      </c>
      <c r="I198" s="30" t="str">
        <f aca="true">IF($K198="","",IF($BK198&lt;&gt;"",$BK198-$K198,IF($AY198&lt;&gt;"",$AY198-$K198,TODAY()-$K198)))</f>
        <v/>
      </c>
      <c r="J198" s="27"/>
      <c r="K198" s="29"/>
      <c r="L198" s="28"/>
      <c r="M198" s="32"/>
      <c r="N198" s="27"/>
      <c r="O198" s="29"/>
      <c r="P198" s="28"/>
      <c r="Q198" s="32"/>
      <c r="R198" s="27"/>
      <c r="S198" s="29"/>
      <c r="T198" s="28"/>
      <c r="U198" s="32"/>
      <c r="V198" s="27"/>
      <c r="W198" s="29"/>
      <c r="X198" s="28"/>
      <c r="Y198" s="32"/>
      <c r="Z198" s="27"/>
      <c r="AA198" s="29"/>
      <c r="AB198" s="28"/>
      <c r="AC198" s="32"/>
      <c r="AD198" s="27"/>
      <c r="AE198" s="29"/>
      <c r="AF198" s="28"/>
      <c r="AG198" s="32"/>
      <c r="AH198" s="27"/>
      <c r="AI198" s="29"/>
      <c r="AJ198" s="28"/>
      <c r="AK198" s="32"/>
      <c r="AL198" s="27"/>
      <c r="AM198" s="29"/>
      <c r="AN198" s="28"/>
      <c r="AO198" s="32"/>
      <c r="AP198" s="27"/>
      <c r="AQ198" s="29"/>
      <c r="AR198" s="28"/>
      <c r="AS198" s="32"/>
      <c r="AT198" s="27"/>
      <c r="AU198" s="29"/>
      <c r="AV198" s="28"/>
      <c r="AW198" s="32"/>
      <c r="AX198" s="27"/>
      <c r="AY198" s="29"/>
      <c r="AZ198" s="28"/>
      <c r="BA198" s="32"/>
      <c r="BB198" s="27"/>
      <c r="BC198" s="29"/>
      <c r="BD198" s="28"/>
      <c r="BE198" s="32"/>
      <c r="BF198" s="27"/>
      <c r="BG198" s="29"/>
      <c r="BH198" s="28"/>
      <c r="BI198" s="32"/>
      <c r="BJ198" s="27"/>
      <c r="BK198" s="29"/>
      <c r="BL198" s="28"/>
      <c r="BM198" s="32"/>
    </row>
    <row r="199" customFormat="false" ht="15.75" hidden="false" customHeight="true" outlineLevel="0" collapsed="false">
      <c r="A199" s="27"/>
      <c r="B199" s="39" t="str">
        <f aca="false">IFERROR(INDEX(Customers!$C$4:$C$1003,MATCH($A199,Customers!$A$4:$A$1003,0)),"")</f>
        <v/>
      </c>
      <c r="C199" s="31" t="str">
        <f aca="false">IFERROR(INDEX(Customers!$F$4:$F$1003,MATCH($A199,Customers!$A$4:$A$1003,0)),"")</f>
        <v/>
      </c>
      <c r="D199" s="33" t="str">
        <f aca="false">IFERROR(INDEX(Customers!$K$4:$K$1003,MATCH($A199,Customers!$A$4:$A$1003,0)),"")</f>
        <v/>
      </c>
      <c r="E199" s="33" t="str">
        <f aca="false">IF($A199="","",IF($F199=0,"Not Started",IF($BJ199="Completed",Settings!$U$45,IF($BF199="Completed",Settings!$U$44,IF($BB199="Completed",Settings!$U$43,IF($AX199="Completed",Settings!$U$42,IF($AT199="Completed",Settings!$U$41,IF($AP199="Completed",Settings!$U$40,IF($AL199="Completed",Settings!$U$39,IF($AH199="Completed",Settings!$U$38,IF($AD199="Completed",Settings!$U$37,IF($Z199="Completed",Settings!$U$36,IF($V199="Completed",Settings!$U$35,IF($R199="Completed",Settings!$U$34,IF($N199="Completed",Settings!$U$33,IF($J199="Completed",Settings!$U$32,""))))))))))))))))</f>
        <v/>
      </c>
      <c r="F199" s="30" t="str">
        <f aca="false">IF($A199="","",COUNTIF($J199:$BM199,"Completed"))</f>
        <v/>
      </c>
      <c r="G199" s="35" t="str">
        <f aca="false">IF($A199="","",MIN($F199/13,1))</f>
        <v/>
      </c>
      <c r="H199" s="31" t="str">
        <f aca="false">IF($A199="","",IF($BJ199="Completed","Case Completed",IF($AX199="Completed","Visa Rejected",IF($BF199="Completed","Departed to Europe",IF($F199=0,"Not Started","In Progress")))))</f>
        <v/>
      </c>
      <c r="I199" s="30" t="str">
        <f aca="true">IF($K199="","",IF($BK199&lt;&gt;"",$BK199-$K199,IF($AY199&lt;&gt;"",$AY199-$K199,TODAY()-$K199)))</f>
        <v/>
      </c>
      <c r="J199" s="27"/>
      <c r="K199" s="29"/>
      <c r="L199" s="28"/>
      <c r="M199" s="32"/>
      <c r="N199" s="27"/>
      <c r="O199" s="29"/>
      <c r="P199" s="28"/>
      <c r="Q199" s="32"/>
      <c r="R199" s="27"/>
      <c r="S199" s="29"/>
      <c r="T199" s="28"/>
      <c r="U199" s="32"/>
      <c r="V199" s="27"/>
      <c r="W199" s="29"/>
      <c r="X199" s="28"/>
      <c r="Y199" s="32"/>
      <c r="Z199" s="27"/>
      <c r="AA199" s="29"/>
      <c r="AB199" s="28"/>
      <c r="AC199" s="32"/>
      <c r="AD199" s="27"/>
      <c r="AE199" s="29"/>
      <c r="AF199" s="28"/>
      <c r="AG199" s="32"/>
      <c r="AH199" s="27"/>
      <c r="AI199" s="29"/>
      <c r="AJ199" s="28"/>
      <c r="AK199" s="32"/>
      <c r="AL199" s="27"/>
      <c r="AM199" s="29"/>
      <c r="AN199" s="28"/>
      <c r="AO199" s="32"/>
      <c r="AP199" s="27"/>
      <c r="AQ199" s="29"/>
      <c r="AR199" s="28"/>
      <c r="AS199" s="32"/>
      <c r="AT199" s="27"/>
      <c r="AU199" s="29"/>
      <c r="AV199" s="28"/>
      <c r="AW199" s="32"/>
      <c r="AX199" s="27"/>
      <c r="AY199" s="29"/>
      <c r="AZ199" s="28"/>
      <c r="BA199" s="32"/>
      <c r="BB199" s="27"/>
      <c r="BC199" s="29"/>
      <c r="BD199" s="28"/>
      <c r="BE199" s="32"/>
      <c r="BF199" s="27"/>
      <c r="BG199" s="29"/>
      <c r="BH199" s="28"/>
      <c r="BI199" s="32"/>
      <c r="BJ199" s="27"/>
      <c r="BK199" s="29"/>
      <c r="BL199" s="28"/>
      <c r="BM199" s="32"/>
    </row>
    <row r="200" customFormat="false" ht="15.75" hidden="false" customHeight="true" outlineLevel="0" collapsed="false">
      <c r="A200" s="27"/>
      <c r="B200" s="39" t="str">
        <f aca="false">IFERROR(INDEX(Customers!$C$4:$C$1003,MATCH($A200,Customers!$A$4:$A$1003,0)),"")</f>
        <v/>
      </c>
      <c r="C200" s="31" t="str">
        <f aca="false">IFERROR(INDEX(Customers!$F$4:$F$1003,MATCH($A200,Customers!$A$4:$A$1003,0)),"")</f>
        <v/>
      </c>
      <c r="D200" s="33" t="str">
        <f aca="false">IFERROR(INDEX(Customers!$K$4:$K$1003,MATCH($A200,Customers!$A$4:$A$1003,0)),"")</f>
        <v/>
      </c>
      <c r="E200" s="33" t="str">
        <f aca="false">IF($A200="","",IF($F200=0,"Not Started",IF($BJ200="Completed",Settings!$U$45,IF($BF200="Completed",Settings!$U$44,IF($BB200="Completed",Settings!$U$43,IF($AX200="Completed",Settings!$U$42,IF($AT200="Completed",Settings!$U$41,IF($AP200="Completed",Settings!$U$40,IF($AL200="Completed",Settings!$U$39,IF($AH200="Completed",Settings!$U$38,IF($AD200="Completed",Settings!$U$37,IF($Z200="Completed",Settings!$U$36,IF($V200="Completed",Settings!$U$35,IF($R200="Completed",Settings!$U$34,IF($N200="Completed",Settings!$U$33,IF($J200="Completed",Settings!$U$32,""))))))))))))))))</f>
        <v/>
      </c>
      <c r="F200" s="30" t="str">
        <f aca="false">IF($A200="","",COUNTIF($J200:$BM200,"Completed"))</f>
        <v/>
      </c>
      <c r="G200" s="35" t="str">
        <f aca="false">IF($A200="","",MIN($F200/13,1))</f>
        <v/>
      </c>
      <c r="H200" s="31" t="str">
        <f aca="false">IF($A200="","",IF($BJ200="Completed","Case Completed",IF($AX200="Completed","Visa Rejected",IF($BF200="Completed","Departed to Europe",IF($F200=0,"Not Started","In Progress")))))</f>
        <v/>
      </c>
      <c r="I200" s="30" t="str">
        <f aca="true">IF($K200="","",IF($BK200&lt;&gt;"",$BK200-$K200,IF($AY200&lt;&gt;"",$AY200-$K200,TODAY()-$K200)))</f>
        <v/>
      </c>
      <c r="J200" s="27"/>
      <c r="K200" s="29"/>
      <c r="L200" s="28"/>
      <c r="M200" s="32"/>
      <c r="N200" s="27"/>
      <c r="O200" s="29"/>
      <c r="P200" s="28"/>
      <c r="Q200" s="32"/>
      <c r="R200" s="27"/>
      <c r="S200" s="29"/>
      <c r="T200" s="28"/>
      <c r="U200" s="32"/>
      <c r="V200" s="27"/>
      <c r="W200" s="29"/>
      <c r="X200" s="28"/>
      <c r="Y200" s="32"/>
      <c r="Z200" s="27"/>
      <c r="AA200" s="29"/>
      <c r="AB200" s="28"/>
      <c r="AC200" s="32"/>
      <c r="AD200" s="27"/>
      <c r="AE200" s="29"/>
      <c r="AF200" s="28"/>
      <c r="AG200" s="32"/>
      <c r="AH200" s="27"/>
      <c r="AI200" s="29"/>
      <c r="AJ200" s="28"/>
      <c r="AK200" s="32"/>
      <c r="AL200" s="27"/>
      <c r="AM200" s="29"/>
      <c r="AN200" s="28"/>
      <c r="AO200" s="32"/>
      <c r="AP200" s="27"/>
      <c r="AQ200" s="29"/>
      <c r="AR200" s="28"/>
      <c r="AS200" s="32"/>
      <c r="AT200" s="27"/>
      <c r="AU200" s="29"/>
      <c r="AV200" s="28"/>
      <c r="AW200" s="32"/>
      <c r="AX200" s="27"/>
      <c r="AY200" s="29"/>
      <c r="AZ200" s="28"/>
      <c r="BA200" s="32"/>
      <c r="BB200" s="27"/>
      <c r="BC200" s="29"/>
      <c r="BD200" s="28"/>
      <c r="BE200" s="32"/>
      <c r="BF200" s="27"/>
      <c r="BG200" s="29"/>
      <c r="BH200" s="28"/>
      <c r="BI200" s="32"/>
      <c r="BJ200" s="27"/>
      <c r="BK200" s="29"/>
      <c r="BL200" s="28"/>
      <c r="BM200" s="32"/>
    </row>
    <row r="201" customFormat="false" ht="15.75" hidden="false" customHeight="true" outlineLevel="0" collapsed="false">
      <c r="A201" s="27"/>
      <c r="B201" s="39" t="str">
        <f aca="false">IFERROR(INDEX(Customers!$C$4:$C$1003,MATCH($A201,Customers!$A$4:$A$1003,0)),"")</f>
        <v/>
      </c>
      <c r="C201" s="31" t="str">
        <f aca="false">IFERROR(INDEX(Customers!$F$4:$F$1003,MATCH($A201,Customers!$A$4:$A$1003,0)),"")</f>
        <v/>
      </c>
      <c r="D201" s="33" t="str">
        <f aca="false">IFERROR(INDEX(Customers!$K$4:$K$1003,MATCH($A201,Customers!$A$4:$A$1003,0)),"")</f>
        <v/>
      </c>
      <c r="E201" s="33" t="str">
        <f aca="false">IF($A201="","",IF($F201=0,"Not Started",IF($BJ201="Completed",Settings!$U$45,IF($BF201="Completed",Settings!$U$44,IF($BB201="Completed",Settings!$U$43,IF($AX201="Completed",Settings!$U$42,IF($AT201="Completed",Settings!$U$41,IF($AP201="Completed",Settings!$U$40,IF($AL201="Completed",Settings!$U$39,IF($AH201="Completed",Settings!$U$38,IF($AD201="Completed",Settings!$U$37,IF($Z201="Completed",Settings!$U$36,IF($V201="Completed",Settings!$U$35,IF($R201="Completed",Settings!$U$34,IF($N201="Completed",Settings!$U$33,IF($J201="Completed",Settings!$U$32,""))))))))))))))))</f>
        <v/>
      </c>
      <c r="F201" s="30" t="str">
        <f aca="false">IF($A201="","",COUNTIF($J201:$BM201,"Completed"))</f>
        <v/>
      </c>
      <c r="G201" s="35" t="str">
        <f aca="false">IF($A201="","",MIN($F201/13,1))</f>
        <v/>
      </c>
      <c r="H201" s="31" t="str">
        <f aca="false">IF($A201="","",IF($BJ201="Completed","Case Completed",IF($AX201="Completed","Visa Rejected",IF($BF201="Completed","Departed to Europe",IF($F201=0,"Not Started","In Progress")))))</f>
        <v/>
      </c>
      <c r="I201" s="30" t="str">
        <f aca="true">IF($K201="","",IF($BK201&lt;&gt;"",$BK201-$K201,IF($AY201&lt;&gt;"",$AY201-$K201,TODAY()-$K201)))</f>
        <v/>
      </c>
      <c r="J201" s="27"/>
      <c r="K201" s="29"/>
      <c r="L201" s="28"/>
      <c r="M201" s="32"/>
      <c r="N201" s="27"/>
      <c r="O201" s="29"/>
      <c r="P201" s="28"/>
      <c r="Q201" s="32"/>
      <c r="R201" s="27"/>
      <c r="S201" s="29"/>
      <c r="T201" s="28"/>
      <c r="U201" s="32"/>
      <c r="V201" s="27"/>
      <c r="W201" s="29"/>
      <c r="X201" s="28"/>
      <c r="Y201" s="32"/>
      <c r="Z201" s="27"/>
      <c r="AA201" s="29"/>
      <c r="AB201" s="28"/>
      <c r="AC201" s="32"/>
      <c r="AD201" s="27"/>
      <c r="AE201" s="29"/>
      <c r="AF201" s="28"/>
      <c r="AG201" s="32"/>
      <c r="AH201" s="27"/>
      <c r="AI201" s="29"/>
      <c r="AJ201" s="28"/>
      <c r="AK201" s="32"/>
      <c r="AL201" s="27"/>
      <c r="AM201" s="29"/>
      <c r="AN201" s="28"/>
      <c r="AO201" s="32"/>
      <c r="AP201" s="27"/>
      <c r="AQ201" s="29"/>
      <c r="AR201" s="28"/>
      <c r="AS201" s="32"/>
      <c r="AT201" s="27"/>
      <c r="AU201" s="29"/>
      <c r="AV201" s="28"/>
      <c r="AW201" s="32"/>
      <c r="AX201" s="27"/>
      <c r="AY201" s="29"/>
      <c r="AZ201" s="28"/>
      <c r="BA201" s="32"/>
      <c r="BB201" s="27"/>
      <c r="BC201" s="29"/>
      <c r="BD201" s="28"/>
      <c r="BE201" s="32"/>
      <c r="BF201" s="27"/>
      <c r="BG201" s="29"/>
      <c r="BH201" s="28"/>
      <c r="BI201" s="32"/>
      <c r="BJ201" s="27"/>
      <c r="BK201" s="29"/>
      <c r="BL201" s="28"/>
      <c r="BM201" s="32"/>
    </row>
    <row r="202" customFormat="false" ht="15.75" hidden="false" customHeight="true" outlineLevel="0" collapsed="false">
      <c r="A202" s="27"/>
      <c r="B202" s="39" t="str">
        <f aca="false">IFERROR(INDEX(Customers!$C$4:$C$1003,MATCH($A202,Customers!$A$4:$A$1003,0)),"")</f>
        <v/>
      </c>
      <c r="C202" s="31" t="str">
        <f aca="false">IFERROR(INDEX(Customers!$F$4:$F$1003,MATCH($A202,Customers!$A$4:$A$1003,0)),"")</f>
        <v/>
      </c>
      <c r="D202" s="33" t="str">
        <f aca="false">IFERROR(INDEX(Customers!$K$4:$K$1003,MATCH($A202,Customers!$A$4:$A$1003,0)),"")</f>
        <v/>
      </c>
      <c r="E202" s="33" t="str">
        <f aca="false">IF($A202="","",IF($F202=0,"Not Started",IF($BJ202="Completed",Settings!$U$45,IF($BF202="Completed",Settings!$U$44,IF($BB202="Completed",Settings!$U$43,IF($AX202="Completed",Settings!$U$42,IF($AT202="Completed",Settings!$U$41,IF($AP202="Completed",Settings!$U$40,IF($AL202="Completed",Settings!$U$39,IF($AH202="Completed",Settings!$U$38,IF($AD202="Completed",Settings!$U$37,IF($Z202="Completed",Settings!$U$36,IF($V202="Completed",Settings!$U$35,IF($R202="Completed",Settings!$U$34,IF($N202="Completed",Settings!$U$33,IF($J202="Completed",Settings!$U$32,""))))))))))))))))</f>
        <v/>
      </c>
      <c r="F202" s="30" t="str">
        <f aca="false">IF($A202="","",COUNTIF($J202:$BM202,"Completed"))</f>
        <v/>
      </c>
      <c r="G202" s="35" t="str">
        <f aca="false">IF($A202="","",MIN($F202/13,1))</f>
        <v/>
      </c>
      <c r="H202" s="31" t="str">
        <f aca="false">IF($A202="","",IF($BJ202="Completed","Case Completed",IF($AX202="Completed","Visa Rejected",IF($BF202="Completed","Departed to Europe",IF($F202=0,"Not Started","In Progress")))))</f>
        <v/>
      </c>
      <c r="I202" s="30" t="str">
        <f aca="true">IF($K202="","",IF($BK202&lt;&gt;"",$BK202-$K202,IF($AY202&lt;&gt;"",$AY202-$K202,TODAY()-$K202)))</f>
        <v/>
      </c>
      <c r="J202" s="27"/>
      <c r="K202" s="29"/>
      <c r="L202" s="28"/>
      <c r="M202" s="32"/>
      <c r="N202" s="27"/>
      <c r="O202" s="29"/>
      <c r="P202" s="28"/>
      <c r="Q202" s="32"/>
      <c r="R202" s="27"/>
      <c r="S202" s="29"/>
      <c r="T202" s="28"/>
      <c r="U202" s="32"/>
      <c r="V202" s="27"/>
      <c r="W202" s="29"/>
      <c r="X202" s="28"/>
      <c r="Y202" s="32"/>
      <c r="Z202" s="27"/>
      <c r="AA202" s="29"/>
      <c r="AB202" s="28"/>
      <c r="AC202" s="32"/>
      <c r="AD202" s="27"/>
      <c r="AE202" s="29"/>
      <c r="AF202" s="28"/>
      <c r="AG202" s="32"/>
      <c r="AH202" s="27"/>
      <c r="AI202" s="29"/>
      <c r="AJ202" s="28"/>
      <c r="AK202" s="32"/>
      <c r="AL202" s="27"/>
      <c r="AM202" s="29"/>
      <c r="AN202" s="28"/>
      <c r="AO202" s="32"/>
      <c r="AP202" s="27"/>
      <c r="AQ202" s="29"/>
      <c r="AR202" s="28"/>
      <c r="AS202" s="32"/>
      <c r="AT202" s="27"/>
      <c r="AU202" s="29"/>
      <c r="AV202" s="28"/>
      <c r="AW202" s="32"/>
      <c r="AX202" s="27"/>
      <c r="AY202" s="29"/>
      <c r="AZ202" s="28"/>
      <c r="BA202" s="32"/>
      <c r="BB202" s="27"/>
      <c r="BC202" s="29"/>
      <c r="BD202" s="28"/>
      <c r="BE202" s="32"/>
      <c r="BF202" s="27"/>
      <c r="BG202" s="29"/>
      <c r="BH202" s="28"/>
      <c r="BI202" s="32"/>
      <c r="BJ202" s="27"/>
      <c r="BK202" s="29"/>
      <c r="BL202" s="28"/>
      <c r="BM202" s="32"/>
    </row>
    <row r="203" customFormat="false" ht="15.75" hidden="false" customHeight="true" outlineLevel="0" collapsed="false">
      <c r="A203" s="27"/>
      <c r="B203" s="39" t="str">
        <f aca="false">IFERROR(INDEX(Customers!$C$4:$C$1003,MATCH($A203,Customers!$A$4:$A$1003,0)),"")</f>
        <v/>
      </c>
      <c r="C203" s="31" t="str">
        <f aca="false">IFERROR(INDEX(Customers!$F$4:$F$1003,MATCH($A203,Customers!$A$4:$A$1003,0)),"")</f>
        <v/>
      </c>
      <c r="D203" s="33" t="str">
        <f aca="false">IFERROR(INDEX(Customers!$K$4:$K$1003,MATCH($A203,Customers!$A$4:$A$1003,0)),"")</f>
        <v/>
      </c>
      <c r="E203" s="33" t="str">
        <f aca="false">IF($A203="","",IF($F203=0,"Not Started",IF($BJ203="Completed",Settings!$U$45,IF($BF203="Completed",Settings!$U$44,IF($BB203="Completed",Settings!$U$43,IF($AX203="Completed",Settings!$U$42,IF($AT203="Completed",Settings!$U$41,IF($AP203="Completed",Settings!$U$40,IF($AL203="Completed",Settings!$U$39,IF($AH203="Completed",Settings!$U$38,IF($AD203="Completed",Settings!$U$37,IF($Z203="Completed",Settings!$U$36,IF($V203="Completed",Settings!$U$35,IF($R203="Completed",Settings!$U$34,IF($N203="Completed",Settings!$U$33,IF($J203="Completed",Settings!$U$32,""))))))))))))))))</f>
        <v/>
      </c>
      <c r="F203" s="30" t="str">
        <f aca="false">IF($A203="","",COUNTIF($J203:$BM203,"Completed"))</f>
        <v/>
      </c>
      <c r="G203" s="35" t="str">
        <f aca="false">IF($A203="","",MIN($F203/13,1))</f>
        <v/>
      </c>
      <c r="H203" s="31" t="str">
        <f aca="false">IF($A203="","",IF($BJ203="Completed","Case Completed",IF($AX203="Completed","Visa Rejected",IF($BF203="Completed","Departed to Europe",IF($F203=0,"Not Started","In Progress")))))</f>
        <v/>
      </c>
      <c r="I203" s="30" t="str">
        <f aca="true">IF($K203="","",IF($BK203&lt;&gt;"",$BK203-$K203,IF($AY203&lt;&gt;"",$AY203-$K203,TODAY()-$K203)))</f>
        <v/>
      </c>
      <c r="J203" s="27"/>
      <c r="K203" s="29"/>
      <c r="L203" s="28"/>
      <c r="M203" s="32"/>
      <c r="N203" s="27"/>
      <c r="O203" s="29"/>
      <c r="P203" s="28"/>
      <c r="Q203" s="32"/>
      <c r="R203" s="27"/>
      <c r="S203" s="29"/>
      <c r="T203" s="28"/>
      <c r="U203" s="32"/>
      <c r="V203" s="27"/>
      <c r="W203" s="29"/>
      <c r="X203" s="28"/>
      <c r="Y203" s="32"/>
      <c r="Z203" s="27"/>
      <c r="AA203" s="29"/>
      <c r="AB203" s="28"/>
      <c r="AC203" s="32"/>
      <c r="AD203" s="27"/>
      <c r="AE203" s="29"/>
      <c r="AF203" s="28"/>
      <c r="AG203" s="32"/>
      <c r="AH203" s="27"/>
      <c r="AI203" s="29"/>
      <c r="AJ203" s="28"/>
      <c r="AK203" s="32"/>
      <c r="AL203" s="27"/>
      <c r="AM203" s="29"/>
      <c r="AN203" s="28"/>
      <c r="AO203" s="32"/>
      <c r="AP203" s="27"/>
      <c r="AQ203" s="29"/>
      <c r="AR203" s="28"/>
      <c r="AS203" s="32"/>
      <c r="AT203" s="27"/>
      <c r="AU203" s="29"/>
      <c r="AV203" s="28"/>
      <c r="AW203" s="32"/>
      <c r="AX203" s="27"/>
      <c r="AY203" s="29"/>
      <c r="AZ203" s="28"/>
      <c r="BA203" s="32"/>
      <c r="BB203" s="27"/>
      <c r="BC203" s="29"/>
      <c r="BD203" s="28"/>
      <c r="BE203" s="32"/>
      <c r="BF203" s="27"/>
      <c r="BG203" s="29"/>
      <c r="BH203" s="28"/>
      <c r="BI203" s="32"/>
      <c r="BJ203" s="27"/>
      <c r="BK203" s="29"/>
      <c r="BL203" s="28"/>
      <c r="BM203" s="32"/>
    </row>
  </sheetData>
  <autoFilter ref="A4:BM203"/>
  <mergeCells count="17">
    <mergeCell ref="A1:BM1"/>
    <mergeCell ref="A2:BM2"/>
    <mergeCell ref="A3:I3"/>
    <mergeCell ref="J3:M3"/>
    <mergeCell ref="N3:Q3"/>
    <mergeCell ref="R3:U3"/>
    <mergeCell ref="V3:Y3"/>
    <mergeCell ref="Z3:AC3"/>
    <mergeCell ref="AD3:AG3"/>
    <mergeCell ref="AH3:AK3"/>
    <mergeCell ref="AL3:AO3"/>
    <mergeCell ref="AP3:AS3"/>
    <mergeCell ref="AT3:AW3"/>
    <mergeCell ref="AX3:BA3"/>
    <mergeCell ref="BB3:BE3"/>
    <mergeCell ref="BF3:BI3"/>
    <mergeCell ref="BJ3:BM3"/>
  </mergeCells>
  <conditionalFormatting sqref="J5:J203">
    <cfRule type="cellIs" priority="2" operator="equal" aboveAverage="0" equalAverage="0" bottom="0" percent="0" rank="0" text="" dxfId="19">
      <formula>"Completed"</formula>
    </cfRule>
    <cfRule type="cellIs" priority="3" operator="equal" aboveAverage="0" equalAverage="0" bottom="0" percent="0" rank="0" text="" dxfId="20">
      <formula>"In Progress"</formula>
    </cfRule>
    <cfRule type="cellIs" priority="4" operator="equal" aboveAverage="0" equalAverage="0" bottom="0" percent="0" rank="0" text="" dxfId="23">
      <formula>"Pending"</formula>
    </cfRule>
    <cfRule type="cellIs" priority="5" operator="equal" aboveAverage="0" equalAverage="0" bottom="0" percent="0" rank="0" text="" dxfId="22">
      <formula>"Blocked"</formula>
    </cfRule>
    <cfRule type="cellIs" priority="6" operator="equal" aboveAverage="0" equalAverage="0" bottom="0" percent="0" rank="0" text="" dxfId="26">
      <formula>"N/A"</formula>
    </cfRule>
  </conditionalFormatting>
  <conditionalFormatting sqref="N5:N203">
    <cfRule type="cellIs" priority="7" operator="equal" aboveAverage="0" equalAverage="0" bottom="0" percent="0" rank="0" text="" dxfId="19">
      <formula>"Completed"</formula>
    </cfRule>
    <cfRule type="cellIs" priority="8" operator="equal" aboveAverage="0" equalAverage="0" bottom="0" percent="0" rank="0" text="" dxfId="20">
      <formula>"In Progress"</formula>
    </cfRule>
    <cfRule type="cellIs" priority="9" operator="equal" aboveAverage="0" equalAverage="0" bottom="0" percent="0" rank="0" text="" dxfId="23">
      <formula>"Pending"</formula>
    </cfRule>
    <cfRule type="cellIs" priority="10" operator="equal" aboveAverage="0" equalAverage="0" bottom="0" percent="0" rank="0" text="" dxfId="22">
      <formula>"Blocked"</formula>
    </cfRule>
    <cfRule type="cellIs" priority="11" operator="equal" aboveAverage="0" equalAverage="0" bottom="0" percent="0" rank="0" text="" dxfId="26">
      <formula>"N/A"</formula>
    </cfRule>
  </conditionalFormatting>
  <conditionalFormatting sqref="R5:R203">
    <cfRule type="cellIs" priority="12" operator="equal" aboveAverage="0" equalAverage="0" bottom="0" percent="0" rank="0" text="" dxfId="19">
      <formula>"Completed"</formula>
    </cfRule>
    <cfRule type="cellIs" priority="13" operator="equal" aboveAverage="0" equalAverage="0" bottom="0" percent="0" rank="0" text="" dxfId="20">
      <formula>"In Progress"</formula>
    </cfRule>
    <cfRule type="cellIs" priority="14" operator="equal" aboveAverage="0" equalAverage="0" bottom="0" percent="0" rank="0" text="" dxfId="23">
      <formula>"Pending"</formula>
    </cfRule>
    <cfRule type="cellIs" priority="15" operator="equal" aboveAverage="0" equalAverage="0" bottom="0" percent="0" rank="0" text="" dxfId="22">
      <formula>"Blocked"</formula>
    </cfRule>
    <cfRule type="cellIs" priority="16" operator="equal" aboveAverage="0" equalAverage="0" bottom="0" percent="0" rank="0" text="" dxfId="26">
      <formula>"N/A"</formula>
    </cfRule>
  </conditionalFormatting>
  <conditionalFormatting sqref="V5:V203">
    <cfRule type="cellIs" priority="17" operator="equal" aboveAverage="0" equalAverage="0" bottom="0" percent="0" rank="0" text="" dxfId="19">
      <formula>"Completed"</formula>
    </cfRule>
    <cfRule type="cellIs" priority="18" operator="equal" aboveAverage="0" equalAverage="0" bottom="0" percent="0" rank="0" text="" dxfId="20">
      <formula>"In Progress"</formula>
    </cfRule>
    <cfRule type="cellIs" priority="19" operator="equal" aboveAverage="0" equalAverage="0" bottom="0" percent="0" rank="0" text="" dxfId="23">
      <formula>"Pending"</formula>
    </cfRule>
    <cfRule type="cellIs" priority="20" operator="equal" aboveAverage="0" equalAverage="0" bottom="0" percent="0" rank="0" text="" dxfId="22">
      <formula>"Blocked"</formula>
    </cfRule>
    <cfRule type="cellIs" priority="21" operator="equal" aboveAverage="0" equalAverage="0" bottom="0" percent="0" rank="0" text="" dxfId="26">
      <formula>"N/A"</formula>
    </cfRule>
  </conditionalFormatting>
  <conditionalFormatting sqref="Z5:Z203">
    <cfRule type="cellIs" priority="22" operator="equal" aboveAverage="0" equalAverage="0" bottom="0" percent="0" rank="0" text="" dxfId="19">
      <formula>"Completed"</formula>
    </cfRule>
    <cfRule type="cellIs" priority="23" operator="equal" aboveAverage="0" equalAverage="0" bottom="0" percent="0" rank="0" text="" dxfId="20">
      <formula>"In Progress"</formula>
    </cfRule>
    <cfRule type="cellIs" priority="24" operator="equal" aboveAverage="0" equalAverage="0" bottom="0" percent="0" rank="0" text="" dxfId="23">
      <formula>"Pending"</formula>
    </cfRule>
    <cfRule type="cellIs" priority="25" operator="equal" aboveAverage="0" equalAverage="0" bottom="0" percent="0" rank="0" text="" dxfId="22">
      <formula>"Blocked"</formula>
    </cfRule>
    <cfRule type="cellIs" priority="26" operator="equal" aboveAverage="0" equalAverage="0" bottom="0" percent="0" rank="0" text="" dxfId="26">
      <formula>"N/A"</formula>
    </cfRule>
  </conditionalFormatting>
  <conditionalFormatting sqref="AD5:AD203">
    <cfRule type="cellIs" priority="27" operator="equal" aboveAverage="0" equalAverage="0" bottom="0" percent="0" rank="0" text="" dxfId="19">
      <formula>"Completed"</formula>
    </cfRule>
    <cfRule type="cellIs" priority="28" operator="equal" aboveAverage="0" equalAverage="0" bottom="0" percent="0" rank="0" text="" dxfId="20">
      <formula>"In Progress"</formula>
    </cfRule>
    <cfRule type="cellIs" priority="29" operator="equal" aboveAverage="0" equalAverage="0" bottom="0" percent="0" rank="0" text="" dxfId="23">
      <formula>"Pending"</formula>
    </cfRule>
    <cfRule type="cellIs" priority="30" operator="equal" aboveAverage="0" equalAverage="0" bottom="0" percent="0" rank="0" text="" dxfId="22">
      <formula>"Blocked"</formula>
    </cfRule>
    <cfRule type="cellIs" priority="31" operator="equal" aboveAverage="0" equalAverage="0" bottom="0" percent="0" rank="0" text="" dxfId="26">
      <formula>"N/A"</formula>
    </cfRule>
  </conditionalFormatting>
  <conditionalFormatting sqref="AH5:AH203">
    <cfRule type="cellIs" priority="32" operator="equal" aboveAverage="0" equalAverage="0" bottom="0" percent="0" rank="0" text="" dxfId="19">
      <formula>"Completed"</formula>
    </cfRule>
    <cfRule type="cellIs" priority="33" operator="equal" aboveAverage="0" equalAverage="0" bottom="0" percent="0" rank="0" text="" dxfId="20">
      <formula>"In Progress"</formula>
    </cfRule>
    <cfRule type="cellIs" priority="34" operator="equal" aboveAverage="0" equalAverage="0" bottom="0" percent="0" rank="0" text="" dxfId="23">
      <formula>"Pending"</formula>
    </cfRule>
    <cfRule type="cellIs" priority="35" operator="equal" aboveAverage="0" equalAverage="0" bottom="0" percent="0" rank="0" text="" dxfId="22">
      <formula>"Blocked"</formula>
    </cfRule>
    <cfRule type="cellIs" priority="36" operator="equal" aboveAverage="0" equalAverage="0" bottom="0" percent="0" rank="0" text="" dxfId="26">
      <formula>"N/A"</formula>
    </cfRule>
  </conditionalFormatting>
  <conditionalFormatting sqref="AL5:AL203">
    <cfRule type="cellIs" priority="37" operator="equal" aboveAverage="0" equalAverage="0" bottom="0" percent="0" rank="0" text="" dxfId="19">
      <formula>"Completed"</formula>
    </cfRule>
    <cfRule type="cellIs" priority="38" operator="equal" aboveAverage="0" equalAverage="0" bottom="0" percent="0" rank="0" text="" dxfId="20">
      <formula>"In Progress"</formula>
    </cfRule>
    <cfRule type="cellIs" priority="39" operator="equal" aboveAverage="0" equalAverage="0" bottom="0" percent="0" rank="0" text="" dxfId="23">
      <formula>"Pending"</formula>
    </cfRule>
    <cfRule type="cellIs" priority="40" operator="equal" aboveAverage="0" equalAverage="0" bottom="0" percent="0" rank="0" text="" dxfId="22">
      <formula>"Blocked"</formula>
    </cfRule>
    <cfRule type="cellIs" priority="41" operator="equal" aboveAverage="0" equalAverage="0" bottom="0" percent="0" rank="0" text="" dxfId="26">
      <formula>"N/A"</formula>
    </cfRule>
  </conditionalFormatting>
  <conditionalFormatting sqref="AP5:AP203">
    <cfRule type="cellIs" priority="42" operator="equal" aboveAverage="0" equalAverage="0" bottom="0" percent="0" rank="0" text="" dxfId="19">
      <formula>"Completed"</formula>
    </cfRule>
    <cfRule type="cellIs" priority="43" operator="equal" aboveAverage="0" equalAverage="0" bottom="0" percent="0" rank="0" text="" dxfId="20">
      <formula>"In Progress"</formula>
    </cfRule>
    <cfRule type="cellIs" priority="44" operator="equal" aboveAverage="0" equalAverage="0" bottom="0" percent="0" rank="0" text="" dxfId="23">
      <formula>"Pending"</formula>
    </cfRule>
    <cfRule type="cellIs" priority="45" operator="equal" aboveAverage="0" equalAverage="0" bottom="0" percent="0" rank="0" text="" dxfId="22">
      <formula>"Blocked"</formula>
    </cfRule>
    <cfRule type="cellIs" priority="46" operator="equal" aboveAverage="0" equalAverage="0" bottom="0" percent="0" rank="0" text="" dxfId="26">
      <formula>"N/A"</formula>
    </cfRule>
  </conditionalFormatting>
  <conditionalFormatting sqref="AT5:AT203">
    <cfRule type="cellIs" priority="47" operator="equal" aboveAverage="0" equalAverage="0" bottom="0" percent="0" rank="0" text="" dxfId="19">
      <formula>"Completed"</formula>
    </cfRule>
    <cfRule type="cellIs" priority="48" operator="equal" aboveAverage="0" equalAverage="0" bottom="0" percent="0" rank="0" text="" dxfId="20">
      <formula>"In Progress"</formula>
    </cfRule>
    <cfRule type="cellIs" priority="49" operator="equal" aboveAverage="0" equalAverage="0" bottom="0" percent="0" rank="0" text="" dxfId="23">
      <formula>"Pending"</formula>
    </cfRule>
    <cfRule type="cellIs" priority="50" operator="equal" aboveAverage="0" equalAverage="0" bottom="0" percent="0" rank="0" text="" dxfId="22">
      <formula>"Blocked"</formula>
    </cfRule>
    <cfRule type="cellIs" priority="51" operator="equal" aboveAverage="0" equalAverage="0" bottom="0" percent="0" rank="0" text="" dxfId="26">
      <formula>"N/A"</formula>
    </cfRule>
  </conditionalFormatting>
  <conditionalFormatting sqref="AX5:AX203">
    <cfRule type="cellIs" priority="52" operator="equal" aboveAverage="0" equalAverage="0" bottom="0" percent="0" rank="0" text="" dxfId="19">
      <formula>"Completed"</formula>
    </cfRule>
    <cfRule type="cellIs" priority="53" operator="equal" aboveAverage="0" equalAverage="0" bottom="0" percent="0" rank="0" text="" dxfId="20">
      <formula>"In Progress"</formula>
    </cfRule>
    <cfRule type="cellIs" priority="54" operator="equal" aboveAverage="0" equalAverage="0" bottom="0" percent="0" rank="0" text="" dxfId="23">
      <formula>"Pending"</formula>
    </cfRule>
    <cfRule type="cellIs" priority="55" operator="equal" aboveAverage="0" equalAverage="0" bottom="0" percent="0" rank="0" text="" dxfId="22">
      <formula>"Blocked"</formula>
    </cfRule>
    <cfRule type="cellIs" priority="56" operator="equal" aboveAverage="0" equalAverage="0" bottom="0" percent="0" rank="0" text="" dxfId="26">
      <formula>"N/A"</formula>
    </cfRule>
  </conditionalFormatting>
  <conditionalFormatting sqref="BB5:BB203">
    <cfRule type="cellIs" priority="57" operator="equal" aboveAverage="0" equalAverage="0" bottom="0" percent="0" rank="0" text="" dxfId="19">
      <formula>"Completed"</formula>
    </cfRule>
    <cfRule type="cellIs" priority="58" operator="equal" aboveAverage="0" equalAverage="0" bottom="0" percent="0" rank="0" text="" dxfId="20">
      <formula>"In Progress"</formula>
    </cfRule>
    <cfRule type="cellIs" priority="59" operator="equal" aboveAverage="0" equalAverage="0" bottom="0" percent="0" rank="0" text="" dxfId="23">
      <formula>"Pending"</formula>
    </cfRule>
    <cfRule type="cellIs" priority="60" operator="equal" aboveAverage="0" equalAverage="0" bottom="0" percent="0" rank="0" text="" dxfId="22">
      <formula>"Blocked"</formula>
    </cfRule>
    <cfRule type="cellIs" priority="61" operator="equal" aboveAverage="0" equalAverage="0" bottom="0" percent="0" rank="0" text="" dxfId="26">
      <formula>"N/A"</formula>
    </cfRule>
  </conditionalFormatting>
  <conditionalFormatting sqref="BF5:BF203">
    <cfRule type="cellIs" priority="62" operator="equal" aboveAverage="0" equalAverage="0" bottom="0" percent="0" rank="0" text="" dxfId="19">
      <formula>"Completed"</formula>
    </cfRule>
    <cfRule type="cellIs" priority="63" operator="equal" aboveAverage="0" equalAverage="0" bottom="0" percent="0" rank="0" text="" dxfId="20">
      <formula>"In Progress"</formula>
    </cfRule>
    <cfRule type="cellIs" priority="64" operator="equal" aboveAverage="0" equalAverage="0" bottom="0" percent="0" rank="0" text="" dxfId="23">
      <formula>"Pending"</formula>
    </cfRule>
    <cfRule type="cellIs" priority="65" operator="equal" aboveAverage="0" equalAverage="0" bottom="0" percent="0" rank="0" text="" dxfId="22">
      <formula>"Blocked"</formula>
    </cfRule>
    <cfRule type="cellIs" priority="66" operator="equal" aboveAverage="0" equalAverage="0" bottom="0" percent="0" rank="0" text="" dxfId="26">
      <formula>"N/A"</formula>
    </cfRule>
  </conditionalFormatting>
  <conditionalFormatting sqref="BJ5:BJ203">
    <cfRule type="cellIs" priority="67" operator="equal" aboveAverage="0" equalAverage="0" bottom="0" percent="0" rank="0" text="" dxfId="19">
      <formula>"Completed"</formula>
    </cfRule>
    <cfRule type="cellIs" priority="68" operator="equal" aboveAverage="0" equalAverage="0" bottom="0" percent="0" rank="0" text="" dxfId="20">
      <formula>"In Progress"</formula>
    </cfRule>
    <cfRule type="cellIs" priority="69" operator="equal" aboveAverage="0" equalAverage="0" bottom="0" percent="0" rank="0" text="" dxfId="23">
      <formula>"Pending"</formula>
    </cfRule>
    <cfRule type="cellIs" priority="70" operator="equal" aboveAverage="0" equalAverage="0" bottom="0" percent="0" rank="0" text="" dxfId="22">
      <formula>"Blocked"</formula>
    </cfRule>
    <cfRule type="cellIs" priority="71" operator="equal" aboveAverage="0" equalAverage="0" bottom="0" percent="0" rank="0" text="" dxfId="26">
      <formula>"N/A"</formula>
    </cfRule>
  </conditionalFormatting>
  <conditionalFormatting sqref="G5:G203">
    <cfRule type="dataBar" priority="72">
      <dataBar showValue="1" minLength="10" maxLength="90">
        <cfvo type="num" val="0"/>
        <cfvo type="num" val="1"/>
        <color rgb="FF2E5C8A"/>
      </dataBar>
      <extLst>
        <ext xmlns:x14="http://schemas.microsoft.com/office/spreadsheetml/2009/9/main" uri="{B025F937-C7B1-47D3-B67F-A62EFF666E3E}">
          <x14:id>{47459475-54C6-4B66-A2DC-60747C3EE062}</x14:id>
        </ext>
      </extLst>
    </cfRule>
  </conditionalFormatting>
  <conditionalFormatting sqref="H5:H203">
    <cfRule type="cellIs" priority="73" operator="equal" aboveAverage="0" equalAverage="0" bottom="0" percent="0" rank="0" text="" dxfId="19">
      <formula>"Case Completed"</formula>
    </cfRule>
    <cfRule type="cellIs" priority="74" operator="equal" aboveAverage="0" equalAverage="0" bottom="0" percent="0" rank="0" text="" dxfId="18">
      <formula>"Departed to Europe"</formula>
    </cfRule>
    <cfRule type="cellIs" priority="75" operator="equal" aboveAverage="0" equalAverage="0" bottom="0" percent="0" rank="0" text="" dxfId="22">
      <formula>"Visa Rejected"</formula>
    </cfRule>
    <cfRule type="cellIs" priority="76" operator="equal" aboveAverage="0" equalAverage="0" bottom="0" percent="0" rank="0" text="" dxfId="20">
      <formula>"In Progress"</formula>
    </cfRule>
    <cfRule type="cellIs" priority="77" operator="equal" aboveAverage="0" equalAverage="0" bottom="0" percent="0" rank="0" text="" dxfId="23">
      <formula>"Not Started"</formula>
    </cfRule>
  </conditionalFormatting>
  <dataValidations count="42">
    <dataValidation allowBlank="true" error="Please choose one of the values from the drop-down list." errorStyle="stop" errorTitle="Invalid entry" operator="between" showDropDown="false" showErrorMessage="false" showInputMessage="false" sqref="J5:J203" type="list">
      <formula1>Settings!$L$32:$L$36</formula1>
      <formula2>0</formula2>
    </dataValidation>
    <dataValidation allowBlank="true" error="Enter a valid date (dd/mm/yyyy)." errorStyle="stop" errorTitle="Invalid date" operator="between" showDropDown="false" showErrorMessage="false" showInputMessage="false" sqref="K5:K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L5:L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N5:N203" type="list">
      <formula1>Settings!$L$32:$L$36</formula1>
      <formula2>0</formula2>
    </dataValidation>
    <dataValidation allowBlank="true" error="Enter a valid date (dd/mm/yyyy)." errorStyle="stop" errorTitle="Invalid date" operator="between" showDropDown="false" showErrorMessage="false" showInputMessage="false" sqref="O5:O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P5:P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R5:R203" type="list">
      <formula1>Settings!$L$32:$L$36</formula1>
      <formula2>0</formula2>
    </dataValidation>
    <dataValidation allowBlank="true" error="Enter a valid date (dd/mm/yyyy)." errorStyle="stop" errorTitle="Invalid date" operator="between" showDropDown="false" showErrorMessage="false" showInputMessage="false" sqref="S5:S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T5:T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V5:V203" type="list">
      <formula1>Settings!$L$32:$L$36</formula1>
      <formula2>0</formula2>
    </dataValidation>
    <dataValidation allowBlank="true" error="Enter a valid date (dd/mm/yyyy)." errorStyle="stop" errorTitle="Invalid date" operator="between" showDropDown="false" showErrorMessage="false" showInputMessage="false" sqref="W5:W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X5:X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Z5:Z203" type="list">
      <formula1>Settings!$L$32:$L$36</formula1>
      <formula2>0</formula2>
    </dataValidation>
    <dataValidation allowBlank="true" error="Enter a valid date (dd/mm/yyyy)." errorStyle="stop" errorTitle="Invalid date" operator="between" showDropDown="false" showErrorMessage="false" showInputMessage="false" sqref="AA5:AA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AB5:AB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AD5:AD203" type="list">
      <formula1>Settings!$L$32:$L$36</formula1>
      <formula2>0</formula2>
    </dataValidation>
    <dataValidation allowBlank="true" error="Enter a valid date (dd/mm/yyyy)." errorStyle="stop" errorTitle="Invalid date" operator="between" showDropDown="false" showErrorMessage="false" showInputMessage="false" sqref="AE5:AE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AF5:AF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AH5:AH203" type="list">
      <formula1>Settings!$L$32:$L$36</formula1>
      <formula2>0</formula2>
    </dataValidation>
    <dataValidation allowBlank="true" error="Enter a valid date (dd/mm/yyyy)." errorStyle="stop" errorTitle="Invalid date" operator="between" showDropDown="false" showErrorMessage="false" showInputMessage="false" sqref="AI5:AI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AJ5:AJ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AL5:AL203" type="list">
      <formula1>Settings!$L$32:$L$36</formula1>
      <formula2>0</formula2>
    </dataValidation>
    <dataValidation allowBlank="true" error="Enter a valid date (dd/mm/yyyy)." errorStyle="stop" errorTitle="Invalid date" operator="between" showDropDown="false" showErrorMessage="false" showInputMessage="false" sqref="AM5:AM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AN5:AN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AP5:AP203" type="list">
      <formula1>Settings!$L$32:$L$36</formula1>
      <formula2>0</formula2>
    </dataValidation>
    <dataValidation allowBlank="true" error="Enter a valid date (dd/mm/yyyy)." errorStyle="stop" errorTitle="Invalid date" operator="between" showDropDown="false" showErrorMessage="false" showInputMessage="false" sqref="AQ5:AQ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AR5:AR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AT5:AT203" type="list">
      <formula1>Settings!$L$32:$L$36</formula1>
      <formula2>0</formula2>
    </dataValidation>
    <dataValidation allowBlank="true" error="Enter a valid date (dd/mm/yyyy)." errorStyle="stop" errorTitle="Invalid date" operator="between" showDropDown="false" showErrorMessage="false" showInputMessage="false" sqref="AU5:AU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AV5:AV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AX5:AX203" type="list">
      <formula1>Settings!$L$32:$L$36</formula1>
      <formula2>0</formula2>
    </dataValidation>
    <dataValidation allowBlank="true" error="Enter a valid date (dd/mm/yyyy)." errorStyle="stop" errorTitle="Invalid date" operator="between" showDropDown="false" showErrorMessage="false" showInputMessage="false" sqref="AY5:AY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AZ5:AZ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BB5:BB203" type="list">
      <formula1>Settings!$L$32:$L$36</formula1>
      <formula2>0</formula2>
    </dataValidation>
    <dataValidation allowBlank="true" error="Enter a valid date (dd/mm/yyyy)." errorStyle="stop" errorTitle="Invalid date" operator="between" showDropDown="false" showErrorMessage="false" showInputMessage="false" sqref="BC5:BC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BD5:BD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BF5:BF203" type="list">
      <formula1>Settings!$L$32:$L$36</formula1>
      <formula2>0</formula2>
    </dataValidation>
    <dataValidation allowBlank="true" error="Enter a valid date (dd/mm/yyyy)." errorStyle="stop" errorTitle="Invalid date" operator="between" showDropDown="false" showErrorMessage="false" showInputMessage="false" sqref="BG5:BG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BH5:BH203" type="list">
      <formula1>'Employee Management'!$B$4:$B$43</formula1>
      <formula2>0</formula2>
    </dataValidation>
    <dataValidation allowBlank="true" error="Please choose one of the values from the drop-down list." errorStyle="stop" errorTitle="Invalid entry" operator="between" showDropDown="false" showErrorMessage="false" showInputMessage="false" sqref="BJ5:BJ203" type="list">
      <formula1>Settings!$L$32:$L$36</formula1>
      <formula2>0</formula2>
    </dataValidation>
    <dataValidation allowBlank="true" error="Enter a valid date (dd/mm/yyyy)." errorStyle="stop" errorTitle="Invalid date" operator="between" showDropDown="false" showErrorMessage="false" showInputMessage="false" sqref="BK5:BK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BL5:BL203" type="list">
      <formula1>'Employee Management'!$B$4:$B$43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47459475-54C6-4B66-A2DC-60747C3EE062}">
            <x14:dataBar minLength="10" maxLength="90" axisPosition="none" gradient="true">
              <x14:cfvo type="num">
                <xm:f>0</xm:f>
              </x14:cfvo>
              <x14:cfvo type="num">
                <xm:f>1</xm:f>
              </x14:cfvo>
              <x14:negativeFillColor rgb="FF2E5C8A"/>
              <x14:axisColor rgb="FF000000"/>
            </x14:dataBar>
          </x14:cfRule>
          <xm:sqref>G5:G203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AA2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2734375" defaultRowHeight="15" customHeight="false"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2"/>
    <col collapsed="false" customWidth="true" hidden="false" outlineLevel="0" max="4" min="4" style="0" width="24"/>
    <col collapsed="false" customWidth="true" hidden="false" outlineLevel="0" max="6" min="5" style="0" width="14"/>
    <col collapsed="false" customWidth="true" hidden="false" outlineLevel="0" max="7" min="7" style="0" width="15"/>
    <col collapsed="false" customWidth="true" hidden="false" outlineLevel="0" max="8" min="8" style="0" width="14"/>
    <col collapsed="false" customWidth="true" hidden="false" outlineLevel="0" max="9" min="9" style="0" width="13"/>
    <col collapsed="false" customWidth="true" hidden="false" outlineLevel="0" max="10" min="10" style="0" width="14"/>
    <col collapsed="false" customWidth="true" hidden="false" outlineLevel="0" max="11" min="11" style="0" width="11"/>
    <col collapsed="false" customWidth="true" hidden="false" outlineLevel="0" max="12" min="12" style="0" width="18"/>
    <col collapsed="false" customWidth="true" hidden="false" outlineLevel="0" max="13" min="13" style="0" width="19"/>
    <col collapsed="false" customWidth="true" hidden="false" outlineLevel="0" max="14" min="14" style="0" width="20"/>
    <col collapsed="false" customWidth="true" hidden="false" outlineLevel="0" max="15" min="15" style="0" width="34"/>
    <col collapsed="false" customWidth="true" hidden="false" outlineLevel="0" max="17" min="17" style="0" width="12"/>
    <col collapsed="false" customWidth="true" hidden="false" outlineLevel="0" max="18" min="18" style="0" width="13"/>
    <col collapsed="false" customWidth="true" hidden="false" outlineLevel="0" max="19" min="19" style="0" width="22"/>
    <col collapsed="false" customWidth="true" hidden="false" outlineLevel="0" max="20" min="20" style="0" width="40"/>
    <col collapsed="false" customWidth="true" hidden="false" outlineLevel="0" max="21" min="21" style="0" width="14"/>
    <col collapsed="false" customWidth="true" hidden="false" outlineLevel="0" max="22" min="22" style="0" width="16"/>
    <col collapsed="false" customWidth="true" hidden="false" outlineLevel="0" max="23" min="23" style="0" width="24"/>
    <col collapsed="false" customWidth="true" hidden="false" outlineLevel="0" max="24" min="24" style="0" width="20"/>
    <col collapsed="false" customWidth="true" hidden="false" outlineLevel="0" max="26" min="26" style="0" width="34"/>
    <col collapsed="false" customWidth="true" hidden="false" outlineLevel="0" max="27" min="27" style="0" width="18"/>
  </cols>
  <sheetData>
    <row r="1" customFormat="false" ht="30" hidden="false" customHeight="true" outlineLevel="0" collapsed="false">
      <c r="A1" s="1" t="s">
        <v>429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430</v>
      </c>
      <c r="B2" s="2"/>
      <c r="C2" s="2"/>
      <c r="D2" s="2"/>
      <c r="E2" s="2"/>
      <c r="F2" s="2"/>
      <c r="G2" s="2"/>
      <c r="H2" s="2"/>
      <c r="I2" s="2"/>
      <c r="J2" s="2"/>
      <c r="K2" s="2"/>
      <c r="L2" s="2"/>
      <c r="M2" s="2"/>
      <c r="N2" s="2"/>
      <c r="O2" s="2"/>
      <c r="P2" s="2"/>
      <c r="Q2" s="2"/>
      <c r="R2" s="2"/>
      <c r="S2" s="2"/>
      <c r="T2" s="2"/>
      <c r="U2" s="2"/>
      <c r="V2" s="2"/>
      <c r="W2" s="2"/>
      <c r="X2" s="2"/>
      <c r="Y2" s="2"/>
      <c r="Z2" s="2"/>
      <c r="AA2" s="2"/>
    </row>
    <row r="3" customFormat="false" ht="19.5" hidden="false" customHeight="true" outlineLevel="0" collapsed="false">
      <c r="A3" s="26" t="s">
        <v>431</v>
      </c>
      <c r="B3" s="26" t="s">
        <v>328</v>
      </c>
      <c r="C3" s="26" t="s">
        <v>432</v>
      </c>
      <c r="D3" s="26" t="s">
        <v>433</v>
      </c>
      <c r="E3" s="26" t="s">
        <v>434</v>
      </c>
      <c r="F3" s="26" t="s">
        <v>435</v>
      </c>
      <c r="G3" s="26" t="s">
        <v>436</v>
      </c>
      <c r="H3" s="26" t="s">
        <v>437</v>
      </c>
      <c r="I3" s="26" t="s">
        <v>438</v>
      </c>
      <c r="J3" s="26" t="s">
        <v>263</v>
      </c>
      <c r="K3" s="26" t="s">
        <v>439</v>
      </c>
      <c r="L3" s="26" t="s">
        <v>440</v>
      </c>
      <c r="M3" s="26" t="s">
        <v>441</v>
      </c>
      <c r="N3" s="26" t="s">
        <v>442</v>
      </c>
      <c r="O3" s="26" t="s">
        <v>54</v>
      </c>
      <c r="Q3" s="26" t="s">
        <v>443</v>
      </c>
      <c r="R3" s="26" t="s">
        <v>416</v>
      </c>
      <c r="S3" s="26" t="s">
        <v>444</v>
      </c>
      <c r="T3" s="26" t="s">
        <v>445</v>
      </c>
      <c r="U3" s="26" t="s">
        <v>434</v>
      </c>
      <c r="V3" s="26" t="s">
        <v>436</v>
      </c>
      <c r="W3" s="26" t="s">
        <v>446</v>
      </c>
      <c r="X3" s="26" t="s">
        <v>447</v>
      </c>
      <c r="Z3" s="40" t="s">
        <v>448</v>
      </c>
      <c r="AA3" s="40"/>
    </row>
    <row r="4" customFormat="false" ht="15.75" hidden="false" customHeight="true" outlineLevel="0" collapsed="false">
      <c r="A4" s="27" t="s">
        <v>449</v>
      </c>
      <c r="B4" s="27" t="s">
        <v>342</v>
      </c>
      <c r="C4" s="33" t="str">
        <f aca="false">IFERROR(INDEX(Customers!$C$4:$C$1003,MATCH($B4,Customers!$A$4:$A$1003,0)),"")</f>
        <v>Firdavs Rahmonov</v>
      </c>
      <c r="D4" s="28" t="s">
        <v>380</v>
      </c>
      <c r="E4" s="41" t="n">
        <v>6600</v>
      </c>
      <c r="F4" s="29" t="n">
        <v>46039</v>
      </c>
      <c r="G4" s="27" t="s">
        <v>450</v>
      </c>
      <c r="H4" s="27" t="s">
        <v>451</v>
      </c>
      <c r="I4" s="29" t="n">
        <v>46039</v>
      </c>
      <c r="J4" s="27" t="s">
        <v>274</v>
      </c>
      <c r="K4" s="30" t="n">
        <f aca="true">IF(OR($A4="",$I4=""),"",IF($J4="Paid",0,IF(TODAY()&gt;$I4,TODAY()-$I4,0)))</f>
        <v>0</v>
      </c>
      <c r="L4" s="34" t="n">
        <f aca="false">IFERROR(INDEX(Customers!$M$4:$M$1003,MATCH($B4,Customers!$A$4:$A$1003,0)),"")</f>
        <v>22000</v>
      </c>
      <c r="M4" s="34" t="n">
        <f aca="false">IFERROR(INDEX(Customers!$N$4:$N$1003,MATCH($B4,Customers!$A$4:$A$1003,0)),"")</f>
        <v>0</v>
      </c>
      <c r="N4" s="28" t="s">
        <v>452</v>
      </c>
      <c r="O4" s="32"/>
      <c r="Q4" s="27" t="s">
        <v>453</v>
      </c>
      <c r="R4" s="29" t="n">
        <v>46027</v>
      </c>
      <c r="S4" s="28" t="s">
        <v>454</v>
      </c>
      <c r="T4" s="32" t="s">
        <v>455</v>
      </c>
      <c r="U4" s="41" t="n">
        <v>3500</v>
      </c>
      <c r="V4" s="27" t="s">
        <v>450</v>
      </c>
      <c r="W4" s="28" t="s">
        <v>456</v>
      </c>
      <c r="X4" s="28" t="s">
        <v>390</v>
      </c>
      <c r="Z4" s="42" t="s">
        <v>457</v>
      </c>
      <c r="AA4" s="43" t="n">
        <f aca="false">SUMIFS($E$4:$E$1003,$J$4:$J$1003,"Paid")</f>
        <v>225250</v>
      </c>
    </row>
    <row r="5" customFormat="false" ht="15.75" hidden="false" customHeight="true" outlineLevel="0" collapsed="false">
      <c r="A5" s="27" t="s">
        <v>458</v>
      </c>
      <c r="B5" s="27" t="s">
        <v>342</v>
      </c>
      <c r="C5" s="33" t="str">
        <f aca="false">IFERROR(INDEX(Customers!$C$4:$C$1003,MATCH($B5,Customers!$A$4:$A$1003,0)),"")</f>
        <v>Firdavs Rahmonov</v>
      </c>
      <c r="D5" s="28" t="s">
        <v>381</v>
      </c>
      <c r="E5" s="41" t="n">
        <v>4400</v>
      </c>
      <c r="F5" s="29" t="n">
        <v>46059</v>
      </c>
      <c r="G5" s="27" t="s">
        <v>459</v>
      </c>
      <c r="H5" s="27" t="s">
        <v>460</v>
      </c>
      <c r="I5" s="29" t="n">
        <v>46059</v>
      </c>
      <c r="J5" s="27" t="s">
        <v>274</v>
      </c>
      <c r="K5" s="30" t="n">
        <f aca="true">IF(OR($A5="",$I5=""),"",IF($J5="Paid",0,IF(TODAY()&gt;$I5,TODAY()-$I5,0)))</f>
        <v>0</v>
      </c>
      <c r="L5" s="34" t="n">
        <f aca="false">IFERROR(INDEX(Customers!$M$4:$M$1003,MATCH($B5,Customers!$A$4:$A$1003,0)),"")</f>
        <v>22000</v>
      </c>
      <c r="M5" s="34" t="n">
        <f aca="false">IFERROR(INDEX(Customers!$N$4:$N$1003,MATCH($B5,Customers!$A$4:$A$1003,0)),"")</f>
        <v>0</v>
      </c>
      <c r="N5" s="28" t="s">
        <v>452</v>
      </c>
      <c r="O5" s="32"/>
      <c r="Q5" s="27" t="s">
        <v>461</v>
      </c>
      <c r="R5" s="29" t="n">
        <v>46050</v>
      </c>
      <c r="S5" s="28" t="s">
        <v>462</v>
      </c>
      <c r="T5" s="32" t="s">
        <v>463</v>
      </c>
      <c r="U5" s="41" t="n">
        <v>19000</v>
      </c>
      <c r="V5" s="27" t="s">
        <v>450</v>
      </c>
      <c r="W5" s="28" t="s">
        <v>464</v>
      </c>
      <c r="X5" s="28" t="s">
        <v>390</v>
      </c>
      <c r="Z5" s="42" t="s">
        <v>465</v>
      </c>
      <c r="AA5" s="43" t="n">
        <f aca="false">SUMIFS(Consultation!$H$4:$H$1003,Consultation!$I$4:$I$1003,"Paid")</f>
        <v>700</v>
      </c>
    </row>
    <row r="6" customFormat="false" ht="15.75" hidden="false" customHeight="true" outlineLevel="0" collapsed="false">
      <c r="A6" s="27" t="s">
        <v>466</v>
      </c>
      <c r="B6" s="27" t="s">
        <v>342</v>
      </c>
      <c r="C6" s="33" t="str">
        <f aca="false">IFERROR(INDEX(Customers!$C$4:$C$1003,MATCH($B6,Customers!$A$4:$A$1003,0)),"")</f>
        <v>Firdavs Rahmonov</v>
      </c>
      <c r="D6" s="28" t="s">
        <v>382</v>
      </c>
      <c r="E6" s="41" t="n">
        <v>5500</v>
      </c>
      <c r="F6" s="29" t="n">
        <v>46084</v>
      </c>
      <c r="G6" s="27" t="s">
        <v>450</v>
      </c>
      <c r="H6" s="27" t="s">
        <v>467</v>
      </c>
      <c r="I6" s="29" t="n">
        <v>46084</v>
      </c>
      <c r="J6" s="27" t="s">
        <v>274</v>
      </c>
      <c r="K6" s="30" t="n">
        <f aca="true">IF(OR($A6="",$I6=""),"",IF($J6="Paid",0,IF(TODAY()&gt;$I6,TODAY()-$I6,0)))</f>
        <v>0</v>
      </c>
      <c r="L6" s="34" t="n">
        <f aca="false">IFERROR(INDEX(Customers!$M$4:$M$1003,MATCH($B6,Customers!$A$4:$A$1003,0)),"")</f>
        <v>22000</v>
      </c>
      <c r="M6" s="34" t="n">
        <f aca="false">IFERROR(INDEX(Customers!$N$4:$N$1003,MATCH($B6,Customers!$A$4:$A$1003,0)),"")</f>
        <v>0</v>
      </c>
      <c r="N6" s="28" t="s">
        <v>452</v>
      </c>
      <c r="O6" s="32"/>
      <c r="Q6" s="27" t="s">
        <v>468</v>
      </c>
      <c r="R6" s="29" t="n">
        <v>46032</v>
      </c>
      <c r="S6" s="28" t="s">
        <v>469</v>
      </c>
      <c r="T6" s="32" t="s">
        <v>470</v>
      </c>
      <c r="U6" s="41" t="n">
        <v>2200</v>
      </c>
      <c r="V6" s="27" t="s">
        <v>471</v>
      </c>
      <c r="W6" s="28" t="s">
        <v>472</v>
      </c>
      <c r="X6" s="28" t="s">
        <v>390</v>
      </c>
      <c r="Z6" s="44" t="s">
        <v>473</v>
      </c>
      <c r="AA6" s="43" t="n">
        <f aca="false">$AA$4+$AA$5</f>
        <v>225950</v>
      </c>
    </row>
    <row r="7" customFormat="false" ht="15.75" hidden="false" customHeight="true" outlineLevel="0" collapsed="false">
      <c r="A7" s="27" t="s">
        <v>474</v>
      </c>
      <c r="B7" s="27" t="s">
        <v>342</v>
      </c>
      <c r="C7" s="33" t="str">
        <f aca="false">IFERROR(INDEX(Customers!$C$4:$C$1003,MATCH($B7,Customers!$A$4:$A$1003,0)),"")</f>
        <v>Firdavs Rahmonov</v>
      </c>
      <c r="D7" s="28" t="s">
        <v>383</v>
      </c>
      <c r="E7" s="41" t="n">
        <v>5500</v>
      </c>
      <c r="F7" s="29" t="n">
        <v>46114</v>
      </c>
      <c r="G7" s="27" t="s">
        <v>459</v>
      </c>
      <c r="H7" s="27" t="s">
        <v>475</v>
      </c>
      <c r="I7" s="29" t="n">
        <v>46114</v>
      </c>
      <c r="J7" s="27" t="s">
        <v>274</v>
      </c>
      <c r="K7" s="30" t="n">
        <f aca="true">IF(OR($A7="",$I7=""),"",IF($J7="Paid",0,IF(TODAY()&gt;$I7,TODAY()-$I7,0)))</f>
        <v>0</v>
      </c>
      <c r="L7" s="34" t="n">
        <f aca="false">IFERROR(INDEX(Customers!$M$4:$M$1003,MATCH($B7,Customers!$A$4:$A$1003,0)),"")</f>
        <v>22000</v>
      </c>
      <c r="M7" s="34" t="n">
        <f aca="false">IFERROR(INDEX(Customers!$N$4:$N$1003,MATCH($B7,Customers!$A$4:$A$1003,0)),"")</f>
        <v>0</v>
      </c>
      <c r="N7" s="28" t="s">
        <v>452</v>
      </c>
      <c r="O7" s="32"/>
      <c r="Q7" s="27" t="s">
        <v>476</v>
      </c>
      <c r="R7" s="29" t="n">
        <v>46040</v>
      </c>
      <c r="S7" s="28" t="s">
        <v>477</v>
      </c>
      <c r="T7" s="32" t="s">
        <v>478</v>
      </c>
      <c r="U7" s="41" t="n">
        <v>800</v>
      </c>
      <c r="V7" s="27" t="s">
        <v>471</v>
      </c>
      <c r="W7" s="28" t="s">
        <v>479</v>
      </c>
      <c r="X7" s="28" t="s">
        <v>390</v>
      </c>
      <c r="Z7" s="42" t="s">
        <v>480</v>
      </c>
      <c r="AA7" s="43" t="n">
        <f aca="false">SUMIFS($E$4:$E$1003,$J$4:$J$1003,"Pending")</f>
        <v>6000</v>
      </c>
    </row>
    <row r="8" customFormat="false" ht="15.75" hidden="false" customHeight="true" outlineLevel="0" collapsed="false">
      <c r="A8" s="27" t="s">
        <v>481</v>
      </c>
      <c r="B8" s="27" t="s">
        <v>345</v>
      </c>
      <c r="C8" s="33" t="str">
        <f aca="false">IFERROR(INDEX(Customers!$C$4:$C$1003,MATCH($B8,Customers!$A$4:$A$1003,0)),"")</f>
        <v>Nilufar Sharipova</v>
      </c>
      <c r="D8" s="28" t="s">
        <v>380</v>
      </c>
      <c r="E8" s="41" t="n">
        <v>9600</v>
      </c>
      <c r="F8" s="29" t="n">
        <v>46046</v>
      </c>
      <c r="G8" s="27" t="s">
        <v>450</v>
      </c>
      <c r="H8" s="27" t="s">
        <v>482</v>
      </c>
      <c r="I8" s="29" t="n">
        <v>46046</v>
      </c>
      <c r="J8" s="27" t="s">
        <v>274</v>
      </c>
      <c r="K8" s="30" t="n">
        <f aca="true">IF(OR($A8="",$I8=""),"",IF($J8="Paid",0,IF(TODAY()&gt;$I8,TODAY()-$I8,0)))</f>
        <v>0</v>
      </c>
      <c r="L8" s="34" t="n">
        <f aca="false">IFERROR(INDEX(Customers!$M$4:$M$1003,MATCH($B8,Customers!$A$4:$A$1003,0)),"")</f>
        <v>32000</v>
      </c>
      <c r="M8" s="34" t="n">
        <f aca="false">IFERROR(INDEX(Customers!$N$4:$N$1003,MATCH($B8,Customers!$A$4:$A$1003,0)),"")</f>
        <v>0</v>
      </c>
      <c r="N8" s="28" t="s">
        <v>452</v>
      </c>
      <c r="O8" s="32"/>
      <c r="Q8" s="27" t="s">
        <v>483</v>
      </c>
      <c r="R8" s="29" t="n">
        <v>46044</v>
      </c>
      <c r="S8" s="28" t="s">
        <v>484</v>
      </c>
      <c r="T8" s="32" t="s">
        <v>485</v>
      </c>
      <c r="U8" s="41" t="n">
        <v>600</v>
      </c>
      <c r="V8" s="27" t="s">
        <v>471</v>
      </c>
      <c r="W8" s="28" t="s">
        <v>486</v>
      </c>
      <c r="X8" s="28" t="s">
        <v>390</v>
      </c>
      <c r="Z8" s="42" t="s">
        <v>487</v>
      </c>
      <c r="AA8" s="43" t="n">
        <f aca="false">SUMIFS($E$4:$E$1003,$J$4:$J$1003,"Overdue")</f>
        <v>6250</v>
      </c>
    </row>
    <row r="9" customFormat="false" ht="15.75" hidden="false" customHeight="true" outlineLevel="0" collapsed="false">
      <c r="A9" s="27" t="s">
        <v>488</v>
      </c>
      <c r="B9" s="27" t="s">
        <v>345</v>
      </c>
      <c r="C9" s="33" t="str">
        <f aca="false">IFERROR(INDEX(Customers!$C$4:$C$1003,MATCH($B9,Customers!$A$4:$A$1003,0)),"")</f>
        <v>Nilufar Sharipova</v>
      </c>
      <c r="D9" s="28" t="s">
        <v>381</v>
      </c>
      <c r="E9" s="41" t="n">
        <v>6400</v>
      </c>
      <c r="F9" s="29" t="n">
        <v>46066</v>
      </c>
      <c r="G9" s="27" t="s">
        <v>459</v>
      </c>
      <c r="H9" s="27" t="s">
        <v>489</v>
      </c>
      <c r="I9" s="29" t="n">
        <v>46066</v>
      </c>
      <c r="J9" s="27" t="s">
        <v>274</v>
      </c>
      <c r="K9" s="30" t="n">
        <f aca="true">IF(OR($A9="",$I9=""),"",IF($J9="Paid",0,IF(TODAY()&gt;$I9,TODAY()-$I9,0)))</f>
        <v>0</v>
      </c>
      <c r="L9" s="34" t="n">
        <f aca="false">IFERROR(INDEX(Customers!$M$4:$M$1003,MATCH($B9,Customers!$A$4:$A$1003,0)),"")</f>
        <v>32000</v>
      </c>
      <c r="M9" s="34" t="n">
        <f aca="false">IFERROR(INDEX(Customers!$N$4:$N$1003,MATCH($B9,Customers!$A$4:$A$1003,0)),"")</f>
        <v>0</v>
      </c>
      <c r="N9" s="28" t="s">
        <v>452</v>
      </c>
      <c r="O9" s="32"/>
      <c r="Q9" s="27" t="s">
        <v>490</v>
      </c>
      <c r="R9" s="29" t="n">
        <v>46058</v>
      </c>
      <c r="S9" s="28" t="s">
        <v>454</v>
      </c>
      <c r="T9" s="32" t="s">
        <v>455</v>
      </c>
      <c r="U9" s="41" t="n">
        <v>3500</v>
      </c>
      <c r="V9" s="27" t="s">
        <v>450</v>
      </c>
      <c r="W9" s="28" t="s">
        <v>456</v>
      </c>
      <c r="X9" s="28" t="s">
        <v>390</v>
      </c>
      <c r="Z9" s="42" t="s">
        <v>491</v>
      </c>
      <c r="AA9" s="43" t="n">
        <f aca="false">$AA$7+$AA$8</f>
        <v>12250</v>
      </c>
    </row>
    <row r="10" customFormat="false" ht="15.75" hidden="false" customHeight="true" outlineLevel="0" collapsed="false">
      <c r="A10" s="27" t="s">
        <v>492</v>
      </c>
      <c r="B10" s="27" t="s">
        <v>345</v>
      </c>
      <c r="C10" s="33" t="str">
        <f aca="false">IFERROR(INDEX(Customers!$C$4:$C$1003,MATCH($B10,Customers!$A$4:$A$1003,0)),"")</f>
        <v>Nilufar Sharipova</v>
      </c>
      <c r="D10" s="28" t="s">
        <v>382</v>
      </c>
      <c r="E10" s="41" t="n">
        <v>8000</v>
      </c>
      <c r="F10" s="29" t="n">
        <v>46091</v>
      </c>
      <c r="G10" s="27" t="s">
        <v>450</v>
      </c>
      <c r="H10" s="27" t="s">
        <v>493</v>
      </c>
      <c r="I10" s="29" t="n">
        <v>46091</v>
      </c>
      <c r="J10" s="27" t="s">
        <v>274</v>
      </c>
      <c r="K10" s="30" t="n">
        <f aca="true">IF(OR($A10="",$I10=""),"",IF($J10="Paid",0,IF(TODAY()&gt;$I10,TODAY()-$I10,0)))</f>
        <v>0</v>
      </c>
      <c r="L10" s="34" t="n">
        <f aca="false">IFERROR(INDEX(Customers!$M$4:$M$1003,MATCH($B10,Customers!$A$4:$A$1003,0)),"")</f>
        <v>32000</v>
      </c>
      <c r="M10" s="34" t="n">
        <f aca="false">IFERROR(INDEX(Customers!$N$4:$N$1003,MATCH($B10,Customers!$A$4:$A$1003,0)),"")</f>
        <v>0</v>
      </c>
      <c r="N10" s="28" t="s">
        <v>452</v>
      </c>
      <c r="O10" s="32"/>
      <c r="Q10" s="27" t="s">
        <v>494</v>
      </c>
      <c r="R10" s="29" t="n">
        <v>46081</v>
      </c>
      <c r="S10" s="28" t="s">
        <v>462</v>
      </c>
      <c r="T10" s="32" t="s">
        <v>463</v>
      </c>
      <c r="U10" s="41" t="n">
        <v>19000</v>
      </c>
      <c r="V10" s="27" t="s">
        <v>450</v>
      </c>
      <c r="W10" s="28" t="s">
        <v>464</v>
      </c>
      <c r="X10" s="28" t="s">
        <v>390</v>
      </c>
      <c r="Z10" s="42" t="s">
        <v>495</v>
      </c>
      <c r="AA10" s="43" t="n">
        <f aca="false">SUM(Customers!$N$4:$N$1003)</f>
        <v>63750</v>
      </c>
    </row>
    <row r="11" customFormat="false" ht="15.75" hidden="false" customHeight="true" outlineLevel="0" collapsed="false">
      <c r="A11" s="27" t="s">
        <v>496</v>
      </c>
      <c r="B11" s="27" t="s">
        <v>345</v>
      </c>
      <c r="C11" s="33" t="str">
        <f aca="false">IFERROR(INDEX(Customers!$C$4:$C$1003,MATCH($B11,Customers!$A$4:$A$1003,0)),"")</f>
        <v>Nilufar Sharipova</v>
      </c>
      <c r="D11" s="28" t="s">
        <v>383</v>
      </c>
      <c r="E11" s="41" t="n">
        <v>8000</v>
      </c>
      <c r="F11" s="29" t="n">
        <v>46121</v>
      </c>
      <c r="G11" s="27" t="s">
        <v>459</v>
      </c>
      <c r="H11" s="27" t="s">
        <v>497</v>
      </c>
      <c r="I11" s="29" t="n">
        <v>46121</v>
      </c>
      <c r="J11" s="27" t="s">
        <v>274</v>
      </c>
      <c r="K11" s="30" t="n">
        <f aca="true">IF(OR($A11="",$I11=""),"",IF($J11="Paid",0,IF(TODAY()&gt;$I11,TODAY()-$I11,0)))</f>
        <v>0</v>
      </c>
      <c r="L11" s="34" t="n">
        <f aca="false">IFERROR(INDEX(Customers!$M$4:$M$1003,MATCH($B11,Customers!$A$4:$A$1003,0)),"")</f>
        <v>32000</v>
      </c>
      <c r="M11" s="34" t="n">
        <f aca="false">IFERROR(INDEX(Customers!$N$4:$N$1003,MATCH($B11,Customers!$A$4:$A$1003,0)),"")</f>
        <v>0</v>
      </c>
      <c r="N11" s="28" t="s">
        <v>452</v>
      </c>
      <c r="O11" s="32"/>
      <c r="Q11" s="27" t="s">
        <v>498</v>
      </c>
      <c r="R11" s="29" t="n">
        <v>46063</v>
      </c>
      <c r="S11" s="28" t="s">
        <v>469</v>
      </c>
      <c r="T11" s="32" t="s">
        <v>470</v>
      </c>
      <c r="U11" s="41" t="n">
        <v>2600</v>
      </c>
      <c r="V11" s="27" t="s">
        <v>471</v>
      </c>
      <c r="W11" s="28" t="s">
        <v>472</v>
      </c>
      <c r="X11" s="28" t="s">
        <v>390</v>
      </c>
      <c r="Z11" s="42" t="s">
        <v>499</v>
      </c>
      <c r="AA11" s="43" t="n">
        <f aca="false">SUM(Customers!$L$4:$L$1003)</f>
        <v>289000</v>
      </c>
    </row>
    <row r="12" customFormat="false" ht="15.75" hidden="false" customHeight="true" outlineLevel="0" collapsed="false">
      <c r="A12" s="27" t="s">
        <v>500</v>
      </c>
      <c r="B12" s="27" t="s">
        <v>348</v>
      </c>
      <c r="C12" s="33" t="str">
        <f aca="false">IFERROR(INDEX(Customers!$C$4:$C$1003,MATCH($B12,Customers!$A$4:$A$1003,0)),"")</f>
        <v>Jamshed Karimov</v>
      </c>
      <c r="D12" s="28" t="s">
        <v>380</v>
      </c>
      <c r="E12" s="41" t="n">
        <v>7500</v>
      </c>
      <c r="F12" s="29" t="n">
        <v>46067</v>
      </c>
      <c r="G12" s="27" t="s">
        <v>450</v>
      </c>
      <c r="H12" s="27" t="s">
        <v>501</v>
      </c>
      <c r="I12" s="29" t="n">
        <v>46067</v>
      </c>
      <c r="J12" s="27" t="s">
        <v>274</v>
      </c>
      <c r="K12" s="30" t="n">
        <f aca="true">IF(OR($A12="",$I12=""),"",IF($J12="Paid",0,IF(TODAY()&gt;$I12,TODAY()-$I12,0)))</f>
        <v>0</v>
      </c>
      <c r="L12" s="34" t="n">
        <f aca="false">IFERROR(INDEX(Customers!$M$4:$M$1003,MATCH($B12,Customers!$A$4:$A$1003,0)),"")</f>
        <v>25000</v>
      </c>
      <c r="M12" s="34" t="n">
        <f aca="false">IFERROR(INDEX(Customers!$N$4:$N$1003,MATCH($B12,Customers!$A$4:$A$1003,0)),"")</f>
        <v>0</v>
      </c>
      <c r="N12" s="28" t="s">
        <v>452</v>
      </c>
      <c r="O12" s="32"/>
      <c r="Q12" s="27" t="s">
        <v>502</v>
      </c>
      <c r="R12" s="29" t="n">
        <v>46071</v>
      </c>
      <c r="S12" s="28" t="s">
        <v>477</v>
      </c>
      <c r="T12" s="32" t="s">
        <v>478</v>
      </c>
      <c r="U12" s="41" t="n">
        <v>1200</v>
      </c>
      <c r="V12" s="27" t="s">
        <v>471</v>
      </c>
      <c r="W12" s="28" t="s">
        <v>479</v>
      </c>
      <c r="X12" s="28" t="s">
        <v>390</v>
      </c>
    </row>
    <row r="13" customFormat="false" ht="15.75" hidden="false" customHeight="true" outlineLevel="0" collapsed="false">
      <c r="A13" s="27" t="s">
        <v>503</v>
      </c>
      <c r="B13" s="27" t="s">
        <v>348</v>
      </c>
      <c r="C13" s="33" t="str">
        <f aca="false">IFERROR(INDEX(Customers!$C$4:$C$1003,MATCH($B13,Customers!$A$4:$A$1003,0)),"")</f>
        <v>Jamshed Karimov</v>
      </c>
      <c r="D13" s="28" t="s">
        <v>381</v>
      </c>
      <c r="E13" s="41" t="n">
        <v>5000</v>
      </c>
      <c r="F13" s="29" t="n">
        <v>46087</v>
      </c>
      <c r="G13" s="27" t="s">
        <v>459</v>
      </c>
      <c r="H13" s="27" t="s">
        <v>504</v>
      </c>
      <c r="I13" s="29" t="n">
        <v>46087</v>
      </c>
      <c r="J13" s="27" t="s">
        <v>274</v>
      </c>
      <c r="K13" s="30" t="n">
        <f aca="true">IF(OR($A13="",$I13=""),"",IF($J13="Paid",0,IF(TODAY()&gt;$I13,TODAY()-$I13,0)))</f>
        <v>0</v>
      </c>
      <c r="L13" s="34" t="n">
        <f aca="false">IFERROR(INDEX(Customers!$M$4:$M$1003,MATCH($B13,Customers!$A$4:$A$1003,0)),"")</f>
        <v>25000</v>
      </c>
      <c r="M13" s="34" t="n">
        <f aca="false">IFERROR(INDEX(Customers!$N$4:$N$1003,MATCH($B13,Customers!$A$4:$A$1003,0)),"")</f>
        <v>0</v>
      </c>
      <c r="N13" s="28" t="s">
        <v>452</v>
      </c>
      <c r="O13" s="32"/>
      <c r="Q13" s="27" t="s">
        <v>505</v>
      </c>
      <c r="R13" s="29" t="n">
        <v>46075</v>
      </c>
      <c r="S13" s="28" t="s">
        <v>484</v>
      </c>
      <c r="T13" s="32" t="s">
        <v>485</v>
      </c>
      <c r="U13" s="41" t="n">
        <v>450</v>
      </c>
      <c r="V13" s="27" t="s">
        <v>471</v>
      </c>
      <c r="W13" s="28" t="s">
        <v>486</v>
      </c>
      <c r="X13" s="28" t="s">
        <v>390</v>
      </c>
      <c r="Z13" s="42" t="s">
        <v>454</v>
      </c>
      <c r="AA13" s="43" t="n">
        <f aca="false">SUMIFS($U$4:$U$1003,$S$4:$S$1003,"Office Rent")</f>
        <v>24500</v>
      </c>
    </row>
    <row r="14" customFormat="false" ht="15.75" hidden="false" customHeight="true" outlineLevel="0" collapsed="false">
      <c r="A14" s="27" t="s">
        <v>506</v>
      </c>
      <c r="B14" s="27" t="s">
        <v>348</v>
      </c>
      <c r="C14" s="33" t="str">
        <f aca="false">IFERROR(INDEX(Customers!$C$4:$C$1003,MATCH($B14,Customers!$A$4:$A$1003,0)),"")</f>
        <v>Jamshed Karimov</v>
      </c>
      <c r="D14" s="28" t="s">
        <v>382</v>
      </c>
      <c r="E14" s="41" t="n">
        <v>6250</v>
      </c>
      <c r="F14" s="29" t="n">
        <v>46112</v>
      </c>
      <c r="G14" s="27" t="s">
        <v>450</v>
      </c>
      <c r="H14" s="27" t="s">
        <v>507</v>
      </c>
      <c r="I14" s="29" t="n">
        <v>46112</v>
      </c>
      <c r="J14" s="27" t="s">
        <v>274</v>
      </c>
      <c r="K14" s="30" t="n">
        <f aca="true">IF(OR($A14="",$I14=""),"",IF($J14="Paid",0,IF(TODAY()&gt;$I14,TODAY()-$I14,0)))</f>
        <v>0</v>
      </c>
      <c r="L14" s="34" t="n">
        <f aca="false">IFERROR(INDEX(Customers!$M$4:$M$1003,MATCH($B14,Customers!$A$4:$A$1003,0)),"")</f>
        <v>25000</v>
      </c>
      <c r="M14" s="34" t="n">
        <f aca="false">IFERROR(INDEX(Customers!$N$4:$N$1003,MATCH($B14,Customers!$A$4:$A$1003,0)),"")</f>
        <v>0</v>
      </c>
      <c r="N14" s="28" t="s">
        <v>452</v>
      </c>
      <c r="O14" s="32"/>
      <c r="Q14" s="27" t="s">
        <v>508</v>
      </c>
      <c r="R14" s="29" t="n">
        <v>46086</v>
      </c>
      <c r="S14" s="28" t="s">
        <v>454</v>
      </c>
      <c r="T14" s="32" t="s">
        <v>455</v>
      </c>
      <c r="U14" s="41" t="n">
        <v>3500</v>
      </c>
      <c r="V14" s="27" t="s">
        <v>450</v>
      </c>
      <c r="W14" s="28" t="s">
        <v>456</v>
      </c>
      <c r="X14" s="28" t="s">
        <v>390</v>
      </c>
      <c r="Z14" s="42" t="s">
        <v>462</v>
      </c>
      <c r="AA14" s="43" t="n">
        <f aca="false">SUMIFS($U$4:$U$1003,$S$4:$S$1003,"Salaries")</f>
        <v>133000</v>
      </c>
    </row>
    <row r="15" customFormat="false" ht="15.75" hidden="false" customHeight="true" outlineLevel="0" collapsed="false">
      <c r="A15" s="27" t="s">
        <v>509</v>
      </c>
      <c r="B15" s="27" t="s">
        <v>348</v>
      </c>
      <c r="C15" s="33" t="str">
        <f aca="false">IFERROR(INDEX(Customers!$C$4:$C$1003,MATCH($B15,Customers!$A$4:$A$1003,0)),"")</f>
        <v>Jamshed Karimov</v>
      </c>
      <c r="D15" s="28" t="s">
        <v>383</v>
      </c>
      <c r="E15" s="41" t="n">
        <v>6250</v>
      </c>
      <c r="F15" s="29" t="n">
        <v>46142</v>
      </c>
      <c r="G15" s="27" t="s">
        <v>459</v>
      </c>
      <c r="H15" s="27" t="s">
        <v>510</v>
      </c>
      <c r="I15" s="29" t="n">
        <v>46142</v>
      </c>
      <c r="J15" s="27" t="s">
        <v>274</v>
      </c>
      <c r="K15" s="30" t="n">
        <f aca="true">IF(OR($A15="",$I15=""),"",IF($J15="Paid",0,IF(TODAY()&gt;$I15,TODAY()-$I15,0)))</f>
        <v>0</v>
      </c>
      <c r="L15" s="34" t="n">
        <f aca="false">IFERROR(INDEX(Customers!$M$4:$M$1003,MATCH($B15,Customers!$A$4:$A$1003,0)),"")</f>
        <v>25000</v>
      </c>
      <c r="M15" s="34" t="n">
        <f aca="false">IFERROR(INDEX(Customers!$N$4:$N$1003,MATCH($B15,Customers!$A$4:$A$1003,0)),"")</f>
        <v>0</v>
      </c>
      <c r="N15" s="28" t="s">
        <v>452</v>
      </c>
      <c r="O15" s="32"/>
      <c r="Q15" s="27" t="s">
        <v>511</v>
      </c>
      <c r="R15" s="29" t="n">
        <v>46109</v>
      </c>
      <c r="S15" s="28" t="s">
        <v>462</v>
      </c>
      <c r="T15" s="32" t="s">
        <v>463</v>
      </c>
      <c r="U15" s="41" t="n">
        <v>19000</v>
      </c>
      <c r="V15" s="27" t="s">
        <v>450</v>
      </c>
      <c r="W15" s="28" t="s">
        <v>464</v>
      </c>
      <c r="X15" s="28" t="s">
        <v>390</v>
      </c>
      <c r="Z15" s="42" t="s">
        <v>469</v>
      </c>
      <c r="AA15" s="43" t="n">
        <f aca="false">SUMIFS($U$4:$U$1003,$S$4:$S$1003,"Marketing Costs")</f>
        <v>19300</v>
      </c>
    </row>
    <row r="16" customFormat="false" ht="15.75" hidden="false" customHeight="true" outlineLevel="0" collapsed="false">
      <c r="A16" s="27" t="s">
        <v>512</v>
      </c>
      <c r="B16" s="27" t="s">
        <v>352</v>
      </c>
      <c r="C16" s="33" t="str">
        <f aca="false">IFERROR(INDEX(Customers!$C$4:$C$1003,MATCH($B16,Customers!$A$4:$A$1003,0)),"")</f>
        <v>Zarina Nazriyeva</v>
      </c>
      <c r="D16" s="28" t="s">
        <v>380</v>
      </c>
      <c r="E16" s="41" t="n">
        <v>6600</v>
      </c>
      <c r="F16" s="29" t="n">
        <v>46074</v>
      </c>
      <c r="G16" s="27" t="s">
        <v>450</v>
      </c>
      <c r="H16" s="27" t="s">
        <v>513</v>
      </c>
      <c r="I16" s="29" t="n">
        <v>46074</v>
      </c>
      <c r="J16" s="27" t="s">
        <v>274</v>
      </c>
      <c r="K16" s="30" t="n">
        <f aca="true">IF(OR($A16="",$I16=""),"",IF($J16="Paid",0,IF(TODAY()&gt;$I16,TODAY()-$I16,0)))</f>
        <v>0</v>
      </c>
      <c r="L16" s="34" t="n">
        <f aca="false">IFERROR(INDEX(Customers!$M$4:$M$1003,MATCH($B16,Customers!$A$4:$A$1003,0)),"")</f>
        <v>22000</v>
      </c>
      <c r="M16" s="34" t="n">
        <f aca="false">IFERROR(INDEX(Customers!$N$4:$N$1003,MATCH($B16,Customers!$A$4:$A$1003,0)),"")</f>
        <v>0</v>
      </c>
      <c r="N16" s="28" t="s">
        <v>452</v>
      </c>
      <c r="O16" s="32"/>
      <c r="Q16" s="27" t="s">
        <v>514</v>
      </c>
      <c r="R16" s="29" t="n">
        <v>46091</v>
      </c>
      <c r="S16" s="28" t="s">
        <v>469</v>
      </c>
      <c r="T16" s="32" t="s">
        <v>470</v>
      </c>
      <c r="U16" s="41" t="n">
        <v>3100</v>
      </c>
      <c r="V16" s="27" t="s">
        <v>471</v>
      </c>
      <c r="W16" s="28" t="s">
        <v>472</v>
      </c>
      <c r="X16" s="28" t="s">
        <v>390</v>
      </c>
      <c r="Z16" s="42" t="s">
        <v>477</v>
      </c>
      <c r="AA16" s="43" t="n">
        <f aca="false">SUMIFS($U$4:$U$1003,$S$4:$S$1003,"Visa Expenses")</f>
        <v>11400</v>
      </c>
    </row>
    <row r="17" customFormat="false" ht="15.75" hidden="false" customHeight="true" outlineLevel="0" collapsed="false">
      <c r="A17" s="27" t="s">
        <v>515</v>
      </c>
      <c r="B17" s="27" t="s">
        <v>352</v>
      </c>
      <c r="C17" s="33" t="str">
        <f aca="false">IFERROR(INDEX(Customers!$C$4:$C$1003,MATCH($B17,Customers!$A$4:$A$1003,0)),"")</f>
        <v>Zarina Nazriyeva</v>
      </c>
      <c r="D17" s="28" t="s">
        <v>381</v>
      </c>
      <c r="E17" s="41" t="n">
        <v>4400</v>
      </c>
      <c r="F17" s="29" t="n">
        <v>46094</v>
      </c>
      <c r="G17" s="27" t="s">
        <v>459</v>
      </c>
      <c r="H17" s="27" t="s">
        <v>516</v>
      </c>
      <c r="I17" s="29" t="n">
        <v>46094</v>
      </c>
      <c r="J17" s="27" t="s">
        <v>274</v>
      </c>
      <c r="K17" s="30" t="n">
        <f aca="true">IF(OR($A17="",$I17=""),"",IF($J17="Paid",0,IF(TODAY()&gt;$I17,TODAY()-$I17,0)))</f>
        <v>0</v>
      </c>
      <c r="L17" s="34" t="n">
        <f aca="false">IFERROR(INDEX(Customers!$M$4:$M$1003,MATCH($B17,Customers!$A$4:$A$1003,0)),"")</f>
        <v>22000</v>
      </c>
      <c r="M17" s="34" t="n">
        <f aca="false">IFERROR(INDEX(Customers!$N$4:$N$1003,MATCH($B17,Customers!$A$4:$A$1003,0)),"")</f>
        <v>0</v>
      </c>
      <c r="N17" s="28" t="s">
        <v>452</v>
      </c>
      <c r="O17" s="32"/>
      <c r="Q17" s="27" t="s">
        <v>517</v>
      </c>
      <c r="R17" s="29" t="n">
        <v>46099</v>
      </c>
      <c r="S17" s="28" t="s">
        <v>477</v>
      </c>
      <c r="T17" s="32" t="s">
        <v>478</v>
      </c>
      <c r="U17" s="41" t="n">
        <v>1500</v>
      </c>
      <c r="V17" s="27" t="s">
        <v>471</v>
      </c>
      <c r="W17" s="28" t="s">
        <v>479</v>
      </c>
      <c r="X17" s="28" t="s">
        <v>390</v>
      </c>
      <c r="Z17" s="42" t="s">
        <v>484</v>
      </c>
      <c r="AA17" s="43" t="n">
        <f aca="false">SUMIFS($U$4:$U$1003,$S$4:$S$1003,"Miscellaneous Expenses")</f>
        <v>4100</v>
      </c>
    </row>
    <row r="18" customFormat="false" ht="15.75" hidden="false" customHeight="true" outlineLevel="0" collapsed="false">
      <c r="A18" s="27" t="s">
        <v>518</v>
      </c>
      <c r="B18" s="27" t="s">
        <v>352</v>
      </c>
      <c r="C18" s="33" t="str">
        <f aca="false">IFERROR(INDEX(Customers!$C$4:$C$1003,MATCH($B18,Customers!$A$4:$A$1003,0)),"")</f>
        <v>Zarina Nazriyeva</v>
      </c>
      <c r="D18" s="28" t="s">
        <v>382</v>
      </c>
      <c r="E18" s="41" t="n">
        <v>5500</v>
      </c>
      <c r="F18" s="29" t="n">
        <v>46119</v>
      </c>
      <c r="G18" s="27" t="s">
        <v>450</v>
      </c>
      <c r="H18" s="27" t="s">
        <v>519</v>
      </c>
      <c r="I18" s="29" t="n">
        <v>46119</v>
      </c>
      <c r="J18" s="27" t="s">
        <v>274</v>
      </c>
      <c r="K18" s="30" t="n">
        <f aca="true">IF(OR($A18="",$I18=""),"",IF($J18="Paid",0,IF(TODAY()&gt;$I18,TODAY()-$I18,0)))</f>
        <v>0</v>
      </c>
      <c r="L18" s="34" t="n">
        <f aca="false">IFERROR(INDEX(Customers!$M$4:$M$1003,MATCH($B18,Customers!$A$4:$A$1003,0)),"")</f>
        <v>22000</v>
      </c>
      <c r="M18" s="34" t="n">
        <f aca="false">IFERROR(INDEX(Customers!$N$4:$N$1003,MATCH($B18,Customers!$A$4:$A$1003,0)),"")</f>
        <v>0</v>
      </c>
      <c r="N18" s="28" t="s">
        <v>452</v>
      </c>
      <c r="O18" s="32"/>
      <c r="Q18" s="27" t="s">
        <v>520</v>
      </c>
      <c r="R18" s="29" t="n">
        <v>46103</v>
      </c>
      <c r="S18" s="28" t="s">
        <v>484</v>
      </c>
      <c r="T18" s="32" t="s">
        <v>485</v>
      </c>
      <c r="U18" s="41" t="n">
        <v>700</v>
      </c>
      <c r="V18" s="27" t="s">
        <v>471</v>
      </c>
      <c r="W18" s="28" t="s">
        <v>486</v>
      </c>
      <c r="X18" s="28" t="s">
        <v>390</v>
      </c>
      <c r="Z18" s="44" t="s">
        <v>521</v>
      </c>
      <c r="AA18" s="43" t="n">
        <f aca="false">SUM($U$4:$U$1003)</f>
        <v>192300</v>
      </c>
    </row>
    <row r="19" customFormat="false" ht="15.75" hidden="false" customHeight="true" outlineLevel="0" collapsed="false">
      <c r="A19" s="27" t="s">
        <v>522</v>
      </c>
      <c r="B19" s="27" t="s">
        <v>352</v>
      </c>
      <c r="C19" s="33" t="str">
        <f aca="false">IFERROR(INDEX(Customers!$C$4:$C$1003,MATCH($B19,Customers!$A$4:$A$1003,0)),"")</f>
        <v>Zarina Nazriyeva</v>
      </c>
      <c r="D19" s="28" t="s">
        <v>383</v>
      </c>
      <c r="E19" s="41" t="n">
        <v>5500</v>
      </c>
      <c r="F19" s="29" t="n">
        <v>46149</v>
      </c>
      <c r="G19" s="27" t="s">
        <v>459</v>
      </c>
      <c r="H19" s="27" t="s">
        <v>523</v>
      </c>
      <c r="I19" s="29" t="n">
        <v>46149</v>
      </c>
      <c r="J19" s="27" t="s">
        <v>274</v>
      </c>
      <c r="K19" s="30" t="n">
        <f aca="true">IF(OR($A19="",$I19=""),"",IF($J19="Paid",0,IF(TODAY()&gt;$I19,TODAY()-$I19,0)))</f>
        <v>0</v>
      </c>
      <c r="L19" s="34" t="n">
        <f aca="false">IFERROR(INDEX(Customers!$M$4:$M$1003,MATCH($B19,Customers!$A$4:$A$1003,0)),"")</f>
        <v>22000</v>
      </c>
      <c r="M19" s="34" t="n">
        <f aca="false">IFERROR(INDEX(Customers!$N$4:$N$1003,MATCH($B19,Customers!$A$4:$A$1003,0)),"")</f>
        <v>0</v>
      </c>
      <c r="N19" s="28" t="s">
        <v>452</v>
      </c>
      <c r="O19" s="32"/>
      <c r="Q19" s="27" t="s">
        <v>524</v>
      </c>
      <c r="R19" s="29" t="n">
        <v>46117</v>
      </c>
      <c r="S19" s="28" t="s">
        <v>454</v>
      </c>
      <c r="T19" s="32" t="s">
        <v>455</v>
      </c>
      <c r="U19" s="41" t="n">
        <v>3500</v>
      </c>
      <c r="V19" s="27" t="s">
        <v>450</v>
      </c>
      <c r="W19" s="28" t="s">
        <v>456</v>
      </c>
      <c r="X19" s="28" t="s">
        <v>390</v>
      </c>
    </row>
    <row r="20" customFormat="false" ht="15.75" hidden="false" customHeight="true" outlineLevel="0" collapsed="false">
      <c r="A20" s="27" t="s">
        <v>525</v>
      </c>
      <c r="B20" s="27" t="s">
        <v>354</v>
      </c>
      <c r="C20" s="33" t="str">
        <f aca="false">IFERROR(INDEX(Customers!$C$4:$C$1003,MATCH($B20,Customers!$A$4:$A$1003,0)),"")</f>
        <v>Bakhtiyor Umarov</v>
      </c>
      <c r="D20" s="28" t="s">
        <v>380</v>
      </c>
      <c r="E20" s="41" t="n">
        <v>7200</v>
      </c>
      <c r="F20" s="29" t="n">
        <v>46053</v>
      </c>
      <c r="G20" s="27" t="s">
        <v>450</v>
      </c>
      <c r="H20" s="27" t="s">
        <v>526</v>
      </c>
      <c r="I20" s="29" t="n">
        <v>46053</v>
      </c>
      <c r="J20" s="27" t="s">
        <v>274</v>
      </c>
      <c r="K20" s="30" t="n">
        <f aca="true">IF(OR($A20="",$I20=""),"",IF($J20="Paid",0,IF(TODAY()&gt;$I20,TODAY()-$I20,0)))</f>
        <v>0</v>
      </c>
      <c r="L20" s="34" t="n">
        <f aca="false">IFERROR(INDEX(Customers!$M$4:$M$1003,MATCH($B20,Customers!$A$4:$A$1003,0)),"")</f>
        <v>18000</v>
      </c>
      <c r="M20" s="34" t="n">
        <f aca="false">IFERROR(INDEX(Customers!$N$4:$N$1003,MATCH($B20,Customers!$A$4:$A$1003,0)),"")</f>
        <v>6000</v>
      </c>
      <c r="N20" s="28" t="s">
        <v>452</v>
      </c>
      <c r="O20" s="32"/>
      <c r="Q20" s="27" t="s">
        <v>527</v>
      </c>
      <c r="R20" s="29" t="n">
        <v>46140</v>
      </c>
      <c r="S20" s="28" t="s">
        <v>462</v>
      </c>
      <c r="T20" s="32" t="s">
        <v>463</v>
      </c>
      <c r="U20" s="41" t="n">
        <v>19000</v>
      </c>
      <c r="V20" s="27" t="s">
        <v>450</v>
      </c>
      <c r="W20" s="28" t="s">
        <v>464</v>
      </c>
      <c r="X20" s="28" t="s">
        <v>390</v>
      </c>
      <c r="Z20" s="45" t="s">
        <v>25</v>
      </c>
      <c r="AA20" s="46" t="n">
        <f aca="false">$AA$6-$AA$18</f>
        <v>33650</v>
      </c>
    </row>
    <row r="21" customFormat="false" ht="15.75" hidden="false" customHeight="true" outlineLevel="0" collapsed="false">
      <c r="A21" s="27" t="s">
        <v>528</v>
      </c>
      <c r="B21" s="27" t="s">
        <v>354</v>
      </c>
      <c r="C21" s="33" t="str">
        <f aca="false">IFERROR(INDEX(Customers!$C$4:$C$1003,MATCH($B21,Customers!$A$4:$A$1003,0)),"")</f>
        <v>Bakhtiyor Umarov</v>
      </c>
      <c r="D21" s="28" t="s">
        <v>381</v>
      </c>
      <c r="E21" s="41" t="n">
        <v>4800</v>
      </c>
      <c r="F21" s="29" t="n">
        <v>46073</v>
      </c>
      <c r="G21" s="27" t="s">
        <v>459</v>
      </c>
      <c r="H21" s="27" t="s">
        <v>529</v>
      </c>
      <c r="I21" s="29" t="n">
        <v>46073</v>
      </c>
      <c r="J21" s="27" t="s">
        <v>274</v>
      </c>
      <c r="K21" s="30" t="n">
        <f aca="true">IF(OR($A21="",$I21=""),"",IF($J21="Paid",0,IF(TODAY()&gt;$I21,TODAY()-$I21,0)))</f>
        <v>0</v>
      </c>
      <c r="L21" s="34" t="n">
        <f aca="false">IFERROR(INDEX(Customers!$M$4:$M$1003,MATCH($B21,Customers!$A$4:$A$1003,0)),"")</f>
        <v>18000</v>
      </c>
      <c r="M21" s="34" t="n">
        <f aca="false">IFERROR(INDEX(Customers!$N$4:$N$1003,MATCH($B21,Customers!$A$4:$A$1003,0)),"")</f>
        <v>6000</v>
      </c>
      <c r="N21" s="28" t="s">
        <v>452</v>
      </c>
      <c r="O21" s="32"/>
      <c r="Q21" s="27" t="s">
        <v>530</v>
      </c>
      <c r="R21" s="29" t="n">
        <v>46122</v>
      </c>
      <c r="S21" s="28" t="s">
        <v>469</v>
      </c>
      <c r="T21" s="32" t="s">
        <v>470</v>
      </c>
      <c r="U21" s="41" t="n">
        <v>3300</v>
      </c>
      <c r="V21" s="27" t="s">
        <v>471</v>
      </c>
      <c r="W21" s="28" t="s">
        <v>472</v>
      </c>
      <c r="X21" s="28" t="s">
        <v>390</v>
      </c>
      <c r="Z21" s="42" t="s">
        <v>531</v>
      </c>
      <c r="AA21" s="47" t="n">
        <f aca="false">IFERROR($AA$20/$AA$6,"")</f>
        <v>0.148926753706572</v>
      </c>
    </row>
    <row r="22" customFormat="false" ht="15.75" hidden="false" customHeight="true" outlineLevel="0" collapsed="false">
      <c r="A22" s="27" t="s">
        <v>532</v>
      </c>
      <c r="B22" s="27" t="s">
        <v>354</v>
      </c>
      <c r="C22" s="33" t="str">
        <f aca="false">IFERROR(INDEX(Customers!$C$4:$C$1003,MATCH($B22,Customers!$A$4:$A$1003,0)),"")</f>
        <v>Bakhtiyor Umarov</v>
      </c>
      <c r="D22" s="28" t="s">
        <v>382</v>
      </c>
      <c r="E22" s="41" t="n">
        <v>6000</v>
      </c>
      <c r="F22" s="29" t="n">
        <v>46098</v>
      </c>
      <c r="G22" s="27" t="s">
        <v>450</v>
      </c>
      <c r="H22" s="27" t="s">
        <v>533</v>
      </c>
      <c r="I22" s="29" t="n">
        <v>46098</v>
      </c>
      <c r="J22" s="27" t="s">
        <v>274</v>
      </c>
      <c r="K22" s="30" t="n">
        <f aca="true">IF(OR($A22="",$I22=""),"",IF($J22="Paid",0,IF(TODAY()&gt;$I22,TODAY()-$I22,0)))</f>
        <v>0</v>
      </c>
      <c r="L22" s="34" t="n">
        <f aca="false">IFERROR(INDEX(Customers!$M$4:$M$1003,MATCH($B22,Customers!$A$4:$A$1003,0)),"")</f>
        <v>18000</v>
      </c>
      <c r="M22" s="34" t="n">
        <f aca="false">IFERROR(INDEX(Customers!$N$4:$N$1003,MATCH($B22,Customers!$A$4:$A$1003,0)),"")</f>
        <v>6000</v>
      </c>
      <c r="N22" s="28" t="s">
        <v>452</v>
      </c>
      <c r="O22" s="32"/>
      <c r="Q22" s="27" t="s">
        <v>534</v>
      </c>
      <c r="R22" s="29" t="n">
        <v>46130</v>
      </c>
      <c r="S22" s="28" t="s">
        <v>477</v>
      </c>
      <c r="T22" s="32" t="s">
        <v>478</v>
      </c>
      <c r="U22" s="41" t="n">
        <v>2100</v>
      </c>
      <c r="V22" s="27" t="s">
        <v>471</v>
      </c>
      <c r="W22" s="28" t="s">
        <v>479</v>
      </c>
      <c r="X22" s="28" t="s">
        <v>390</v>
      </c>
      <c r="Z22" s="42" t="s">
        <v>535</v>
      </c>
      <c r="AA22" s="47" t="n">
        <f aca="false">IFERROR($AA$4/$AA$11,"")</f>
        <v>0.779411764705882</v>
      </c>
    </row>
    <row r="23" customFormat="false" ht="15.75" hidden="false" customHeight="true" outlineLevel="0" collapsed="false">
      <c r="A23" s="27" t="s">
        <v>536</v>
      </c>
      <c r="B23" s="27" t="s">
        <v>354</v>
      </c>
      <c r="C23" s="33" t="str">
        <f aca="false">IFERROR(INDEX(Customers!$C$4:$C$1003,MATCH($B23,Customers!$A$4:$A$1003,0)),"")</f>
        <v>Bakhtiyor Umarov</v>
      </c>
      <c r="D23" s="28" t="s">
        <v>383</v>
      </c>
      <c r="E23" s="41" t="n">
        <v>6000</v>
      </c>
      <c r="F23" s="29"/>
      <c r="G23" s="27" t="s">
        <v>459</v>
      </c>
      <c r="H23" s="27"/>
      <c r="I23" s="29" t="n">
        <v>46248</v>
      </c>
      <c r="J23" s="27" t="s">
        <v>315</v>
      </c>
      <c r="K23" s="30" t="n">
        <f aca="true">IF(OR($A23="",$I23=""),"",IF($J23="Paid",0,IF(TODAY()&gt;$I23,TODAY()-$I23,0)))</f>
        <v>0</v>
      </c>
      <c r="L23" s="34" t="n">
        <f aca="false">IFERROR(INDEX(Customers!$M$4:$M$1003,MATCH($B23,Customers!$A$4:$A$1003,0)),"")</f>
        <v>18000</v>
      </c>
      <c r="M23" s="34" t="n">
        <f aca="false">IFERROR(INDEX(Customers!$N$4:$N$1003,MATCH($B23,Customers!$A$4:$A$1003,0)),"")</f>
        <v>6000</v>
      </c>
      <c r="N23" s="28" t="s">
        <v>452</v>
      </c>
      <c r="O23" s="32"/>
      <c r="Q23" s="27" t="s">
        <v>537</v>
      </c>
      <c r="R23" s="29" t="n">
        <v>46134</v>
      </c>
      <c r="S23" s="28" t="s">
        <v>484</v>
      </c>
      <c r="T23" s="32" t="s">
        <v>485</v>
      </c>
      <c r="U23" s="41" t="n">
        <v>520</v>
      </c>
      <c r="V23" s="27" t="s">
        <v>471</v>
      </c>
      <c r="W23" s="28" t="s">
        <v>486</v>
      </c>
      <c r="X23" s="28" t="s">
        <v>390</v>
      </c>
    </row>
    <row r="24" customFormat="false" ht="15.75" hidden="false" customHeight="true" outlineLevel="0" collapsed="false">
      <c r="A24" s="27" t="s">
        <v>538</v>
      </c>
      <c r="B24" s="27" t="s">
        <v>357</v>
      </c>
      <c r="C24" s="33" t="str">
        <f aca="false">IFERROR(INDEX(Customers!$C$4:$C$1003,MATCH($B24,Customers!$A$4:$A$1003,0)),"")</f>
        <v>Manizha Qodirova</v>
      </c>
      <c r="D24" s="28" t="s">
        <v>380</v>
      </c>
      <c r="E24" s="41" t="n">
        <v>9600</v>
      </c>
      <c r="F24" s="29" t="n">
        <v>46080</v>
      </c>
      <c r="G24" s="27" t="s">
        <v>450</v>
      </c>
      <c r="H24" s="27" t="s">
        <v>539</v>
      </c>
      <c r="I24" s="29" t="n">
        <v>46080</v>
      </c>
      <c r="J24" s="27" t="s">
        <v>274</v>
      </c>
      <c r="K24" s="30" t="n">
        <f aca="true">IF(OR($A24="",$I24=""),"",IF($J24="Paid",0,IF(TODAY()&gt;$I24,TODAY()-$I24,0)))</f>
        <v>0</v>
      </c>
      <c r="L24" s="34" t="n">
        <f aca="false">IFERROR(INDEX(Customers!$M$4:$M$1003,MATCH($B24,Customers!$A$4:$A$1003,0)),"")</f>
        <v>24000</v>
      </c>
      <c r="M24" s="34" t="n">
        <f aca="false">IFERROR(INDEX(Customers!$N$4:$N$1003,MATCH($B24,Customers!$A$4:$A$1003,0)),"")</f>
        <v>8000</v>
      </c>
      <c r="N24" s="28" t="s">
        <v>452</v>
      </c>
      <c r="O24" s="32"/>
      <c r="Q24" s="27" t="s">
        <v>540</v>
      </c>
      <c r="R24" s="29" t="n">
        <v>46147</v>
      </c>
      <c r="S24" s="28" t="s">
        <v>454</v>
      </c>
      <c r="T24" s="32" t="s">
        <v>455</v>
      </c>
      <c r="U24" s="41" t="n">
        <v>3500</v>
      </c>
      <c r="V24" s="27" t="s">
        <v>450</v>
      </c>
      <c r="W24" s="28" t="s">
        <v>456</v>
      </c>
      <c r="X24" s="28" t="s">
        <v>390</v>
      </c>
    </row>
    <row r="25" customFormat="false" ht="15.75" hidden="false" customHeight="true" outlineLevel="0" collapsed="false">
      <c r="A25" s="27" t="s">
        <v>541</v>
      </c>
      <c r="B25" s="27" t="s">
        <v>357</v>
      </c>
      <c r="C25" s="33" t="str">
        <f aca="false">IFERROR(INDEX(Customers!$C$4:$C$1003,MATCH($B25,Customers!$A$4:$A$1003,0)),"")</f>
        <v>Manizha Qodirova</v>
      </c>
      <c r="D25" s="28" t="s">
        <v>381</v>
      </c>
      <c r="E25" s="41" t="n">
        <v>6400</v>
      </c>
      <c r="F25" s="29" t="n">
        <v>46100</v>
      </c>
      <c r="G25" s="27" t="s">
        <v>459</v>
      </c>
      <c r="H25" s="27" t="s">
        <v>542</v>
      </c>
      <c r="I25" s="29" t="n">
        <v>46100</v>
      </c>
      <c r="J25" s="27" t="s">
        <v>274</v>
      </c>
      <c r="K25" s="30" t="n">
        <f aca="true">IF(OR($A25="",$I25=""),"",IF($J25="Paid",0,IF(TODAY()&gt;$I25,TODAY()-$I25,0)))</f>
        <v>0</v>
      </c>
      <c r="L25" s="34" t="n">
        <f aca="false">IFERROR(INDEX(Customers!$M$4:$M$1003,MATCH($B25,Customers!$A$4:$A$1003,0)),"")</f>
        <v>24000</v>
      </c>
      <c r="M25" s="34" t="n">
        <f aca="false">IFERROR(INDEX(Customers!$N$4:$N$1003,MATCH($B25,Customers!$A$4:$A$1003,0)),"")</f>
        <v>8000</v>
      </c>
      <c r="N25" s="28" t="s">
        <v>452</v>
      </c>
      <c r="O25" s="32"/>
      <c r="Q25" s="27" t="s">
        <v>543</v>
      </c>
      <c r="R25" s="29" t="n">
        <v>46170</v>
      </c>
      <c r="S25" s="28" t="s">
        <v>462</v>
      </c>
      <c r="T25" s="32" t="s">
        <v>463</v>
      </c>
      <c r="U25" s="41" t="n">
        <v>19000</v>
      </c>
      <c r="V25" s="27" t="s">
        <v>450</v>
      </c>
      <c r="W25" s="28" t="s">
        <v>464</v>
      </c>
      <c r="X25" s="28" t="s">
        <v>390</v>
      </c>
    </row>
    <row r="26" customFormat="false" ht="15.75" hidden="false" customHeight="true" outlineLevel="0" collapsed="false">
      <c r="A26" s="27" t="s">
        <v>544</v>
      </c>
      <c r="B26" s="27" t="s">
        <v>357</v>
      </c>
      <c r="C26" s="33" t="str">
        <f aca="false">IFERROR(INDEX(Customers!$C$4:$C$1003,MATCH($B26,Customers!$A$4:$A$1003,0)),"")</f>
        <v>Manizha Qodirova</v>
      </c>
      <c r="D26" s="28" t="s">
        <v>382</v>
      </c>
      <c r="E26" s="41" t="n">
        <v>8000</v>
      </c>
      <c r="F26" s="29" t="n">
        <v>46125</v>
      </c>
      <c r="G26" s="27" t="s">
        <v>450</v>
      </c>
      <c r="H26" s="27" t="s">
        <v>545</v>
      </c>
      <c r="I26" s="29" t="n">
        <v>46125</v>
      </c>
      <c r="J26" s="27" t="s">
        <v>274</v>
      </c>
      <c r="K26" s="30" t="n">
        <f aca="true">IF(OR($A26="",$I26=""),"",IF($J26="Paid",0,IF(TODAY()&gt;$I26,TODAY()-$I26,0)))</f>
        <v>0</v>
      </c>
      <c r="L26" s="34" t="n">
        <f aca="false">IFERROR(INDEX(Customers!$M$4:$M$1003,MATCH($B26,Customers!$A$4:$A$1003,0)),"")</f>
        <v>24000</v>
      </c>
      <c r="M26" s="34" t="n">
        <f aca="false">IFERROR(INDEX(Customers!$N$4:$N$1003,MATCH($B26,Customers!$A$4:$A$1003,0)),"")</f>
        <v>8000</v>
      </c>
      <c r="N26" s="28" t="s">
        <v>452</v>
      </c>
      <c r="O26" s="32"/>
      <c r="Q26" s="27" t="s">
        <v>546</v>
      </c>
      <c r="R26" s="29" t="n">
        <v>46152</v>
      </c>
      <c r="S26" s="28" t="s">
        <v>469</v>
      </c>
      <c r="T26" s="32" t="s">
        <v>470</v>
      </c>
      <c r="U26" s="41" t="n">
        <v>2900</v>
      </c>
      <c r="V26" s="27" t="s">
        <v>471</v>
      </c>
      <c r="W26" s="28" t="s">
        <v>472</v>
      </c>
      <c r="X26" s="28" t="s">
        <v>390</v>
      </c>
    </row>
    <row r="27" customFormat="false" ht="15.75" hidden="false" customHeight="true" outlineLevel="0" collapsed="false">
      <c r="A27" s="27" t="s">
        <v>547</v>
      </c>
      <c r="B27" s="27" t="s">
        <v>357</v>
      </c>
      <c r="C27" s="33" t="str">
        <f aca="false">IFERROR(INDEX(Customers!$C$4:$C$1003,MATCH($B27,Customers!$A$4:$A$1003,0)),"")</f>
        <v>Manizha Qodirova</v>
      </c>
      <c r="D27" s="28" t="s">
        <v>383</v>
      </c>
      <c r="E27" s="41" t="n">
        <v>8000</v>
      </c>
      <c r="F27" s="29"/>
      <c r="G27" s="27" t="s">
        <v>459</v>
      </c>
      <c r="H27" s="27"/>
      <c r="I27" s="29"/>
      <c r="J27" s="27" t="s">
        <v>320</v>
      </c>
      <c r="K27" s="30" t="str">
        <f aca="true">IF(OR($A27="",$I27=""),"",IF($J27="Paid",0,IF(TODAY()&gt;$I27,TODAY()-$I27,0)))</f>
        <v/>
      </c>
      <c r="L27" s="34" t="n">
        <f aca="false">IFERROR(INDEX(Customers!$M$4:$M$1003,MATCH($B27,Customers!$A$4:$A$1003,0)),"")</f>
        <v>24000</v>
      </c>
      <c r="M27" s="34" t="n">
        <f aca="false">IFERROR(INDEX(Customers!$N$4:$N$1003,MATCH($B27,Customers!$A$4:$A$1003,0)),"")</f>
        <v>8000</v>
      </c>
      <c r="N27" s="28" t="s">
        <v>452</v>
      </c>
      <c r="O27" s="32" t="s">
        <v>548</v>
      </c>
      <c r="Q27" s="27" t="s">
        <v>549</v>
      </c>
      <c r="R27" s="29" t="n">
        <v>46160</v>
      </c>
      <c r="S27" s="28" t="s">
        <v>477</v>
      </c>
      <c r="T27" s="32" t="s">
        <v>478</v>
      </c>
      <c r="U27" s="41" t="n">
        <v>2400</v>
      </c>
      <c r="V27" s="27" t="s">
        <v>471</v>
      </c>
      <c r="W27" s="28" t="s">
        <v>479</v>
      </c>
      <c r="X27" s="28" t="s">
        <v>390</v>
      </c>
    </row>
    <row r="28" customFormat="false" ht="15.75" hidden="false" customHeight="true" outlineLevel="0" collapsed="false">
      <c r="A28" s="27" t="s">
        <v>550</v>
      </c>
      <c r="B28" s="27" t="s">
        <v>360</v>
      </c>
      <c r="C28" s="33" t="str">
        <f aca="false">IFERROR(INDEX(Customers!$C$4:$C$1003,MATCH($B28,Customers!$A$4:$A$1003,0)),"")</f>
        <v>Rustam Sattorov</v>
      </c>
      <c r="D28" s="28" t="s">
        <v>380</v>
      </c>
      <c r="E28" s="41" t="n">
        <v>6600</v>
      </c>
      <c r="F28" s="29" t="n">
        <v>46094</v>
      </c>
      <c r="G28" s="27" t="s">
        <v>450</v>
      </c>
      <c r="H28" s="27" t="s">
        <v>551</v>
      </c>
      <c r="I28" s="29" t="n">
        <v>46094</v>
      </c>
      <c r="J28" s="27" t="s">
        <v>274</v>
      </c>
      <c r="K28" s="30" t="n">
        <f aca="true">IF(OR($A28="",$I28=""),"",IF($J28="Paid",0,IF(TODAY()&gt;$I28,TODAY()-$I28,0)))</f>
        <v>0</v>
      </c>
      <c r="L28" s="34" t="n">
        <f aca="false">IFERROR(INDEX(Customers!$M$4:$M$1003,MATCH($B28,Customers!$A$4:$A$1003,0)),"")</f>
        <v>16500</v>
      </c>
      <c r="M28" s="34" t="n">
        <f aca="false">IFERROR(INDEX(Customers!$N$4:$N$1003,MATCH($B28,Customers!$A$4:$A$1003,0)),"")</f>
        <v>5500</v>
      </c>
      <c r="N28" s="28" t="s">
        <v>452</v>
      </c>
      <c r="O28" s="32"/>
      <c r="Q28" s="27" t="s">
        <v>552</v>
      </c>
      <c r="R28" s="29" t="n">
        <v>46164</v>
      </c>
      <c r="S28" s="28" t="s">
        <v>484</v>
      </c>
      <c r="T28" s="32" t="s">
        <v>485</v>
      </c>
      <c r="U28" s="41" t="n">
        <v>640</v>
      </c>
      <c r="V28" s="27" t="s">
        <v>471</v>
      </c>
      <c r="W28" s="28" t="s">
        <v>486</v>
      </c>
      <c r="X28" s="28" t="s">
        <v>390</v>
      </c>
    </row>
    <row r="29" customFormat="false" ht="15.75" hidden="false" customHeight="true" outlineLevel="0" collapsed="false">
      <c r="A29" s="27" t="s">
        <v>553</v>
      </c>
      <c r="B29" s="27" t="s">
        <v>360</v>
      </c>
      <c r="C29" s="33" t="str">
        <f aca="false">IFERROR(INDEX(Customers!$C$4:$C$1003,MATCH($B29,Customers!$A$4:$A$1003,0)),"")</f>
        <v>Rustam Sattorov</v>
      </c>
      <c r="D29" s="28" t="s">
        <v>381</v>
      </c>
      <c r="E29" s="41" t="n">
        <v>4400</v>
      </c>
      <c r="F29" s="29" t="n">
        <v>46114</v>
      </c>
      <c r="G29" s="27" t="s">
        <v>459</v>
      </c>
      <c r="H29" s="27" t="s">
        <v>554</v>
      </c>
      <c r="I29" s="29" t="n">
        <v>46114</v>
      </c>
      <c r="J29" s="27" t="s">
        <v>274</v>
      </c>
      <c r="K29" s="30" t="n">
        <f aca="true">IF(OR($A29="",$I29=""),"",IF($J29="Paid",0,IF(TODAY()&gt;$I29,TODAY()-$I29,0)))</f>
        <v>0</v>
      </c>
      <c r="L29" s="34" t="n">
        <f aca="false">IFERROR(INDEX(Customers!$M$4:$M$1003,MATCH($B29,Customers!$A$4:$A$1003,0)),"")</f>
        <v>16500</v>
      </c>
      <c r="M29" s="34" t="n">
        <f aca="false">IFERROR(INDEX(Customers!$N$4:$N$1003,MATCH($B29,Customers!$A$4:$A$1003,0)),"")</f>
        <v>5500</v>
      </c>
      <c r="N29" s="28" t="s">
        <v>452</v>
      </c>
      <c r="O29" s="32"/>
      <c r="Q29" s="27" t="s">
        <v>555</v>
      </c>
      <c r="R29" s="29" t="n">
        <v>46178</v>
      </c>
      <c r="S29" s="28" t="s">
        <v>454</v>
      </c>
      <c r="T29" s="32" t="s">
        <v>455</v>
      </c>
      <c r="U29" s="41" t="n">
        <v>3500</v>
      </c>
      <c r="V29" s="27" t="s">
        <v>450</v>
      </c>
      <c r="W29" s="28" t="s">
        <v>456</v>
      </c>
      <c r="X29" s="28" t="s">
        <v>390</v>
      </c>
    </row>
    <row r="30" customFormat="false" ht="15.75" hidden="false" customHeight="true" outlineLevel="0" collapsed="false">
      <c r="A30" s="27" t="s">
        <v>556</v>
      </c>
      <c r="B30" s="27" t="s">
        <v>360</v>
      </c>
      <c r="C30" s="33" t="str">
        <f aca="false">IFERROR(INDEX(Customers!$C$4:$C$1003,MATCH($B30,Customers!$A$4:$A$1003,0)),"")</f>
        <v>Rustam Sattorov</v>
      </c>
      <c r="D30" s="28" t="s">
        <v>382</v>
      </c>
      <c r="E30" s="41" t="n">
        <v>5500</v>
      </c>
      <c r="F30" s="29" t="n">
        <v>46139</v>
      </c>
      <c r="G30" s="27" t="s">
        <v>450</v>
      </c>
      <c r="H30" s="27" t="s">
        <v>557</v>
      </c>
      <c r="I30" s="29" t="n">
        <v>46139</v>
      </c>
      <c r="J30" s="27" t="s">
        <v>274</v>
      </c>
      <c r="K30" s="30" t="n">
        <f aca="true">IF(OR($A30="",$I30=""),"",IF($J30="Paid",0,IF(TODAY()&gt;$I30,TODAY()-$I30,0)))</f>
        <v>0</v>
      </c>
      <c r="L30" s="34" t="n">
        <f aca="false">IFERROR(INDEX(Customers!$M$4:$M$1003,MATCH($B30,Customers!$A$4:$A$1003,0)),"")</f>
        <v>16500</v>
      </c>
      <c r="M30" s="34" t="n">
        <f aca="false">IFERROR(INDEX(Customers!$N$4:$N$1003,MATCH($B30,Customers!$A$4:$A$1003,0)),"")</f>
        <v>5500</v>
      </c>
      <c r="N30" s="28" t="s">
        <v>452</v>
      </c>
      <c r="O30" s="32"/>
      <c r="Q30" s="27" t="s">
        <v>558</v>
      </c>
      <c r="R30" s="29" t="n">
        <v>46201</v>
      </c>
      <c r="S30" s="28" t="s">
        <v>462</v>
      </c>
      <c r="T30" s="32" t="s">
        <v>463</v>
      </c>
      <c r="U30" s="41" t="n">
        <v>19000</v>
      </c>
      <c r="V30" s="27" t="s">
        <v>450</v>
      </c>
      <c r="W30" s="28" t="s">
        <v>464</v>
      </c>
      <c r="X30" s="28" t="s">
        <v>390</v>
      </c>
    </row>
    <row r="31" customFormat="false" ht="15.75" hidden="false" customHeight="true" outlineLevel="0" collapsed="false">
      <c r="A31" s="27" t="s">
        <v>559</v>
      </c>
      <c r="B31" s="27" t="s">
        <v>362</v>
      </c>
      <c r="C31" s="33" t="str">
        <f aca="false">IFERROR(INDEX(Customers!$C$4:$C$1003,MATCH($B31,Customers!$A$4:$A$1003,0)),"")</f>
        <v>Dilnoza Aliyeva</v>
      </c>
      <c r="D31" s="28" t="s">
        <v>380</v>
      </c>
      <c r="E31" s="41" t="n">
        <v>6300</v>
      </c>
      <c r="F31" s="29" t="n">
        <v>46101</v>
      </c>
      <c r="G31" s="27" t="s">
        <v>471</v>
      </c>
      <c r="H31" s="27" t="s">
        <v>560</v>
      </c>
      <c r="I31" s="29" t="n">
        <v>46101</v>
      </c>
      <c r="J31" s="27" t="s">
        <v>274</v>
      </c>
      <c r="K31" s="30" t="n">
        <f aca="true">IF(OR($A31="",$I31=""),"",IF($J31="Paid",0,IF(TODAY()&gt;$I31,TODAY()-$I31,0)))</f>
        <v>0</v>
      </c>
      <c r="L31" s="34" t="n">
        <f aca="false">IFERROR(INDEX(Customers!$M$4:$M$1003,MATCH($B31,Customers!$A$4:$A$1003,0)),"")</f>
        <v>15750</v>
      </c>
      <c r="M31" s="34" t="n">
        <f aca="false">IFERROR(INDEX(Customers!$N$4:$N$1003,MATCH($B31,Customers!$A$4:$A$1003,0)),"")</f>
        <v>5250</v>
      </c>
      <c r="N31" s="28" t="s">
        <v>452</v>
      </c>
      <c r="O31" s="32"/>
      <c r="Q31" s="27" t="s">
        <v>561</v>
      </c>
      <c r="R31" s="29" t="n">
        <v>46183</v>
      </c>
      <c r="S31" s="28" t="s">
        <v>469</v>
      </c>
      <c r="T31" s="32" t="s">
        <v>470</v>
      </c>
      <c r="U31" s="41" t="n">
        <v>2700</v>
      </c>
      <c r="V31" s="27" t="s">
        <v>471</v>
      </c>
      <c r="W31" s="28" t="s">
        <v>472</v>
      </c>
      <c r="X31" s="28" t="s">
        <v>390</v>
      </c>
    </row>
    <row r="32" customFormat="false" ht="15.75" hidden="false" customHeight="true" outlineLevel="0" collapsed="false">
      <c r="A32" s="27" t="s">
        <v>562</v>
      </c>
      <c r="B32" s="27" t="s">
        <v>362</v>
      </c>
      <c r="C32" s="33" t="str">
        <f aca="false">IFERROR(INDEX(Customers!$C$4:$C$1003,MATCH($B32,Customers!$A$4:$A$1003,0)),"")</f>
        <v>Dilnoza Aliyeva</v>
      </c>
      <c r="D32" s="28" t="s">
        <v>381</v>
      </c>
      <c r="E32" s="41" t="n">
        <v>4200</v>
      </c>
      <c r="F32" s="29" t="n">
        <v>46121</v>
      </c>
      <c r="G32" s="27" t="s">
        <v>563</v>
      </c>
      <c r="H32" s="27" t="s">
        <v>564</v>
      </c>
      <c r="I32" s="29" t="n">
        <v>46121</v>
      </c>
      <c r="J32" s="27" t="s">
        <v>274</v>
      </c>
      <c r="K32" s="30" t="n">
        <f aca="true">IF(OR($A32="",$I32=""),"",IF($J32="Paid",0,IF(TODAY()&gt;$I32,TODAY()-$I32,0)))</f>
        <v>0</v>
      </c>
      <c r="L32" s="34" t="n">
        <f aca="false">IFERROR(INDEX(Customers!$M$4:$M$1003,MATCH($B32,Customers!$A$4:$A$1003,0)),"")</f>
        <v>15750</v>
      </c>
      <c r="M32" s="34" t="n">
        <f aca="false">IFERROR(INDEX(Customers!$N$4:$N$1003,MATCH($B32,Customers!$A$4:$A$1003,0)),"")</f>
        <v>5250</v>
      </c>
      <c r="N32" s="28" t="s">
        <v>452</v>
      </c>
      <c r="O32" s="32"/>
      <c r="Q32" s="27" t="s">
        <v>565</v>
      </c>
      <c r="R32" s="29" t="n">
        <v>46191</v>
      </c>
      <c r="S32" s="28" t="s">
        <v>477</v>
      </c>
      <c r="T32" s="32" t="s">
        <v>478</v>
      </c>
      <c r="U32" s="41" t="n">
        <v>1800</v>
      </c>
      <c r="V32" s="27" t="s">
        <v>471</v>
      </c>
      <c r="W32" s="28" t="s">
        <v>479</v>
      </c>
      <c r="X32" s="28" t="s">
        <v>390</v>
      </c>
    </row>
    <row r="33" customFormat="false" ht="15.75" hidden="false" customHeight="true" outlineLevel="0" collapsed="false">
      <c r="A33" s="27" t="s">
        <v>566</v>
      </c>
      <c r="B33" s="27" t="s">
        <v>362</v>
      </c>
      <c r="C33" s="33" t="str">
        <f aca="false">IFERROR(INDEX(Customers!$C$4:$C$1003,MATCH($B33,Customers!$A$4:$A$1003,0)),"")</f>
        <v>Dilnoza Aliyeva</v>
      </c>
      <c r="D33" s="28" t="s">
        <v>382</v>
      </c>
      <c r="E33" s="41" t="n">
        <v>5250</v>
      </c>
      <c r="F33" s="29" t="n">
        <v>46146</v>
      </c>
      <c r="G33" s="27" t="s">
        <v>471</v>
      </c>
      <c r="H33" s="27" t="s">
        <v>567</v>
      </c>
      <c r="I33" s="29" t="n">
        <v>46146</v>
      </c>
      <c r="J33" s="27" t="s">
        <v>274</v>
      </c>
      <c r="K33" s="30" t="n">
        <f aca="true">IF(OR($A33="",$I33=""),"",IF($J33="Paid",0,IF(TODAY()&gt;$I33,TODAY()-$I33,0)))</f>
        <v>0</v>
      </c>
      <c r="L33" s="34" t="n">
        <f aca="false">IFERROR(INDEX(Customers!$M$4:$M$1003,MATCH($B33,Customers!$A$4:$A$1003,0)),"")</f>
        <v>15750</v>
      </c>
      <c r="M33" s="34" t="n">
        <f aca="false">IFERROR(INDEX(Customers!$N$4:$N$1003,MATCH($B33,Customers!$A$4:$A$1003,0)),"")</f>
        <v>5250</v>
      </c>
      <c r="N33" s="28" t="s">
        <v>452</v>
      </c>
      <c r="O33" s="32"/>
      <c r="Q33" s="27" t="s">
        <v>568</v>
      </c>
      <c r="R33" s="29" t="n">
        <v>46195</v>
      </c>
      <c r="S33" s="28" t="s">
        <v>484</v>
      </c>
      <c r="T33" s="32" t="s">
        <v>485</v>
      </c>
      <c r="U33" s="41" t="n">
        <v>580</v>
      </c>
      <c r="V33" s="27" t="s">
        <v>471</v>
      </c>
      <c r="W33" s="28" t="s">
        <v>486</v>
      </c>
      <c r="X33" s="28" t="s">
        <v>390</v>
      </c>
    </row>
    <row r="34" customFormat="false" ht="15.75" hidden="false" customHeight="true" outlineLevel="0" collapsed="false">
      <c r="A34" s="27" t="s">
        <v>569</v>
      </c>
      <c r="B34" s="27" t="s">
        <v>365</v>
      </c>
      <c r="C34" s="33" t="str">
        <f aca="false">IFERROR(INDEX(Customers!$C$4:$C$1003,MATCH($B34,Customers!$A$4:$A$1003,0)),"")</f>
        <v>Sherali Yusupov</v>
      </c>
      <c r="D34" s="28" t="s">
        <v>380</v>
      </c>
      <c r="E34" s="41" t="n">
        <v>7500</v>
      </c>
      <c r="F34" s="29" t="n">
        <v>46108</v>
      </c>
      <c r="G34" s="27" t="s">
        <v>459</v>
      </c>
      <c r="H34" s="27" t="s">
        <v>570</v>
      </c>
      <c r="I34" s="29" t="n">
        <v>46108</v>
      </c>
      <c r="J34" s="27" t="s">
        <v>274</v>
      </c>
      <c r="K34" s="30" t="n">
        <f aca="true">IF(OR($A34="",$I34=""),"",IF($J34="Paid",0,IF(TODAY()&gt;$I34,TODAY()-$I34,0)))</f>
        <v>0</v>
      </c>
      <c r="L34" s="34" t="n">
        <f aca="false">IFERROR(INDEX(Customers!$M$4:$M$1003,MATCH($B34,Customers!$A$4:$A$1003,0)),"")</f>
        <v>12500</v>
      </c>
      <c r="M34" s="34" t="n">
        <f aca="false">IFERROR(INDEX(Customers!$N$4:$N$1003,MATCH($B34,Customers!$A$4:$A$1003,0)),"")</f>
        <v>12500</v>
      </c>
      <c r="N34" s="28" t="s">
        <v>452</v>
      </c>
      <c r="O34" s="32"/>
      <c r="Q34" s="27" t="s">
        <v>571</v>
      </c>
      <c r="R34" s="29" t="n">
        <v>46208</v>
      </c>
      <c r="S34" s="28" t="s">
        <v>454</v>
      </c>
      <c r="T34" s="32" t="s">
        <v>455</v>
      </c>
      <c r="U34" s="41" t="n">
        <v>3500</v>
      </c>
      <c r="V34" s="27" t="s">
        <v>450</v>
      </c>
      <c r="W34" s="28" t="s">
        <v>456</v>
      </c>
      <c r="X34" s="28" t="s">
        <v>390</v>
      </c>
    </row>
    <row r="35" customFormat="false" ht="15.75" hidden="false" customHeight="true" outlineLevel="0" collapsed="false">
      <c r="A35" s="27" t="s">
        <v>572</v>
      </c>
      <c r="B35" s="27" t="s">
        <v>365</v>
      </c>
      <c r="C35" s="33" t="str">
        <f aca="false">IFERROR(INDEX(Customers!$C$4:$C$1003,MATCH($B35,Customers!$A$4:$A$1003,0)),"")</f>
        <v>Sherali Yusupov</v>
      </c>
      <c r="D35" s="28" t="s">
        <v>381</v>
      </c>
      <c r="E35" s="41" t="n">
        <v>5000</v>
      </c>
      <c r="F35" s="29" t="n">
        <v>46128</v>
      </c>
      <c r="G35" s="27" t="s">
        <v>450</v>
      </c>
      <c r="H35" s="27" t="s">
        <v>573</v>
      </c>
      <c r="I35" s="29" t="n">
        <v>46128</v>
      </c>
      <c r="J35" s="27" t="s">
        <v>274</v>
      </c>
      <c r="K35" s="30" t="n">
        <f aca="true">IF(OR($A35="",$I35=""),"",IF($J35="Paid",0,IF(TODAY()&gt;$I35,TODAY()-$I35,0)))</f>
        <v>0</v>
      </c>
      <c r="L35" s="34" t="n">
        <f aca="false">IFERROR(INDEX(Customers!$M$4:$M$1003,MATCH($B35,Customers!$A$4:$A$1003,0)),"")</f>
        <v>12500</v>
      </c>
      <c r="M35" s="34" t="n">
        <f aca="false">IFERROR(INDEX(Customers!$N$4:$N$1003,MATCH($B35,Customers!$A$4:$A$1003,0)),"")</f>
        <v>12500</v>
      </c>
      <c r="N35" s="28" t="s">
        <v>452</v>
      </c>
      <c r="O35" s="32"/>
      <c r="Q35" s="27" t="s">
        <v>574</v>
      </c>
      <c r="R35" s="29" t="n">
        <v>46231</v>
      </c>
      <c r="S35" s="28" t="s">
        <v>462</v>
      </c>
      <c r="T35" s="32" t="s">
        <v>463</v>
      </c>
      <c r="U35" s="41" t="n">
        <v>19000</v>
      </c>
      <c r="V35" s="27" t="s">
        <v>450</v>
      </c>
      <c r="W35" s="28" t="s">
        <v>464</v>
      </c>
      <c r="X35" s="28" t="s">
        <v>390</v>
      </c>
    </row>
    <row r="36" customFormat="false" ht="15.75" hidden="false" customHeight="true" outlineLevel="0" collapsed="false">
      <c r="A36" s="27" t="s">
        <v>575</v>
      </c>
      <c r="B36" s="27" t="s">
        <v>365</v>
      </c>
      <c r="C36" s="33" t="str">
        <f aca="false">IFERROR(INDEX(Customers!$C$4:$C$1003,MATCH($B36,Customers!$A$4:$A$1003,0)),"")</f>
        <v>Sherali Yusupov</v>
      </c>
      <c r="D36" s="28" t="s">
        <v>382</v>
      </c>
      <c r="E36" s="41" t="n">
        <v>6250</v>
      </c>
      <c r="F36" s="29"/>
      <c r="G36" s="27" t="s">
        <v>459</v>
      </c>
      <c r="H36" s="27"/>
      <c r="I36" s="29" t="n">
        <v>46153</v>
      </c>
      <c r="J36" s="27" t="s">
        <v>576</v>
      </c>
      <c r="K36" s="30" t="n">
        <f aca="true">IF(OR($A36="",$I36=""),"",IF($J36="Paid",0,IF(TODAY()&gt;$I36,TODAY()-$I36,0)))</f>
        <v>80</v>
      </c>
      <c r="L36" s="34" t="n">
        <f aca="false">IFERROR(INDEX(Customers!$M$4:$M$1003,MATCH($B36,Customers!$A$4:$A$1003,0)),"")</f>
        <v>12500</v>
      </c>
      <c r="M36" s="34" t="n">
        <f aca="false">IFERROR(INDEX(Customers!$N$4:$N$1003,MATCH($B36,Customers!$A$4:$A$1003,0)),"")</f>
        <v>12500</v>
      </c>
      <c r="N36" s="28" t="s">
        <v>452</v>
      </c>
      <c r="O36" s="32"/>
      <c r="Q36" s="27" t="s">
        <v>577</v>
      </c>
      <c r="R36" s="29" t="n">
        <v>46213</v>
      </c>
      <c r="S36" s="28" t="s">
        <v>469</v>
      </c>
      <c r="T36" s="32" t="s">
        <v>470</v>
      </c>
      <c r="U36" s="41" t="n">
        <v>2500</v>
      </c>
      <c r="V36" s="27" t="s">
        <v>471</v>
      </c>
      <c r="W36" s="28" t="s">
        <v>472</v>
      </c>
      <c r="X36" s="28" t="s">
        <v>390</v>
      </c>
    </row>
    <row r="37" customFormat="false" ht="15.75" hidden="false" customHeight="true" outlineLevel="0" collapsed="false">
      <c r="A37" s="27" t="s">
        <v>578</v>
      </c>
      <c r="B37" s="27" t="s">
        <v>368</v>
      </c>
      <c r="C37" s="33" t="str">
        <f aca="false">IFERROR(INDEX(Customers!$C$4:$C$1003,MATCH($B37,Customers!$A$4:$A$1003,0)),"")</f>
        <v>Malika Ismoilova</v>
      </c>
      <c r="D37" s="28" t="s">
        <v>380</v>
      </c>
      <c r="E37" s="41" t="n">
        <v>6600</v>
      </c>
      <c r="F37" s="29" t="n">
        <v>46123</v>
      </c>
      <c r="G37" s="27" t="s">
        <v>563</v>
      </c>
      <c r="H37" s="27" t="s">
        <v>579</v>
      </c>
      <c r="I37" s="29" t="n">
        <v>46123</v>
      </c>
      <c r="J37" s="27" t="s">
        <v>274</v>
      </c>
      <c r="K37" s="30" t="n">
        <f aca="true">IF(OR($A37="",$I37=""),"",IF($J37="Paid",0,IF(TODAY()&gt;$I37,TODAY()-$I37,0)))</f>
        <v>0</v>
      </c>
      <c r="L37" s="34" t="n">
        <f aca="false">IFERROR(INDEX(Customers!$M$4:$M$1003,MATCH($B37,Customers!$A$4:$A$1003,0)),"")</f>
        <v>16500</v>
      </c>
      <c r="M37" s="34" t="n">
        <f aca="false">IFERROR(INDEX(Customers!$N$4:$N$1003,MATCH($B37,Customers!$A$4:$A$1003,0)),"")</f>
        <v>5500</v>
      </c>
      <c r="N37" s="28" t="s">
        <v>452</v>
      </c>
      <c r="O37" s="32"/>
      <c r="Q37" s="27" t="s">
        <v>580</v>
      </c>
      <c r="R37" s="29" t="n">
        <v>46221</v>
      </c>
      <c r="S37" s="28" t="s">
        <v>477</v>
      </c>
      <c r="T37" s="32" t="s">
        <v>478</v>
      </c>
      <c r="U37" s="41" t="n">
        <v>1600</v>
      </c>
      <c r="V37" s="27" t="s">
        <v>471</v>
      </c>
      <c r="W37" s="28" t="s">
        <v>479</v>
      </c>
      <c r="X37" s="28" t="s">
        <v>390</v>
      </c>
    </row>
    <row r="38" customFormat="false" ht="15.75" hidden="false" customHeight="true" outlineLevel="0" collapsed="false">
      <c r="A38" s="27" t="s">
        <v>581</v>
      </c>
      <c r="B38" s="27" t="s">
        <v>368</v>
      </c>
      <c r="C38" s="33" t="str">
        <f aca="false">IFERROR(INDEX(Customers!$C$4:$C$1003,MATCH($B38,Customers!$A$4:$A$1003,0)),"")</f>
        <v>Malika Ismoilova</v>
      </c>
      <c r="D38" s="28" t="s">
        <v>381</v>
      </c>
      <c r="E38" s="41" t="n">
        <v>4400</v>
      </c>
      <c r="F38" s="29" t="n">
        <v>46143</v>
      </c>
      <c r="G38" s="27" t="s">
        <v>471</v>
      </c>
      <c r="H38" s="27" t="s">
        <v>582</v>
      </c>
      <c r="I38" s="29" t="n">
        <v>46143</v>
      </c>
      <c r="J38" s="27" t="s">
        <v>274</v>
      </c>
      <c r="K38" s="30" t="n">
        <f aca="true">IF(OR($A38="",$I38=""),"",IF($J38="Paid",0,IF(TODAY()&gt;$I38,TODAY()-$I38,0)))</f>
        <v>0</v>
      </c>
      <c r="L38" s="34" t="n">
        <f aca="false">IFERROR(INDEX(Customers!$M$4:$M$1003,MATCH($B38,Customers!$A$4:$A$1003,0)),"")</f>
        <v>16500</v>
      </c>
      <c r="M38" s="34" t="n">
        <f aca="false">IFERROR(INDEX(Customers!$N$4:$N$1003,MATCH($B38,Customers!$A$4:$A$1003,0)),"")</f>
        <v>5500</v>
      </c>
      <c r="N38" s="28" t="s">
        <v>452</v>
      </c>
      <c r="O38" s="32"/>
      <c r="Q38" s="27" t="s">
        <v>583</v>
      </c>
      <c r="R38" s="29" t="n">
        <v>46225</v>
      </c>
      <c r="S38" s="28" t="s">
        <v>484</v>
      </c>
      <c r="T38" s="32" t="s">
        <v>485</v>
      </c>
      <c r="U38" s="41" t="n">
        <v>610</v>
      </c>
      <c r="V38" s="27" t="s">
        <v>471</v>
      </c>
      <c r="W38" s="28" t="s">
        <v>486</v>
      </c>
      <c r="X38" s="28" t="s">
        <v>390</v>
      </c>
    </row>
    <row r="39" customFormat="false" ht="15.75" hidden="false" customHeight="true" outlineLevel="0" collapsed="false">
      <c r="A39" s="27" t="s">
        <v>584</v>
      </c>
      <c r="B39" s="27" t="s">
        <v>368</v>
      </c>
      <c r="C39" s="33" t="str">
        <f aca="false">IFERROR(INDEX(Customers!$C$4:$C$1003,MATCH($B39,Customers!$A$4:$A$1003,0)),"")</f>
        <v>Malika Ismoilova</v>
      </c>
      <c r="D39" s="28" t="s">
        <v>382</v>
      </c>
      <c r="E39" s="41" t="n">
        <v>5500</v>
      </c>
      <c r="F39" s="29" t="n">
        <v>46233</v>
      </c>
      <c r="G39" s="27" t="s">
        <v>563</v>
      </c>
      <c r="H39" s="27" t="s">
        <v>585</v>
      </c>
      <c r="I39" s="29" t="n">
        <v>46168</v>
      </c>
      <c r="J39" s="27" t="s">
        <v>274</v>
      </c>
      <c r="K39" s="30" t="n">
        <f aca="true">IF(OR($A39="",$I39=""),"",IF($J39="Paid",0,IF(TODAY()&gt;$I39,TODAY()-$I39,0)))</f>
        <v>0</v>
      </c>
      <c r="L39" s="34" t="n">
        <f aca="false">IFERROR(INDEX(Customers!$M$4:$M$1003,MATCH($B39,Customers!$A$4:$A$1003,0)),"")</f>
        <v>16500</v>
      </c>
      <c r="M39" s="34" t="n">
        <f aca="false">IFERROR(INDEX(Customers!$N$4:$N$1003,MATCH($B39,Customers!$A$4:$A$1003,0)),"")</f>
        <v>5500</v>
      </c>
      <c r="N39" s="28" t="s">
        <v>452</v>
      </c>
      <c r="O39" s="32" t="s">
        <v>586</v>
      </c>
      <c r="Q39" s="27"/>
      <c r="R39" s="29"/>
      <c r="S39" s="28"/>
      <c r="T39" s="32"/>
      <c r="U39" s="41"/>
      <c r="V39" s="27"/>
      <c r="W39" s="28"/>
      <c r="X39" s="28"/>
    </row>
    <row r="40" customFormat="false" ht="15.75" hidden="false" customHeight="true" outlineLevel="0" collapsed="false">
      <c r="A40" s="27" t="s">
        <v>587</v>
      </c>
      <c r="B40" s="27" t="s">
        <v>370</v>
      </c>
      <c r="C40" s="33" t="str">
        <f aca="false">IFERROR(INDEX(Customers!$C$4:$C$1003,MATCH($B40,Customers!$A$4:$A$1003,0)),"")</f>
        <v>Farrukh Davlatov</v>
      </c>
      <c r="D40" s="28" t="s">
        <v>380</v>
      </c>
      <c r="E40" s="41" t="n">
        <v>6900</v>
      </c>
      <c r="F40" s="29" t="n">
        <v>46115</v>
      </c>
      <c r="G40" s="27" t="s">
        <v>450</v>
      </c>
      <c r="H40" s="27" t="s">
        <v>588</v>
      </c>
      <c r="I40" s="29" t="n">
        <v>46115</v>
      </c>
      <c r="J40" s="27" t="s">
        <v>274</v>
      </c>
      <c r="K40" s="30" t="n">
        <f aca="true">IF(OR($A40="",$I40=""),"",IF($J40="Paid",0,IF(TODAY()&gt;$I40,TODAY()-$I40,0)))</f>
        <v>0</v>
      </c>
      <c r="L40" s="34" t="n">
        <f aca="false">IFERROR(INDEX(Customers!$M$4:$M$1003,MATCH($B40,Customers!$A$4:$A$1003,0)),"")</f>
        <v>11500</v>
      </c>
      <c r="M40" s="34" t="n">
        <f aca="false">IFERROR(INDEX(Customers!$N$4:$N$1003,MATCH($B40,Customers!$A$4:$A$1003,0)),"")</f>
        <v>11500</v>
      </c>
      <c r="N40" s="28" t="s">
        <v>452</v>
      </c>
      <c r="O40" s="32"/>
      <c r="Q40" s="27"/>
      <c r="R40" s="29"/>
      <c r="S40" s="28"/>
      <c r="T40" s="32"/>
      <c r="U40" s="41"/>
      <c r="V40" s="27"/>
      <c r="W40" s="28"/>
      <c r="X40" s="28"/>
    </row>
    <row r="41" customFormat="false" ht="15.75" hidden="false" customHeight="true" outlineLevel="0" collapsed="false">
      <c r="A41" s="27" t="s">
        <v>589</v>
      </c>
      <c r="B41" s="27" t="s">
        <v>370</v>
      </c>
      <c r="C41" s="33" t="str">
        <f aca="false">IFERROR(INDEX(Customers!$C$4:$C$1003,MATCH($B41,Customers!$A$4:$A$1003,0)),"")</f>
        <v>Farrukh Davlatov</v>
      </c>
      <c r="D41" s="28" t="s">
        <v>381</v>
      </c>
      <c r="E41" s="41" t="n">
        <v>4600</v>
      </c>
      <c r="F41" s="29" t="n">
        <v>46135</v>
      </c>
      <c r="G41" s="27" t="s">
        <v>459</v>
      </c>
      <c r="H41" s="27" t="s">
        <v>590</v>
      </c>
      <c r="I41" s="29" t="n">
        <v>46135</v>
      </c>
      <c r="J41" s="27" t="s">
        <v>274</v>
      </c>
      <c r="K41" s="30" t="n">
        <f aca="true">IF(OR($A41="",$I41=""),"",IF($J41="Paid",0,IF(TODAY()&gt;$I41,TODAY()-$I41,0)))</f>
        <v>0</v>
      </c>
      <c r="L41" s="34" t="n">
        <f aca="false">IFERROR(INDEX(Customers!$M$4:$M$1003,MATCH($B41,Customers!$A$4:$A$1003,0)),"")</f>
        <v>11500</v>
      </c>
      <c r="M41" s="34" t="n">
        <f aca="false">IFERROR(INDEX(Customers!$N$4:$N$1003,MATCH($B41,Customers!$A$4:$A$1003,0)),"")</f>
        <v>11500</v>
      </c>
      <c r="N41" s="28" t="s">
        <v>452</v>
      </c>
      <c r="O41" s="32"/>
      <c r="Q41" s="27"/>
      <c r="R41" s="29"/>
      <c r="S41" s="28"/>
      <c r="T41" s="32"/>
      <c r="U41" s="41"/>
      <c r="V41" s="27"/>
      <c r="W41" s="28"/>
      <c r="X41" s="28"/>
    </row>
    <row r="42" customFormat="false" ht="15.75" hidden="false" customHeight="true" outlineLevel="0" collapsed="false">
      <c r="A42" s="27" t="s">
        <v>591</v>
      </c>
      <c r="B42" s="27" t="s">
        <v>374</v>
      </c>
      <c r="C42" s="33" t="str">
        <f aca="false">IFERROR(INDEX(Customers!$C$4:$C$1003,MATCH($B42,Customers!$A$4:$A$1003,0)),"")</f>
        <v>Gulnora Safarova</v>
      </c>
      <c r="D42" s="28" t="s">
        <v>380</v>
      </c>
      <c r="E42" s="41" t="n">
        <v>5700</v>
      </c>
      <c r="F42" s="29" t="n">
        <v>46130</v>
      </c>
      <c r="G42" s="27" t="s">
        <v>459</v>
      </c>
      <c r="H42" s="27" t="s">
        <v>592</v>
      </c>
      <c r="I42" s="29" t="n">
        <v>46130</v>
      </c>
      <c r="J42" s="27" t="s">
        <v>274</v>
      </c>
      <c r="K42" s="30" t="n">
        <f aca="true">IF(OR($A42="",$I42=""),"",IF($J42="Paid",0,IF(TODAY()&gt;$I42,TODAY()-$I42,0)))</f>
        <v>0</v>
      </c>
      <c r="L42" s="34" t="n">
        <f aca="false">IFERROR(INDEX(Customers!$M$4:$M$1003,MATCH($B42,Customers!$A$4:$A$1003,0)),"")</f>
        <v>9500</v>
      </c>
      <c r="M42" s="34" t="n">
        <f aca="false">IFERROR(INDEX(Customers!$N$4:$N$1003,MATCH($B42,Customers!$A$4:$A$1003,0)),"")</f>
        <v>9500</v>
      </c>
      <c r="N42" s="28" t="s">
        <v>452</v>
      </c>
      <c r="O42" s="32"/>
      <c r="Q42" s="27"/>
      <c r="R42" s="29"/>
      <c r="S42" s="28"/>
      <c r="T42" s="32"/>
      <c r="U42" s="41"/>
      <c r="V42" s="27"/>
      <c r="W42" s="28"/>
      <c r="X42" s="28"/>
    </row>
    <row r="43" customFormat="false" ht="15.75" hidden="false" customHeight="true" outlineLevel="0" collapsed="false">
      <c r="A43" s="27" t="s">
        <v>593</v>
      </c>
      <c r="B43" s="27" t="s">
        <v>374</v>
      </c>
      <c r="C43" s="33" t="str">
        <f aca="false">IFERROR(INDEX(Customers!$C$4:$C$1003,MATCH($B43,Customers!$A$4:$A$1003,0)),"")</f>
        <v>Gulnora Safarova</v>
      </c>
      <c r="D43" s="28" t="s">
        <v>381</v>
      </c>
      <c r="E43" s="41" t="n">
        <v>3800</v>
      </c>
      <c r="F43" s="29" t="n">
        <v>46233</v>
      </c>
      <c r="G43" s="27" t="s">
        <v>450</v>
      </c>
      <c r="H43" s="27" t="s">
        <v>594</v>
      </c>
      <c r="I43" s="29" t="n">
        <v>46150</v>
      </c>
      <c r="J43" s="27" t="s">
        <v>274</v>
      </c>
      <c r="K43" s="30" t="n">
        <f aca="true">IF(OR($A43="",$I43=""),"",IF($J43="Paid",0,IF(TODAY()&gt;$I43,TODAY()-$I43,0)))</f>
        <v>0</v>
      </c>
      <c r="L43" s="34" t="n">
        <f aca="false">IFERROR(INDEX(Customers!$M$4:$M$1003,MATCH($B43,Customers!$A$4:$A$1003,0)),"")</f>
        <v>9500</v>
      </c>
      <c r="M43" s="34" t="n">
        <f aca="false">IFERROR(INDEX(Customers!$N$4:$N$1003,MATCH($B43,Customers!$A$4:$A$1003,0)),"")</f>
        <v>9500</v>
      </c>
      <c r="N43" s="28" t="s">
        <v>452</v>
      </c>
      <c r="O43" s="32" t="s">
        <v>586</v>
      </c>
      <c r="Q43" s="27"/>
      <c r="R43" s="29"/>
      <c r="S43" s="28"/>
      <c r="T43" s="32"/>
      <c r="U43" s="41"/>
      <c r="V43" s="27"/>
      <c r="W43" s="28"/>
      <c r="X43" s="28"/>
    </row>
    <row r="44" customFormat="false" ht="15.75" hidden="false" customHeight="true" outlineLevel="0" collapsed="false">
      <c r="A44" s="27"/>
      <c r="B44" s="27"/>
      <c r="C44" s="33" t="str">
        <f aca="false">IFERROR(INDEX(Customers!$C$4:$C$1003,MATCH($B44,Customers!$A$4:$A$1003,0)),"")</f>
        <v/>
      </c>
      <c r="D44" s="28"/>
      <c r="E44" s="41"/>
      <c r="F44" s="29"/>
      <c r="G44" s="27"/>
      <c r="H44" s="27"/>
      <c r="I44" s="29"/>
      <c r="J44" s="27"/>
      <c r="K44" s="30" t="str">
        <f aca="true">IF(OR($A44="",$I44=""),"",IF($J44="Paid",0,IF(TODAY()&gt;$I44,TODAY()-$I44,0)))</f>
        <v/>
      </c>
      <c r="L44" s="34" t="str">
        <f aca="false">IFERROR(INDEX(Customers!$M$4:$M$1003,MATCH($B44,Customers!$A$4:$A$1003,0)),"")</f>
        <v/>
      </c>
      <c r="M44" s="34" t="str">
        <f aca="false">IFERROR(INDEX(Customers!$N$4:$N$1003,MATCH($B44,Customers!$A$4:$A$1003,0)),"")</f>
        <v/>
      </c>
      <c r="N44" s="28"/>
      <c r="O44" s="32"/>
      <c r="Q44" s="27"/>
      <c r="R44" s="29"/>
      <c r="S44" s="28"/>
      <c r="T44" s="32"/>
      <c r="U44" s="41"/>
      <c r="V44" s="27"/>
      <c r="W44" s="28"/>
      <c r="X44" s="28"/>
    </row>
    <row r="45" customFormat="false" ht="15.75" hidden="false" customHeight="true" outlineLevel="0" collapsed="false">
      <c r="A45" s="27"/>
      <c r="B45" s="27"/>
      <c r="C45" s="33" t="str">
        <f aca="false">IFERROR(INDEX(Customers!$C$4:$C$1003,MATCH($B45,Customers!$A$4:$A$1003,0)),"")</f>
        <v/>
      </c>
      <c r="D45" s="28"/>
      <c r="E45" s="41"/>
      <c r="F45" s="29"/>
      <c r="G45" s="27"/>
      <c r="H45" s="27"/>
      <c r="I45" s="29"/>
      <c r="J45" s="27"/>
      <c r="K45" s="30" t="str">
        <f aca="true">IF(OR($A45="",$I45=""),"",IF($J45="Paid",0,IF(TODAY()&gt;$I45,TODAY()-$I45,0)))</f>
        <v/>
      </c>
      <c r="L45" s="34" t="str">
        <f aca="false">IFERROR(INDEX(Customers!$M$4:$M$1003,MATCH($B45,Customers!$A$4:$A$1003,0)),"")</f>
        <v/>
      </c>
      <c r="M45" s="34" t="str">
        <f aca="false">IFERROR(INDEX(Customers!$N$4:$N$1003,MATCH($B45,Customers!$A$4:$A$1003,0)),"")</f>
        <v/>
      </c>
      <c r="N45" s="28"/>
      <c r="O45" s="32"/>
      <c r="Q45" s="27"/>
      <c r="R45" s="29"/>
      <c r="S45" s="28"/>
      <c r="T45" s="32"/>
      <c r="U45" s="41"/>
      <c r="V45" s="27"/>
      <c r="W45" s="28"/>
      <c r="X45" s="28"/>
    </row>
    <row r="46" customFormat="false" ht="15.75" hidden="false" customHeight="true" outlineLevel="0" collapsed="false">
      <c r="A46" s="27"/>
      <c r="B46" s="27"/>
      <c r="C46" s="33" t="str">
        <f aca="false">IFERROR(INDEX(Customers!$C$4:$C$1003,MATCH($B46,Customers!$A$4:$A$1003,0)),"")</f>
        <v/>
      </c>
      <c r="D46" s="28"/>
      <c r="E46" s="41"/>
      <c r="F46" s="29"/>
      <c r="G46" s="27"/>
      <c r="H46" s="27"/>
      <c r="I46" s="29"/>
      <c r="J46" s="27"/>
      <c r="K46" s="30" t="str">
        <f aca="true">IF(OR($A46="",$I46=""),"",IF($J46="Paid",0,IF(TODAY()&gt;$I46,TODAY()-$I46,0)))</f>
        <v/>
      </c>
      <c r="L46" s="34" t="str">
        <f aca="false">IFERROR(INDEX(Customers!$M$4:$M$1003,MATCH($B46,Customers!$A$4:$A$1003,0)),"")</f>
        <v/>
      </c>
      <c r="M46" s="34" t="str">
        <f aca="false">IFERROR(INDEX(Customers!$N$4:$N$1003,MATCH($B46,Customers!$A$4:$A$1003,0)),"")</f>
        <v/>
      </c>
      <c r="N46" s="28"/>
      <c r="O46" s="32"/>
      <c r="Q46" s="27"/>
      <c r="R46" s="29"/>
      <c r="S46" s="28"/>
      <c r="T46" s="32"/>
      <c r="U46" s="41"/>
      <c r="V46" s="27"/>
      <c r="W46" s="28"/>
      <c r="X46" s="28"/>
    </row>
    <row r="47" customFormat="false" ht="15.75" hidden="false" customHeight="true" outlineLevel="0" collapsed="false">
      <c r="A47" s="27"/>
      <c r="B47" s="27"/>
      <c r="C47" s="33" t="str">
        <f aca="false">IFERROR(INDEX(Customers!$C$4:$C$1003,MATCH($B47,Customers!$A$4:$A$1003,0)),"")</f>
        <v/>
      </c>
      <c r="D47" s="28"/>
      <c r="E47" s="41"/>
      <c r="F47" s="29"/>
      <c r="G47" s="27"/>
      <c r="H47" s="27"/>
      <c r="I47" s="29"/>
      <c r="J47" s="27"/>
      <c r="K47" s="30" t="str">
        <f aca="true">IF(OR($A47="",$I47=""),"",IF($J47="Paid",0,IF(TODAY()&gt;$I47,TODAY()-$I47,0)))</f>
        <v/>
      </c>
      <c r="L47" s="34" t="str">
        <f aca="false">IFERROR(INDEX(Customers!$M$4:$M$1003,MATCH($B47,Customers!$A$4:$A$1003,0)),"")</f>
        <v/>
      </c>
      <c r="M47" s="34" t="str">
        <f aca="false">IFERROR(INDEX(Customers!$N$4:$N$1003,MATCH($B47,Customers!$A$4:$A$1003,0)),"")</f>
        <v/>
      </c>
      <c r="N47" s="28"/>
      <c r="O47" s="32"/>
      <c r="Q47" s="27"/>
      <c r="R47" s="29"/>
      <c r="S47" s="28"/>
      <c r="T47" s="32"/>
      <c r="U47" s="41"/>
      <c r="V47" s="27"/>
      <c r="W47" s="28"/>
      <c r="X47" s="28"/>
    </row>
    <row r="48" customFormat="false" ht="15.75" hidden="false" customHeight="true" outlineLevel="0" collapsed="false">
      <c r="A48" s="27"/>
      <c r="B48" s="27"/>
      <c r="C48" s="33" t="str">
        <f aca="false">IFERROR(INDEX(Customers!$C$4:$C$1003,MATCH($B48,Customers!$A$4:$A$1003,0)),"")</f>
        <v/>
      </c>
      <c r="D48" s="28"/>
      <c r="E48" s="41"/>
      <c r="F48" s="29"/>
      <c r="G48" s="27"/>
      <c r="H48" s="27"/>
      <c r="I48" s="29"/>
      <c r="J48" s="27"/>
      <c r="K48" s="30" t="str">
        <f aca="true">IF(OR($A48="",$I48=""),"",IF($J48="Paid",0,IF(TODAY()&gt;$I48,TODAY()-$I48,0)))</f>
        <v/>
      </c>
      <c r="L48" s="34" t="str">
        <f aca="false">IFERROR(INDEX(Customers!$M$4:$M$1003,MATCH($B48,Customers!$A$4:$A$1003,0)),"")</f>
        <v/>
      </c>
      <c r="M48" s="34" t="str">
        <f aca="false">IFERROR(INDEX(Customers!$N$4:$N$1003,MATCH($B48,Customers!$A$4:$A$1003,0)),"")</f>
        <v/>
      </c>
      <c r="N48" s="28"/>
      <c r="O48" s="32"/>
      <c r="Q48" s="27"/>
      <c r="R48" s="29"/>
      <c r="S48" s="28"/>
      <c r="T48" s="32"/>
      <c r="U48" s="41"/>
      <c r="V48" s="27"/>
      <c r="W48" s="28"/>
      <c r="X48" s="28"/>
    </row>
    <row r="49" customFormat="false" ht="15.75" hidden="false" customHeight="true" outlineLevel="0" collapsed="false">
      <c r="A49" s="27"/>
      <c r="B49" s="27"/>
      <c r="C49" s="33" t="str">
        <f aca="false">IFERROR(INDEX(Customers!$C$4:$C$1003,MATCH($B49,Customers!$A$4:$A$1003,0)),"")</f>
        <v/>
      </c>
      <c r="D49" s="28"/>
      <c r="E49" s="41"/>
      <c r="F49" s="29"/>
      <c r="G49" s="27"/>
      <c r="H49" s="27"/>
      <c r="I49" s="29"/>
      <c r="J49" s="27"/>
      <c r="K49" s="30" t="str">
        <f aca="true">IF(OR($A49="",$I49=""),"",IF($J49="Paid",0,IF(TODAY()&gt;$I49,TODAY()-$I49,0)))</f>
        <v/>
      </c>
      <c r="L49" s="34" t="str">
        <f aca="false">IFERROR(INDEX(Customers!$M$4:$M$1003,MATCH($B49,Customers!$A$4:$A$1003,0)),"")</f>
        <v/>
      </c>
      <c r="M49" s="34" t="str">
        <f aca="false">IFERROR(INDEX(Customers!$N$4:$N$1003,MATCH($B49,Customers!$A$4:$A$1003,0)),"")</f>
        <v/>
      </c>
      <c r="N49" s="28"/>
      <c r="O49" s="32"/>
      <c r="Q49" s="27"/>
      <c r="R49" s="29"/>
      <c r="S49" s="28"/>
      <c r="T49" s="32"/>
      <c r="U49" s="41"/>
      <c r="V49" s="27"/>
      <c r="W49" s="28"/>
      <c r="X49" s="28"/>
    </row>
    <row r="50" customFormat="false" ht="15.75" hidden="false" customHeight="true" outlineLevel="0" collapsed="false">
      <c r="A50" s="27"/>
      <c r="B50" s="27"/>
      <c r="C50" s="33" t="str">
        <f aca="false">IFERROR(INDEX(Customers!$C$4:$C$1003,MATCH($B50,Customers!$A$4:$A$1003,0)),"")</f>
        <v/>
      </c>
      <c r="D50" s="28"/>
      <c r="E50" s="41"/>
      <c r="F50" s="29"/>
      <c r="G50" s="27"/>
      <c r="H50" s="27"/>
      <c r="I50" s="29"/>
      <c r="J50" s="27"/>
      <c r="K50" s="30" t="str">
        <f aca="true">IF(OR($A50="",$I50=""),"",IF($J50="Paid",0,IF(TODAY()&gt;$I50,TODAY()-$I50,0)))</f>
        <v/>
      </c>
      <c r="L50" s="34" t="str">
        <f aca="false">IFERROR(INDEX(Customers!$M$4:$M$1003,MATCH($B50,Customers!$A$4:$A$1003,0)),"")</f>
        <v/>
      </c>
      <c r="M50" s="34" t="str">
        <f aca="false">IFERROR(INDEX(Customers!$N$4:$N$1003,MATCH($B50,Customers!$A$4:$A$1003,0)),"")</f>
        <v/>
      </c>
      <c r="N50" s="28"/>
      <c r="O50" s="32"/>
      <c r="Q50" s="27"/>
      <c r="R50" s="29"/>
      <c r="S50" s="28"/>
      <c r="T50" s="32"/>
      <c r="U50" s="41"/>
      <c r="V50" s="27"/>
      <c r="W50" s="28"/>
      <c r="X50" s="28"/>
    </row>
    <row r="51" customFormat="false" ht="15.75" hidden="false" customHeight="true" outlineLevel="0" collapsed="false">
      <c r="A51" s="27"/>
      <c r="B51" s="27"/>
      <c r="C51" s="33" t="str">
        <f aca="false">IFERROR(INDEX(Customers!$C$4:$C$1003,MATCH($B51,Customers!$A$4:$A$1003,0)),"")</f>
        <v/>
      </c>
      <c r="D51" s="28"/>
      <c r="E51" s="41"/>
      <c r="F51" s="29"/>
      <c r="G51" s="27"/>
      <c r="H51" s="27"/>
      <c r="I51" s="29"/>
      <c r="J51" s="27"/>
      <c r="K51" s="30" t="str">
        <f aca="true">IF(OR($A51="",$I51=""),"",IF($J51="Paid",0,IF(TODAY()&gt;$I51,TODAY()-$I51,0)))</f>
        <v/>
      </c>
      <c r="L51" s="34" t="str">
        <f aca="false">IFERROR(INDEX(Customers!$M$4:$M$1003,MATCH($B51,Customers!$A$4:$A$1003,0)),"")</f>
        <v/>
      </c>
      <c r="M51" s="34" t="str">
        <f aca="false">IFERROR(INDEX(Customers!$N$4:$N$1003,MATCH($B51,Customers!$A$4:$A$1003,0)),"")</f>
        <v/>
      </c>
      <c r="N51" s="28"/>
      <c r="O51" s="32"/>
      <c r="Q51" s="27"/>
      <c r="R51" s="29"/>
      <c r="S51" s="28"/>
      <c r="T51" s="32"/>
      <c r="U51" s="41"/>
      <c r="V51" s="27"/>
      <c r="W51" s="28"/>
      <c r="X51" s="28"/>
    </row>
    <row r="52" customFormat="false" ht="15.75" hidden="false" customHeight="true" outlineLevel="0" collapsed="false">
      <c r="A52" s="27"/>
      <c r="B52" s="27"/>
      <c r="C52" s="33" t="str">
        <f aca="false">IFERROR(INDEX(Customers!$C$4:$C$1003,MATCH($B52,Customers!$A$4:$A$1003,0)),"")</f>
        <v/>
      </c>
      <c r="D52" s="28"/>
      <c r="E52" s="41"/>
      <c r="F52" s="29"/>
      <c r="G52" s="27"/>
      <c r="H52" s="27"/>
      <c r="I52" s="29"/>
      <c r="J52" s="27"/>
      <c r="K52" s="30" t="str">
        <f aca="true">IF(OR($A52="",$I52=""),"",IF($J52="Paid",0,IF(TODAY()&gt;$I52,TODAY()-$I52,0)))</f>
        <v/>
      </c>
      <c r="L52" s="34" t="str">
        <f aca="false">IFERROR(INDEX(Customers!$M$4:$M$1003,MATCH($B52,Customers!$A$4:$A$1003,0)),"")</f>
        <v/>
      </c>
      <c r="M52" s="34" t="str">
        <f aca="false">IFERROR(INDEX(Customers!$N$4:$N$1003,MATCH($B52,Customers!$A$4:$A$1003,0)),"")</f>
        <v/>
      </c>
      <c r="N52" s="28"/>
      <c r="O52" s="32"/>
      <c r="Q52" s="27"/>
      <c r="R52" s="29"/>
      <c r="S52" s="28"/>
      <c r="T52" s="32"/>
      <c r="U52" s="41"/>
      <c r="V52" s="27"/>
      <c r="W52" s="28"/>
      <c r="X52" s="28"/>
    </row>
    <row r="53" customFormat="false" ht="15.75" hidden="false" customHeight="true" outlineLevel="0" collapsed="false">
      <c r="A53" s="27"/>
      <c r="B53" s="27"/>
      <c r="C53" s="33" t="str">
        <f aca="false">IFERROR(INDEX(Customers!$C$4:$C$1003,MATCH($B53,Customers!$A$4:$A$1003,0)),"")</f>
        <v/>
      </c>
      <c r="D53" s="28"/>
      <c r="E53" s="41"/>
      <c r="F53" s="29"/>
      <c r="G53" s="27"/>
      <c r="H53" s="27"/>
      <c r="I53" s="29"/>
      <c r="J53" s="27"/>
      <c r="K53" s="30" t="str">
        <f aca="true">IF(OR($A53="",$I53=""),"",IF($J53="Paid",0,IF(TODAY()&gt;$I53,TODAY()-$I53,0)))</f>
        <v/>
      </c>
      <c r="L53" s="34" t="str">
        <f aca="false">IFERROR(INDEX(Customers!$M$4:$M$1003,MATCH($B53,Customers!$A$4:$A$1003,0)),"")</f>
        <v/>
      </c>
      <c r="M53" s="34" t="str">
        <f aca="false">IFERROR(INDEX(Customers!$N$4:$N$1003,MATCH($B53,Customers!$A$4:$A$1003,0)),"")</f>
        <v/>
      </c>
      <c r="N53" s="28"/>
      <c r="O53" s="32"/>
      <c r="Q53" s="27"/>
      <c r="R53" s="29"/>
      <c r="S53" s="28"/>
      <c r="T53" s="32"/>
      <c r="U53" s="41"/>
      <c r="V53" s="27"/>
      <c r="W53" s="28"/>
      <c r="X53" s="28"/>
    </row>
    <row r="54" customFormat="false" ht="15.75" hidden="false" customHeight="true" outlineLevel="0" collapsed="false">
      <c r="A54" s="27"/>
      <c r="B54" s="27"/>
      <c r="C54" s="33" t="str">
        <f aca="false">IFERROR(INDEX(Customers!$C$4:$C$1003,MATCH($B54,Customers!$A$4:$A$1003,0)),"")</f>
        <v/>
      </c>
      <c r="D54" s="28"/>
      <c r="E54" s="41"/>
      <c r="F54" s="29"/>
      <c r="G54" s="27"/>
      <c r="H54" s="27"/>
      <c r="I54" s="29"/>
      <c r="J54" s="27"/>
      <c r="K54" s="30" t="str">
        <f aca="true">IF(OR($A54="",$I54=""),"",IF($J54="Paid",0,IF(TODAY()&gt;$I54,TODAY()-$I54,0)))</f>
        <v/>
      </c>
      <c r="L54" s="34" t="str">
        <f aca="false">IFERROR(INDEX(Customers!$M$4:$M$1003,MATCH($B54,Customers!$A$4:$A$1003,0)),"")</f>
        <v/>
      </c>
      <c r="M54" s="34" t="str">
        <f aca="false">IFERROR(INDEX(Customers!$N$4:$N$1003,MATCH($B54,Customers!$A$4:$A$1003,0)),"")</f>
        <v/>
      </c>
      <c r="N54" s="28"/>
      <c r="O54" s="32"/>
      <c r="Q54" s="27"/>
      <c r="R54" s="29"/>
      <c r="S54" s="28"/>
      <c r="T54" s="32"/>
      <c r="U54" s="41"/>
      <c r="V54" s="27"/>
      <c r="W54" s="28"/>
      <c r="X54" s="28"/>
    </row>
    <row r="55" customFormat="false" ht="15.75" hidden="false" customHeight="true" outlineLevel="0" collapsed="false">
      <c r="A55" s="27"/>
      <c r="B55" s="27"/>
      <c r="C55" s="33" t="str">
        <f aca="false">IFERROR(INDEX(Customers!$C$4:$C$1003,MATCH($B55,Customers!$A$4:$A$1003,0)),"")</f>
        <v/>
      </c>
      <c r="D55" s="28"/>
      <c r="E55" s="41"/>
      <c r="F55" s="29"/>
      <c r="G55" s="27"/>
      <c r="H55" s="27"/>
      <c r="I55" s="29"/>
      <c r="J55" s="27"/>
      <c r="K55" s="30" t="str">
        <f aca="true">IF(OR($A55="",$I55=""),"",IF($J55="Paid",0,IF(TODAY()&gt;$I55,TODAY()-$I55,0)))</f>
        <v/>
      </c>
      <c r="L55" s="34" t="str">
        <f aca="false">IFERROR(INDEX(Customers!$M$4:$M$1003,MATCH($B55,Customers!$A$4:$A$1003,0)),"")</f>
        <v/>
      </c>
      <c r="M55" s="34" t="str">
        <f aca="false">IFERROR(INDEX(Customers!$N$4:$N$1003,MATCH($B55,Customers!$A$4:$A$1003,0)),"")</f>
        <v/>
      </c>
      <c r="N55" s="28"/>
      <c r="O55" s="32"/>
      <c r="Q55" s="27"/>
      <c r="R55" s="29"/>
      <c r="S55" s="28"/>
      <c r="T55" s="32"/>
      <c r="U55" s="41"/>
      <c r="V55" s="27"/>
      <c r="W55" s="28"/>
      <c r="X55" s="28"/>
    </row>
    <row r="56" customFormat="false" ht="15.75" hidden="false" customHeight="true" outlineLevel="0" collapsed="false">
      <c r="A56" s="27"/>
      <c r="B56" s="27"/>
      <c r="C56" s="33" t="str">
        <f aca="false">IFERROR(INDEX(Customers!$C$4:$C$1003,MATCH($B56,Customers!$A$4:$A$1003,0)),"")</f>
        <v/>
      </c>
      <c r="D56" s="28"/>
      <c r="E56" s="41"/>
      <c r="F56" s="29"/>
      <c r="G56" s="27"/>
      <c r="H56" s="27"/>
      <c r="I56" s="29"/>
      <c r="J56" s="27"/>
      <c r="K56" s="30" t="str">
        <f aca="true">IF(OR($A56="",$I56=""),"",IF($J56="Paid",0,IF(TODAY()&gt;$I56,TODAY()-$I56,0)))</f>
        <v/>
      </c>
      <c r="L56" s="34" t="str">
        <f aca="false">IFERROR(INDEX(Customers!$M$4:$M$1003,MATCH($B56,Customers!$A$4:$A$1003,0)),"")</f>
        <v/>
      </c>
      <c r="M56" s="34" t="str">
        <f aca="false">IFERROR(INDEX(Customers!$N$4:$N$1003,MATCH($B56,Customers!$A$4:$A$1003,0)),"")</f>
        <v/>
      </c>
      <c r="N56" s="28"/>
      <c r="O56" s="32"/>
      <c r="Q56" s="27"/>
      <c r="R56" s="29"/>
      <c r="S56" s="28"/>
      <c r="T56" s="32"/>
      <c r="U56" s="41"/>
      <c r="V56" s="27"/>
      <c r="W56" s="28"/>
      <c r="X56" s="28"/>
    </row>
    <row r="57" customFormat="false" ht="15.75" hidden="false" customHeight="true" outlineLevel="0" collapsed="false">
      <c r="A57" s="27"/>
      <c r="B57" s="27"/>
      <c r="C57" s="33" t="str">
        <f aca="false">IFERROR(INDEX(Customers!$C$4:$C$1003,MATCH($B57,Customers!$A$4:$A$1003,0)),"")</f>
        <v/>
      </c>
      <c r="D57" s="28"/>
      <c r="E57" s="41"/>
      <c r="F57" s="29"/>
      <c r="G57" s="27"/>
      <c r="H57" s="27"/>
      <c r="I57" s="29"/>
      <c r="J57" s="27"/>
      <c r="K57" s="30" t="str">
        <f aca="true">IF(OR($A57="",$I57=""),"",IF($J57="Paid",0,IF(TODAY()&gt;$I57,TODAY()-$I57,0)))</f>
        <v/>
      </c>
      <c r="L57" s="34" t="str">
        <f aca="false">IFERROR(INDEX(Customers!$M$4:$M$1003,MATCH($B57,Customers!$A$4:$A$1003,0)),"")</f>
        <v/>
      </c>
      <c r="M57" s="34" t="str">
        <f aca="false">IFERROR(INDEX(Customers!$N$4:$N$1003,MATCH($B57,Customers!$A$4:$A$1003,0)),"")</f>
        <v/>
      </c>
      <c r="N57" s="28"/>
      <c r="O57" s="32"/>
      <c r="Q57" s="27"/>
      <c r="R57" s="29"/>
      <c r="S57" s="28"/>
      <c r="T57" s="32"/>
      <c r="U57" s="41"/>
      <c r="V57" s="27"/>
      <c r="W57" s="28"/>
      <c r="X57" s="28"/>
    </row>
    <row r="58" customFormat="false" ht="15.75" hidden="false" customHeight="true" outlineLevel="0" collapsed="false">
      <c r="A58" s="27"/>
      <c r="B58" s="27"/>
      <c r="C58" s="33" t="str">
        <f aca="false">IFERROR(INDEX(Customers!$C$4:$C$1003,MATCH($B58,Customers!$A$4:$A$1003,0)),"")</f>
        <v/>
      </c>
      <c r="D58" s="28"/>
      <c r="E58" s="41"/>
      <c r="F58" s="29"/>
      <c r="G58" s="27"/>
      <c r="H58" s="27"/>
      <c r="I58" s="29"/>
      <c r="J58" s="27"/>
      <c r="K58" s="30" t="str">
        <f aca="true">IF(OR($A58="",$I58=""),"",IF($J58="Paid",0,IF(TODAY()&gt;$I58,TODAY()-$I58,0)))</f>
        <v/>
      </c>
      <c r="L58" s="34" t="str">
        <f aca="false">IFERROR(INDEX(Customers!$M$4:$M$1003,MATCH($B58,Customers!$A$4:$A$1003,0)),"")</f>
        <v/>
      </c>
      <c r="M58" s="34" t="str">
        <f aca="false">IFERROR(INDEX(Customers!$N$4:$N$1003,MATCH($B58,Customers!$A$4:$A$1003,0)),"")</f>
        <v/>
      </c>
      <c r="N58" s="28"/>
      <c r="O58" s="32"/>
      <c r="Q58" s="27"/>
      <c r="R58" s="29"/>
      <c r="S58" s="28"/>
      <c r="T58" s="32"/>
      <c r="U58" s="41"/>
      <c r="V58" s="27"/>
      <c r="W58" s="28"/>
      <c r="X58" s="28"/>
    </row>
    <row r="59" customFormat="false" ht="15.75" hidden="false" customHeight="true" outlineLevel="0" collapsed="false">
      <c r="A59" s="27"/>
      <c r="B59" s="27"/>
      <c r="C59" s="33" t="str">
        <f aca="false">IFERROR(INDEX(Customers!$C$4:$C$1003,MATCH($B59,Customers!$A$4:$A$1003,0)),"")</f>
        <v/>
      </c>
      <c r="D59" s="28"/>
      <c r="E59" s="41"/>
      <c r="F59" s="29"/>
      <c r="G59" s="27"/>
      <c r="H59" s="27"/>
      <c r="I59" s="29"/>
      <c r="J59" s="27"/>
      <c r="K59" s="30" t="str">
        <f aca="true">IF(OR($A59="",$I59=""),"",IF($J59="Paid",0,IF(TODAY()&gt;$I59,TODAY()-$I59,0)))</f>
        <v/>
      </c>
      <c r="L59" s="34" t="str">
        <f aca="false">IFERROR(INDEX(Customers!$M$4:$M$1003,MATCH($B59,Customers!$A$4:$A$1003,0)),"")</f>
        <v/>
      </c>
      <c r="M59" s="34" t="str">
        <f aca="false">IFERROR(INDEX(Customers!$N$4:$N$1003,MATCH($B59,Customers!$A$4:$A$1003,0)),"")</f>
        <v/>
      </c>
      <c r="N59" s="28"/>
      <c r="O59" s="32"/>
      <c r="Q59" s="27"/>
      <c r="R59" s="29"/>
      <c r="S59" s="28"/>
      <c r="T59" s="32"/>
      <c r="U59" s="41"/>
      <c r="V59" s="27"/>
      <c r="W59" s="28"/>
      <c r="X59" s="28"/>
    </row>
    <row r="60" customFormat="false" ht="15.75" hidden="false" customHeight="true" outlineLevel="0" collapsed="false">
      <c r="A60" s="27"/>
      <c r="B60" s="27"/>
      <c r="C60" s="33" t="str">
        <f aca="false">IFERROR(INDEX(Customers!$C$4:$C$1003,MATCH($B60,Customers!$A$4:$A$1003,0)),"")</f>
        <v/>
      </c>
      <c r="D60" s="28"/>
      <c r="E60" s="41"/>
      <c r="F60" s="29"/>
      <c r="G60" s="27"/>
      <c r="H60" s="27"/>
      <c r="I60" s="29"/>
      <c r="J60" s="27"/>
      <c r="K60" s="30" t="str">
        <f aca="true">IF(OR($A60="",$I60=""),"",IF($J60="Paid",0,IF(TODAY()&gt;$I60,TODAY()-$I60,0)))</f>
        <v/>
      </c>
      <c r="L60" s="34" t="str">
        <f aca="false">IFERROR(INDEX(Customers!$M$4:$M$1003,MATCH($B60,Customers!$A$4:$A$1003,0)),"")</f>
        <v/>
      </c>
      <c r="M60" s="34" t="str">
        <f aca="false">IFERROR(INDEX(Customers!$N$4:$N$1003,MATCH($B60,Customers!$A$4:$A$1003,0)),"")</f>
        <v/>
      </c>
      <c r="N60" s="28"/>
      <c r="O60" s="32"/>
      <c r="Q60" s="27"/>
      <c r="R60" s="29"/>
      <c r="S60" s="28"/>
      <c r="T60" s="32"/>
      <c r="U60" s="41"/>
      <c r="V60" s="27"/>
      <c r="W60" s="28"/>
      <c r="X60" s="28"/>
    </row>
    <row r="61" customFormat="false" ht="15.75" hidden="false" customHeight="true" outlineLevel="0" collapsed="false">
      <c r="A61" s="27"/>
      <c r="B61" s="27"/>
      <c r="C61" s="33" t="str">
        <f aca="false">IFERROR(INDEX(Customers!$C$4:$C$1003,MATCH($B61,Customers!$A$4:$A$1003,0)),"")</f>
        <v/>
      </c>
      <c r="D61" s="28"/>
      <c r="E61" s="41"/>
      <c r="F61" s="29"/>
      <c r="G61" s="27"/>
      <c r="H61" s="27"/>
      <c r="I61" s="29"/>
      <c r="J61" s="27"/>
      <c r="K61" s="30" t="str">
        <f aca="true">IF(OR($A61="",$I61=""),"",IF($J61="Paid",0,IF(TODAY()&gt;$I61,TODAY()-$I61,0)))</f>
        <v/>
      </c>
      <c r="L61" s="34" t="str">
        <f aca="false">IFERROR(INDEX(Customers!$M$4:$M$1003,MATCH($B61,Customers!$A$4:$A$1003,0)),"")</f>
        <v/>
      </c>
      <c r="M61" s="34" t="str">
        <f aca="false">IFERROR(INDEX(Customers!$N$4:$N$1003,MATCH($B61,Customers!$A$4:$A$1003,0)),"")</f>
        <v/>
      </c>
      <c r="N61" s="28"/>
      <c r="O61" s="32"/>
      <c r="Q61" s="27"/>
      <c r="R61" s="29"/>
      <c r="S61" s="28"/>
      <c r="T61" s="32"/>
      <c r="U61" s="41"/>
      <c r="V61" s="27"/>
      <c r="W61" s="28"/>
      <c r="X61" s="28"/>
    </row>
    <row r="62" customFormat="false" ht="15.75" hidden="false" customHeight="true" outlineLevel="0" collapsed="false">
      <c r="A62" s="27"/>
      <c r="B62" s="27"/>
      <c r="C62" s="33" t="str">
        <f aca="false">IFERROR(INDEX(Customers!$C$4:$C$1003,MATCH($B62,Customers!$A$4:$A$1003,0)),"")</f>
        <v/>
      </c>
      <c r="D62" s="28"/>
      <c r="E62" s="41"/>
      <c r="F62" s="29"/>
      <c r="G62" s="27"/>
      <c r="H62" s="27"/>
      <c r="I62" s="29"/>
      <c r="J62" s="27"/>
      <c r="K62" s="30" t="str">
        <f aca="true">IF(OR($A62="",$I62=""),"",IF($J62="Paid",0,IF(TODAY()&gt;$I62,TODAY()-$I62,0)))</f>
        <v/>
      </c>
      <c r="L62" s="34" t="str">
        <f aca="false">IFERROR(INDEX(Customers!$M$4:$M$1003,MATCH($B62,Customers!$A$4:$A$1003,0)),"")</f>
        <v/>
      </c>
      <c r="M62" s="34" t="str">
        <f aca="false">IFERROR(INDEX(Customers!$N$4:$N$1003,MATCH($B62,Customers!$A$4:$A$1003,0)),"")</f>
        <v/>
      </c>
      <c r="N62" s="28"/>
      <c r="O62" s="32"/>
      <c r="Q62" s="27"/>
      <c r="R62" s="29"/>
      <c r="S62" s="28"/>
      <c r="T62" s="32"/>
      <c r="U62" s="41"/>
      <c r="V62" s="27"/>
      <c r="W62" s="28"/>
      <c r="X62" s="28"/>
    </row>
    <row r="63" customFormat="false" ht="15.75" hidden="false" customHeight="true" outlineLevel="0" collapsed="false">
      <c r="A63" s="27"/>
      <c r="B63" s="27"/>
      <c r="C63" s="33" t="str">
        <f aca="false">IFERROR(INDEX(Customers!$C$4:$C$1003,MATCH($B63,Customers!$A$4:$A$1003,0)),"")</f>
        <v/>
      </c>
      <c r="D63" s="28"/>
      <c r="E63" s="41"/>
      <c r="F63" s="29"/>
      <c r="G63" s="27"/>
      <c r="H63" s="27"/>
      <c r="I63" s="29"/>
      <c r="J63" s="27"/>
      <c r="K63" s="30" t="str">
        <f aca="true">IF(OR($A63="",$I63=""),"",IF($J63="Paid",0,IF(TODAY()&gt;$I63,TODAY()-$I63,0)))</f>
        <v/>
      </c>
      <c r="L63" s="34" t="str">
        <f aca="false">IFERROR(INDEX(Customers!$M$4:$M$1003,MATCH($B63,Customers!$A$4:$A$1003,0)),"")</f>
        <v/>
      </c>
      <c r="M63" s="34" t="str">
        <f aca="false">IFERROR(INDEX(Customers!$N$4:$N$1003,MATCH($B63,Customers!$A$4:$A$1003,0)),"")</f>
        <v/>
      </c>
      <c r="N63" s="28"/>
      <c r="O63" s="32"/>
      <c r="Q63" s="27"/>
      <c r="R63" s="29"/>
      <c r="S63" s="28"/>
      <c r="T63" s="32"/>
      <c r="U63" s="41"/>
      <c r="V63" s="27"/>
      <c r="W63" s="28"/>
      <c r="X63" s="28"/>
    </row>
    <row r="64" customFormat="false" ht="15.75" hidden="false" customHeight="true" outlineLevel="0" collapsed="false">
      <c r="A64" s="27"/>
      <c r="B64" s="27"/>
      <c r="C64" s="33" t="str">
        <f aca="false">IFERROR(INDEX(Customers!$C$4:$C$1003,MATCH($B64,Customers!$A$4:$A$1003,0)),"")</f>
        <v/>
      </c>
      <c r="D64" s="28"/>
      <c r="E64" s="41"/>
      <c r="F64" s="29"/>
      <c r="G64" s="27"/>
      <c r="H64" s="27"/>
      <c r="I64" s="29"/>
      <c r="J64" s="27"/>
      <c r="K64" s="30" t="str">
        <f aca="true">IF(OR($A64="",$I64=""),"",IF($J64="Paid",0,IF(TODAY()&gt;$I64,TODAY()-$I64,0)))</f>
        <v/>
      </c>
      <c r="L64" s="34" t="str">
        <f aca="false">IFERROR(INDEX(Customers!$M$4:$M$1003,MATCH($B64,Customers!$A$4:$A$1003,0)),"")</f>
        <v/>
      </c>
      <c r="M64" s="34" t="str">
        <f aca="false">IFERROR(INDEX(Customers!$N$4:$N$1003,MATCH($B64,Customers!$A$4:$A$1003,0)),"")</f>
        <v/>
      </c>
      <c r="N64" s="28"/>
      <c r="O64" s="32"/>
      <c r="Q64" s="27"/>
      <c r="R64" s="29"/>
      <c r="S64" s="28"/>
      <c r="T64" s="32"/>
      <c r="U64" s="41"/>
      <c r="V64" s="27"/>
      <c r="W64" s="28"/>
      <c r="X64" s="28"/>
    </row>
    <row r="65" customFormat="false" ht="15.75" hidden="false" customHeight="true" outlineLevel="0" collapsed="false">
      <c r="A65" s="27"/>
      <c r="B65" s="27"/>
      <c r="C65" s="33" t="str">
        <f aca="false">IFERROR(INDEX(Customers!$C$4:$C$1003,MATCH($B65,Customers!$A$4:$A$1003,0)),"")</f>
        <v/>
      </c>
      <c r="D65" s="28"/>
      <c r="E65" s="41"/>
      <c r="F65" s="29"/>
      <c r="G65" s="27"/>
      <c r="H65" s="27"/>
      <c r="I65" s="29"/>
      <c r="J65" s="27"/>
      <c r="K65" s="30" t="str">
        <f aca="true">IF(OR($A65="",$I65=""),"",IF($J65="Paid",0,IF(TODAY()&gt;$I65,TODAY()-$I65,0)))</f>
        <v/>
      </c>
      <c r="L65" s="34" t="str">
        <f aca="false">IFERROR(INDEX(Customers!$M$4:$M$1003,MATCH($B65,Customers!$A$4:$A$1003,0)),"")</f>
        <v/>
      </c>
      <c r="M65" s="34" t="str">
        <f aca="false">IFERROR(INDEX(Customers!$N$4:$N$1003,MATCH($B65,Customers!$A$4:$A$1003,0)),"")</f>
        <v/>
      </c>
      <c r="N65" s="28"/>
      <c r="O65" s="32"/>
      <c r="Q65" s="27"/>
      <c r="R65" s="29"/>
      <c r="S65" s="28"/>
      <c r="T65" s="32"/>
      <c r="U65" s="41"/>
      <c r="V65" s="27"/>
      <c r="W65" s="28"/>
      <c r="X65" s="28"/>
    </row>
    <row r="66" customFormat="false" ht="15.75" hidden="false" customHeight="true" outlineLevel="0" collapsed="false">
      <c r="A66" s="27"/>
      <c r="B66" s="27"/>
      <c r="C66" s="33" t="str">
        <f aca="false">IFERROR(INDEX(Customers!$C$4:$C$1003,MATCH($B66,Customers!$A$4:$A$1003,0)),"")</f>
        <v/>
      </c>
      <c r="D66" s="28"/>
      <c r="E66" s="41"/>
      <c r="F66" s="29"/>
      <c r="G66" s="27"/>
      <c r="H66" s="27"/>
      <c r="I66" s="29"/>
      <c r="J66" s="27"/>
      <c r="K66" s="30" t="str">
        <f aca="true">IF(OR($A66="",$I66=""),"",IF($J66="Paid",0,IF(TODAY()&gt;$I66,TODAY()-$I66,0)))</f>
        <v/>
      </c>
      <c r="L66" s="34" t="str">
        <f aca="false">IFERROR(INDEX(Customers!$M$4:$M$1003,MATCH($B66,Customers!$A$4:$A$1003,0)),"")</f>
        <v/>
      </c>
      <c r="M66" s="34" t="str">
        <f aca="false">IFERROR(INDEX(Customers!$N$4:$N$1003,MATCH($B66,Customers!$A$4:$A$1003,0)),"")</f>
        <v/>
      </c>
      <c r="N66" s="28"/>
      <c r="O66" s="32"/>
      <c r="Q66" s="27"/>
      <c r="R66" s="29"/>
      <c r="S66" s="28"/>
      <c r="T66" s="32"/>
      <c r="U66" s="41"/>
      <c r="V66" s="27"/>
      <c r="W66" s="28"/>
      <c r="X66" s="28"/>
    </row>
    <row r="67" customFormat="false" ht="15.75" hidden="false" customHeight="true" outlineLevel="0" collapsed="false">
      <c r="A67" s="27"/>
      <c r="B67" s="27"/>
      <c r="C67" s="33" t="str">
        <f aca="false">IFERROR(INDEX(Customers!$C$4:$C$1003,MATCH($B67,Customers!$A$4:$A$1003,0)),"")</f>
        <v/>
      </c>
      <c r="D67" s="28"/>
      <c r="E67" s="41"/>
      <c r="F67" s="29"/>
      <c r="G67" s="27"/>
      <c r="H67" s="27"/>
      <c r="I67" s="29"/>
      <c r="J67" s="27"/>
      <c r="K67" s="30" t="str">
        <f aca="true">IF(OR($A67="",$I67=""),"",IF($J67="Paid",0,IF(TODAY()&gt;$I67,TODAY()-$I67,0)))</f>
        <v/>
      </c>
      <c r="L67" s="34" t="str">
        <f aca="false">IFERROR(INDEX(Customers!$M$4:$M$1003,MATCH($B67,Customers!$A$4:$A$1003,0)),"")</f>
        <v/>
      </c>
      <c r="M67" s="34" t="str">
        <f aca="false">IFERROR(INDEX(Customers!$N$4:$N$1003,MATCH($B67,Customers!$A$4:$A$1003,0)),"")</f>
        <v/>
      </c>
      <c r="N67" s="28"/>
      <c r="O67" s="32"/>
      <c r="Q67" s="27"/>
      <c r="R67" s="29"/>
      <c r="S67" s="28"/>
      <c r="T67" s="32"/>
      <c r="U67" s="41"/>
      <c r="V67" s="27"/>
      <c r="W67" s="28"/>
      <c r="X67" s="28"/>
    </row>
    <row r="68" customFormat="false" ht="15.75" hidden="false" customHeight="true" outlineLevel="0" collapsed="false">
      <c r="A68" s="27"/>
      <c r="B68" s="27"/>
      <c r="C68" s="33" t="str">
        <f aca="false">IFERROR(INDEX(Customers!$C$4:$C$1003,MATCH($B68,Customers!$A$4:$A$1003,0)),"")</f>
        <v/>
      </c>
      <c r="D68" s="28"/>
      <c r="E68" s="41"/>
      <c r="F68" s="29"/>
      <c r="G68" s="27"/>
      <c r="H68" s="27"/>
      <c r="I68" s="29"/>
      <c r="J68" s="27"/>
      <c r="K68" s="30" t="str">
        <f aca="true">IF(OR($A68="",$I68=""),"",IF($J68="Paid",0,IF(TODAY()&gt;$I68,TODAY()-$I68,0)))</f>
        <v/>
      </c>
      <c r="L68" s="34" t="str">
        <f aca="false">IFERROR(INDEX(Customers!$M$4:$M$1003,MATCH($B68,Customers!$A$4:$A$1003,0)),"")</f>
        <v/>
      </c>
      <c r="M68" s="34" t="str">
        <f aca="false">IFERROR(INDEX(Customers!$N$4:$N$1003,MATCH($B68,Customers!$A$4:$A$1003,0)),"")</f>
        <v/>
      </c>
      <c r="N68" s="28"/>
      <c r="O68" s="32"/>
      <c r="Q68" s="27"/>
      <c r="R68" s="29"/>
      <c r="S68" s="28"/>
      <c r="T68" s="32"/>
      <c r="U68" s="41"/>
      <c r="V68" s="27"/>
      <c r="W68" s="28"/>
      <c r="X68" s="28"/>
    </row>
    <row r="69" customFormat="false" ht="15.75" hidden="false" customHeight="true" outlineLevel="0" collapsed="false">
      <c r="A69" s="27"/>
      <c r="B69" s="27"/>
      <c r="C69" s="33" t="str">
        <f aca="false">IFERROR(INDEX(Customers!$C$4:$C$1003,MATCH($B69,Customers!$A$4:$A$1003,0)),"")</f>
        <v/>
      </c>
      <c r="D69" s="28"/>
      <c r="E69" s="41"/>
      <c r="F69" s="29"/>
      <c r="G69" s="27"/>
      <c r="H69" s="27"/>
      <c r="I69" s="29"/>
      <c r="J69" s="27"/>
      <c r="K69" s="30" t="str">
        <f aca="true">IF(OR($A69="",$I69=""),"",IF($J69="Paid",0,IF(TODAY()&gt;$I69,TODAY()-$I69,0)))</f>
        <v/>
      </c>
      <c r="L69" s="34" t="str">
        <f aca="false">IFERROR(INDEX(Customers!$M$4:$M$1003,MATCH($B69,Customers!$A$4:$A$1003,0)),"")</f>
        <v/>
      </c>
      <c r="M69" s="34" t="str">
        <f aca="false">IFERROR(INDEX(Customers!$N$4:$N$1003,MATCH($B69,Customers!$A$4:$A$1003,0)),"")</f>
        <v/>
      </c>
      <c r="N69" s="28"/>
      <c r="O69" s="32"/>
      <c r="Q69" s="27"/>
      <c r="R69" s="29"/>
      <c r="S69" s="28"/>
      <c r="T69" s="32"/>
      <c r="U69" s="41"/>
      <c r="V69" s="27"/>
      <c r="W69" s="28"/>
      <c r="X69" s="28"/>
    </row>
    <row r="70" customFormat="false" ht="15.75" hidden="false" customHeight="true" outlineLevel="0" collapsed="false">
      <c r="A70" s="27"/>
      <c r="B70" s="27"/>
      <c r="C70" s="33" t="str">
        <f aca="false">IFERROR(INDEX(Customers!$C$4:$C$1003,MATCH($B70,Customers!$A$4:$A$1003,0)),"")</f>
        <v/>
      </c>
      <c r="D70" s="28"/>
      <c r="E70" s="41"/>
      <c r="F70" s="29"/>
      <c r="G70" s="27"/>
      <c r="H70" s="27"/>
      <c r="I70" s="29"/>
      <c r="J70" s="27"/>
      <c r="K70" s="30" t="str">
        <f aca="true">IF(OR($A70="",$I70=""),"",IF($J70="Paid",0,IF(TODAY()&gt;$I70,TODAY()-$I70,0)))</f>
        <v/>
      </c>
      <c r="L70" s="34" t="str">
        <f aca="false">IFERROR(INDEX(Customers!$M$4:$M$1003,MATCH($B70,Customers!$A$4:$A$1003,0)),"")</f>
        <v/>
      </c>
      <c r="M70" s="34" t="str">
        <f aca="false">IFERROR(INDEX(Customers!$N$4:$N$1003,MATCH($B70,Customers!$A$4:$A$1003,0)),"")</f>
        <v/>
      </c>
      <c r="N70" s="28"/>
      <c r="O70" s="32"/>
      <c r="Q70" s="27"/>
      <c r="R70" s="29"/>
      <c r="S70" s="28"/>
      <c r="T70" s="32"/>
      <c r="U70" s="41"/>
      <c r="V70" s="27"/>
      <c r="W70" s="28"/>
      <c r="X70" s="28"/>
    </row>
    <row r="71" customFormat="false" ht="15.75" hidden="false" customHeight="true" outlineLevel="0" collapsed="false">
      <c r="A71" s="27"/>
      <c r="B71" s="27"/>
      <c r="C71" s="33" t="str">
        <f aca="false">IFERROR(INDEX(Customers!$C$4:$C$1003,MATCH($B71,Customers!$A$4:$A$1003,0)),"")</f>
        <v/>
      </c>
      <c r="D71" s="28"/>
      <c r="E71" s="41"/>
      <c r="F71" s="29"/>
      <c r="G71" s="27"/>
      <c r="H71" s="27"/>
      <c r="I71" s="29"/>
      <c r="J71" s="27"/>
      <c r="K71" s="30" t="str">
        <f aca="true">IF(OR($A71="",$I71=""),"",IF($J71="Paid",0,IF(TODAY()&gt;$I71,TODAY()-$I71,0)))</f>
        <v/>
      </c>
      <c r="L71" s="34" t="str">
        <f aca="false">IFERROR(INDEX(Customers!$M$4:$M$1003,MATCH($B71,Customers!$A$4:$A$1003,0)),"")</f>
        <v/>
      </c>
      <c r="M71" s="34" t="str">
        <f aca="false">IFERROR(INDEX(Customers!$N$4:$N$1003,MATCH($B71,Customers!$A$4:$A$1003,0)),"")</f>
        <v/>
      </c>
      <c r="N71" s="28"/>
      <c r="O71" s="32"/>
      <c r="Q71" s="27"/>
      <c r="R71" s="29"/>
      <c r="S71" s="28"/>
      <c r="T71" s="32"/>
      <c r="U71" s="41"/>
      <c r="V71" s="27"/>
      <c r="W71" s="28"/>
      <c r="X71" s="28"/>
    </row>
    <row r="72" customFormat="false" ht="15.75" hidden="false" customHeight="true" outlineLevel="0" collapsed="false">
      <c r="A72" s="27"/>
      <c r="B72" s="27"/>
      <c r="C72" s="33" t="str">
        <f aca="false">IFERROR(INDEX(Customers!$C$4:$C$1003,MATCH($B72,Customers!$A$4:$A$1003,0)),"")</f>
        <v/>
      </c>
      <c r="D72" s="28"/>
      <c r="E72" s="41"/>
      <c r="F72" s="29"/>
      <c r="G72" s="27"/>
      <c r="H72" s="27"/>
      <c r="I72" s="29"/>
      <c r="J72" s="27"/>
      <c r="K72" s="30" t="str">
        <f aca="true">IF(OR($A72="",$I72=""),"",IF($J72="Paid",0,IF(TODAY()&gt;$I72,TODAY()-$I72,0)))</f>
        <v/>
      </c>
      <c r="L72" s="34" t="str">
        <f aca="false">IFERROR(INDEX(Customers!$M$4:$M$1003,MATCH($B72,Customers!$A$4:$A$1003,0)),"")</f>
        <v/>
      </c>
      <c r="M72" s="34" t="str">
        <f aca="false">IFERROR(INDEX(Customers!$N$4:$N$1003,MATCH($B72,Customers!$A$4:$A$1003,0)),"")</f>
        <v/>
      </c>
      <c r="N72" s="28"/>
      <c r="O72" s="32"/>
      <c r="Q72" s="27"/>
      <c r="R72" s="29"/>
      <c r="S72" s="28"/>
      <c r="T72" s="32"/>
      <c r="U72" s="41"/>
      <c r="V72" s="27"/>
      <c r="W72" s="28"/>
      <c r="X72" s="28"/>
    </row>
    <row r="73" customFormat="false" ht="15.75" hidden="false" customHeight="true" outlineLevel="0" collapsed="false">
      <c r="A73" s="27"/>
      <c r="B73" s="27"/>
      <c r="C73" s="33" t="str">
        <f aca="false">IFERROR(INDEX(Customers!$C$4:$C$1003,MATCH($B73,Customers!$A$4:$A$1003,0)),"")</f>
        <v/>
      </c>
      <c r="D73" s="28"/>
      <c r="E73" s="41"/>
      <c r="F73" s="29"/>
      <c r="G73" s="27"/>
      <c r="H73" s="27"/>
      <c r="I73" s="29"/>
      <c r="J73" s="27"/>
      <c r="K73" s="30" t="str">
        <f aca="true">IF(OR($A73="",$I73=""),"",IF($J73="Paid",0,IF(TODAY()&gt;$I73,TODAY()-$I73,0)))</f>
        <v/>
      </c>
      <c r="L73" s="34" t="str">
        <f aca="false">IFERROR(INDEX(Customers!$M$4:$M$1003,MATCH($B73,Customers!$A$4:$A$1003,0)),"")</f>
        <v/>
      </c>
      <c r="M73" s="34" t="str">
        <f aca="false">IFERROR(INDEX(Customers!$N$4:$N$1003,MATCH($B73,Customers!$A$4:$A$1003,0)),"")</f>
        <v/>
      </c>
      <c r="N73" s="28"/>
      <c r="O73" s="32"/>
      <c r="Q73" s="27"/>
      <c r="R73" s="29"/>
      <c r="S73" s="28"/>
      <c r="T73" s="32"/>
      <c r="U73" s="41"/>
      <c r="V73" s="27"/>
      <c r="W73" s="28"/>
      <c r="X73" s="28"/>
    </row>
    <row r="74" customFormat="false" ht="15.75" hidden="false" customHeight="true" outlineLevel="0" collapsed="false">
      <c r="A74" s="27"/>
      <c r="B74" s="27"/>
      <c r="C74" s="33" t="str">
        <f aca="false">IFERROR(INDEX(Customers!$C$4:$C$1003,MATCH($B74,Customers!$A$4:$A$1003,0)),"")</f>
        <v/>
      </c>
      <c r="D74" s="28"/>
      <c r="E74" s="41"/>
      <c r="F74" s="29"/>
      <c r="G74" s="27"/>
      <c r="H74" s="27"/>
      <c r="I74" s="29"/>
      <c r="J74" s="27"/>
      <c r="K74" s="30" t="str">
        <f aca="true">IF(OR($A74="",$I74=""),"",IF($J74="Paid",0,IF(TODAY()&gt;$I74,TODAY()-$I74,0)))</f>
        <v/>
      </c>
      <c r="L74" s="34" t="str">
        <f aca="false">IFERROR(INDEX(Customers!$M$4:$M$1003,MATCH($B74,Customers!$A$4:$A$1003,0)),"")</f>
        <v/>
      </c>
      <c r="M74" s="34" t="str">
        <f aca="false">IFERROR(INDEX(Customers!$N$4:$N$1003,MATCH($B74,Customers!$A$4:$A$1003,0)),"")</f>
        <v/>
      </c>
      <c r="N74" s="28"/>
      <c r="O74" s="32"/>
      <c r="Q74" s="27"/>
      <c r="R74" s="29"/>
      <c r="S74" s="28"/>
      <c r="T74" s="32"/>
      <c r="U74" s="41"/>
      <c r="V74" s="27"/>
      <c r="W74" s="28"/>
      <c r="X74" s="28"/>
    </row>
    <row r="75" customFormat="false" ht="15.75" hidden="false" customHeight="true" outlineLevel="0" collapsed="false">
      <c r="A75" s="27"/>
      <c r="B75" s="27"/>
      <c r="C75" s="33" t="str">
        <f aca="false">IFERROR(INDEX(Customers!$C$4:$C$1003,MATCH($B75,Customers!$A$4:$A$1003,0)),"")</f>
        <v/>
      </c>
      <c r="D75" s="28"/>
      <c r="E75" s="41"/>
      <c r="F75" s="29"/>
      <c r="G75" s="27"/>
      <c r="H75" s="27"/>
      <c r="I75" s="29"/>
      <c r="J75" s="27"/>
      <c r="K75" s="30" t="str">
        <f aca="true">IF(OR($A75="",$I75=""),"",IF($J75="Paid",0,IF(TODAY()&gt;$I75,TODAY()-$I75,0)))</f>
        <v/>
      </c>
      <c r="L75" s="34" t="str">
        <f aca="false">IFERROR(INDEX(Customers!$M$4:$M$1003,MATCH($B75,Customers!$A$4:$A$1003,0)),"")</f>
        <v/>
      </c>
      <c r="M75" s="34" t="str">
        <f aca="false">IFERROR(INDEX(Customers!$N$4:$N$1003,MATCH($B75,Customers!$A$4:$A$1003,0)),"")</f>
        <v/>
      </c>
      <c r="N75" s="28"/>
      <c r="O75" s="32"/>
      <c r="Q75" s="27"/>
      <c r="R75" s="29"/>
      <c r="S75" s="28"/>
      <c r="T75" s="32"/>
      <c r="U75" s="41"/>
      <c r="V75" s="27"/>
      <c r="W75" s="28"/>
      <c r="X75" s="28"/>
    </row>
    <row r="76" customFormat="false" ht="15.75" hidden="false" customHeight="true" outlineLevel="0" collapsed="false">
      <c r="A76" s="27"/>
      <c r="B76" s="27"/>
      <c r="C76" s="33" t="str">
        <f aca="false">IFERROR(INDEX(Customers!$C$4:$C$1003,MATCH($B76,Customers!$A$4:$A$1003,0)),"")</f>
        <v/>
      </c>
      <c r="D76" s="28"/>
      <c r="E76" s="41"/>
      <c r="F76" s="29"/>
      <c r="G76" s="27"/>
      <c r="H76" s="27"/>
      <c r="I76" s="29"/>
      <c r="J76" s="27"/>
      <c r="K76" s="30" t="str">
        <f aca="true">IF(OR($A76="",$I76=""),"",IF($J76="Paid",0,IF(TODAY()&gt;$I76,TODAY()-$I76,0)))</f>
        <v/>
      </c>
      <c r="L76" s="34" t="str">
        <f aca="false">IFERROR(INDEX(Customers!$M$4:$M$1003,MATCH($B76,Customers!$A$4:$A$1003,0)),"")</f>
        <v/>
      </c>
      <c r="M76" s="34" t="str">
        <f aca="false">IFERROR(INDEX(Customers!$N$4:$N$1003,MATCH($B76,Customers!$A$4:$A$1003,0)),"")</f>
        <v/>
      </c>
      <c r="N76" s="28"/>
      <c r="O76" s="32"/>
      <c r="Q76" s="27"/>
      <c r="R76" s="29"/>
      <c r="S76" s="28"/>
      <c r="T76" s="32"/>
      <c r="U76" s="41"/>
      <c r="V76" s="27"/>
      <c r="W76" s="28"/>
      <c r="X76" s="28"/>
    </row>
    <row r="77" customFormat="false" ht="15.75" hidden="false" customHeight="true" outlineLevel="0" collapsed="false">
      <c r="A77" s="27"/>
      <c r="B77" s="27"/>
      <c r="C77" s="33" t="str">
        <f aca="false">IFERROR(INDEX(Customers!$C$4:$C$1003,MATCH($B77,Customers!$A$4:$A$1003,0)),"")</f>
        <v/>
      </c>
      <c r="D77" s="28"/>
      <c r="E77" s="41"/>
      <c r="F77" s="29"/>
      <c r="G77" s="27"/>
      <c r="H77" s="27"/>
      <c r="I77" s="29"/>
      <c r="J77" s="27"/>
      <c r="K77" s="30" t="str">
        <f aca="true">IF(OR($A77="",$I77=""),"",IF($J77="Paid",0,IF(TODAY()&gt;$I77,TODAY()-$I77,0)))</f>
        <v/>
      </c>
      <c r="L77" s="34" t="str">
        <f aca="false">IFERROR(INDEX(Customers!$M$4:$M$1003,MATCH($B77,Customers!$A$4:$A$1003,0)),"")</f>
        <v/>
      </c>
      <c r="M77" s="34" t="str">
        <f aca="false">IFERROR(INDEX(Customers!$N$4:$N$1003,MATCH($B77,Customers!$A$4:$A$1003,0)),"")</f>
        <v/>
      </c>
      <c r="N77" s="28"/>
      <c r="O77" s="32"/>
      <c r="Q77" s="27"/>
      <c r="R77" s="29"/>
      <c r="S77" s="28"/>
      <c r="T77" s="32"/>
      <c r="U77" s="41"/>
      <c r="V77" s="27"/>
      <c r="W77" s="28"/>
      <c r="X77" s="28"/>
    </row>
    <row r="78" customFormat="false" ht="15.75" hidden="false" customHeight="true" outlineLevel="0" collapsed="false">
      <c r="A78" s="27"/>
      <c r="B78" s="27"/>
      <c r="C78" s="33" t="str">
        <f aca="false">IFERROR(INDEX(Customers!$C$4:$C$1003,MATCH($B78,Customers!$A$4:$A$1003,0)),"")</f>
        <v/>
      </c>
      <c r="D78" s="28"/>
      <c r="E78" s="41"/>
      <c r="F78" s="29"/>
      <c r="G78" s="27"/>
      <c r="H78" s="27"/>
      <c r="I78" s="29"/>
      <c r="J78" s="27"/>
      <c r="K78" s="30" t="str">
        <f aca="true">IF(OR($A78="",$I78=""),"",IF($J78="Paid",0,IF(TODAY()&gt;$I78,TODAY()-$I78,0)))</f>
        <v/>
      </c>
      <c r="L78" s="34" t="str">
        <f aca="false">IFERROR(INDEX(Customers!$M$4:$M$1003,MATCH($B78,Customers!$A$4:$A$1003,0)),"")</f>
        <v/>
      </c>
      <c r="M78" s="34" t="str">
        <f aca="false">IFERROR(INDEX(Customers!$N$4:$N$1003,MATCH($B78,Customers!$A$4:$A$1003,0)),"")</f>
        <v/>
      </c>
      <c r="N78" s="28"/>
      <c r="O78" s="32"/>
      <c r="Q78" s="27"/>
      <c r="R78" s="29"/>
      <c r="S78" s="28"/>
      <c r="T78" s="32"/>
      <c r="U78" s="41"/>
      <c r="V78" s="27"/>
      <c r="W78" s="28"/>
      <c r="X78" s="28"/>
    </row>
    <row r="79" customFormat="false" ht="15.75" hidden="false" customHeight="true" outlineLevel="0" collapsed="false">
      <c r="A79" s="27"/>
      <c r="B79" s="27"/>
      <c r="C79" s="33" t="str">
        <f aca="false">IFERROR(INDEX(Customers!$C$4:$C$1003,MATCH($B79,Customers!$A$4:$A$1003,0)),"")</f>
        <v/>
      </c>
      <c r="D79" s="28"/>
      <c r="E79" s="41"/>
      <c r="F79" s="29"/>
      <c r="G79" s="27"/>
      <c r="H79" s="27"/>
      <c r="I79" s="29"/>
      <c r="J79" s="27"/>
      <c r="K79" s="30" t="str">
        <f aca="true">IF(OR($A79="",$I79=""),"",IF($J79="Paid",0,IF(TODAY()&gt;$I79,TODAY()-$I79,0)))</f>
        <v/>
      </c>
      <c r="L79" s="34" t="str">
        <f aca="false">IFERROR(INDEX(Customers!$M$4:$M$1003,MATCH($B79,Customers!$A$4:$A$1003,0)),"")</f>
        <v/>
      </c>
      <c r="M79" s="34" t="str">
        <f aca="false">IFERROR(INDEX(Customers!$N$4:$N$1003,MATCH($B79,Customers!$A$4:$A$1003,0)),"")</f>
        <v/>
      </c>
      <c r="N79" s="28"/>
      <c r="O79" s="32"/>
      <c r="Q79" s="27"/>
      <c r="R79" s="29"/>
      <c r="S79" s="28"/>
      <c r="T79" s="32"/>
      <c r="U79" s="41"/>
      <c r="V79" s="27"/>
      <c r="W79" s="28"/>
      <c r="X79" s="28"/>
    </row>
    <row r="80" customFormat="false" ht="15.75" hidden="false" customHeight="true" outlineLevel="0" collapsed="false">
      <c r="A80" s="27"/>
      <c r="B80" s="27"/>
      <c r="C80" s="33" t="str">
        <f aca="false">IFERROR(INDEX(Customers!$C$4:$C$1003,MATCH($B80,Customers!$A$4:$A$1003,0)),"")</f>
        <v/>
      </c>
      <c r="D80" s="28"/>
      <c r="E80" s="41"/>
      <c r="F80" s="29"/>
      <c r="G80" s="27"/>
      <c r="H80" s="27"/>
      <c r="I80" s="29"/>
      <c r="J80" s="27"/>
      <c r="K80" s="30" t="str">
        <f aca="true">IF(OR($A80="",$I80=""),"",IF($J80="Paid",0,IF(TODAY()&gt;$I80,TODAY()-$I80,0)))</f>
        <v/>
      </c>
      <c r="L80" s="34" t="str">
        <f aca="false">IFERROR(INDEX(Customers!$M$4:$M$1003,MATCH($B80,Customers!$A$4:$A$1003,0)),"")</f>
        <v/>
      </c>
      <c r="M80" s="34" t="str">
        <f aca="false">IFERROR(INDEX(Customers!$N$4:$N$1003,MATCH($B80,Customers!$A$4:$A$1003,0)),"")</f>
        <v/>
      </c>
      <c r="N80" s="28"/>
      <c r="O80" s="32"/>
      <c r="Q80" s="27"/>
      <c r="R80" s="29"/>
      <c r="S80" s="28"/>
      <c r="T80" s="32"/>
      <c r="U80" s="41"/>
      <c r="V80" s="27"/>
      <c r="W80" s="28"/>
      <c r="X80" s="28"/>
    </row>
    <row r="81" customFormat="false" ht="15.75" hidden="false" customHeight="true" outlineLevel="0" collapsed="false">
      <c r="A81" s="27"/>
      <c r="B81" s="27"/>
      <c r="C81" s="33" t="str">
        <f aca="false">IFERROR(INDEX(Customers!$C$4:$C$1003,MATCH($B81,Customers!$A$4:$A$1003,0)),"")</f>
        <v/>
      </c>
      <c r="D81" s="28"/>
      <c r="E81" s="41"/>
      <c r="F81" s="29"/>
      <c r="G81" s="27"/>
      <c r="H81" s="27"/>
      <c r="I81" s="29"/>
      <c r="J81" s="27"/>
      <c r="K81" s="30" t="str">
        <f aca="true">IF(OR($A81="",$I81=""),"",IF($J81="Paid",0,IF(TODAY()&gt;$I81,TODAY()-$I81,0)))</f>
        <v/>
      </c>
      <c r="L81" s="34" t="str">
        <f aca="false">IFERROR(INDEX(Customers!$M$4:$M$1003,MATCH($B81,Customers!$A$4:$A$1003,0)),"")</f>
        <v/>
      </c>
      <c r="M81" s="34" t="str">
        <f aca="false">IFERROR(INDEX(Customers!$N$4:$N$1003,MATCH($B81,Customers!$A$4:$A$1003,0)),"")</f>
        <v/>
      </c>
      <c r="N81" s="28"/>
      <c r="O81" s="32"/>
      <c r="Q81" s="27"/>
      <c r="R81" s="29"/>
      <c r="S81" s="28"/>
      <c r="T81" s="32"/>
      <c r="U81" s="41"/>
      <c r="V81" s="27"/>
      <c r="W81" s="28"/>
      <c r="X81" s="28"/>
    </row>
    <row r="82" customFormat="false" ht="15.75" hidden="false" customHeight="true" outlineLevel="0" collapsed="false">
      <c r="A82" s="27"/>
      <c r="B82" s="27"/>
      <c r="C82" s="33" t="str">
        <f aca="false">IFERROR(INDEX(Customers!$C$4:$C$1003,MATCH($B82,Customers!$A$4:$A$1003,0)),"")</f>
        <v/>
      </c>
      <c r="D82" s="28"/>
      <c r="E82" s="41"/>
      <c r="F82" s="29"/>
      <c r="G82" s="27"/>
      <c r="H82" s="27"/>
      <c r="I82" s="29"/>
      <c r="J82" s="27"/>
      <c r="K82" s="30" t="str">
        <f aca="true">IF(OR($A82="",$I82=""),"",IF($J82="Paid",0,IF(TODAY()&gt;$I82,TODAY()-$I82,0)))</f>
        <v/>
      </c>
      <c r="L82" s="34" t="str">
        <f aca="false">IFERROR(INDEX(Customers!$M$4:$M$1003,MATCH($B82,Customers!$A$4:$A$1003,0)),"")</f>
        <v/>
      </c>
      <c r="M82" s="34" t="str">
        <f aca="false">IFERROR(INDEX(Customers!$N$4:$N$1003,MATCH($B82,Customers!$A$4:$A$1003,0)),"")</f>
        <v/>
      </c>
      <c r="N82" s="28"/>
      <c r="O82" s="32"/>
      <c r="Q82" s="27"/>
      <c r="R82" s="29"/>
      <c r="S82" s="28"/>
      <c r="T82" s="32"/>
      <c r="U82" s="41"/>
      <c r="V82" s="27"/>
      <c r="W82" s="28"/>
      <c r="X82" s="28"/>
    </row>
    <row r="83" customFormat="false" ht="15.75" hidden="false" customHeight="true" outlineLevel="0" collapsed="false">
      <c r="A83" s="27"/>
      <c r="B83" s="27"/>
      <c r="C83" s="33" t="str">
        <f aca="false">IFERROR(INDEX(Customers!$C$4:$C$1003,MATCH($B83,Customers!$A$4:$A$1003,0)),"")</f>
        <v/>
      </c>
      <c r="D83" s="28"/>
      <c r="E83" s="41"/>
      <c r="F83" s="29"/>
      <c r="G83" s="27"/>
      <c r="H83" s="27"/>
      <c r="I83" s="29"/>
      <c r="J83" s="27"/>
      <c r="K83" s="30" t="str">
        <f aca="true">IF(OR($A83="",$I83=""),"",IF($J83="Paid",0,IF(TODAY()&gt;$I83,TODAY()-$I83,0)))</f>
        <v/>
      </c>
      <c r="L83" s="34" t="str">
        <f aca="false">IFERROR(INDEX(Customers!$M$4:$M$1003,MATCH($B83,Customers!$A$4:$A$1003,0)),"")</f>
        <v/>
      </c>
      <c r="M83" s="34" t="str">
        <f aca="false">IFERROR(INDEX(Customers!$N$4:$N$1003,MATCH($B83,Customers!$A$4:$A$1003,0)),"")</f>
        <v/>
      </c>
      <c r="N83" s="28"/>
      <c r="O83" s="32"/>
      <c r="Q83" s="27"/>
      <c r="R83" s="29"/>
      <c r="S83" s="28"/>
      <c r="T83" s="32"/>
      <c r="U83" s="41"/>
      <c r="V83" s="27"/>
      <c r="W83" s="28"/>
      <c r="X83" s="28"/>
    </row>
    <row r="84" customFormat="false" ht="15.75" hidden="false" customHeight="true" outlineLevel="0" collapsed="false">
      <c r="A84" s="27"/>
      <c r="B84" s="27"/>
      <c r="C84" s="33" t="str">
        <f aca="false">IFERROR(INDEX(Customers!$C$4:$C$1003,MATCH($B84,Customers!$A$4:$A$1003,0)),"")</f>
        <v/>
      </c>
      <c r="D84" s="28"/>
      <c r="E84" s="41"/>
      <c r="F84" s="29"/>
      <c r="G84" s="27"/>
      <c r="H84" s="27"/>
      <c r="I84" s="29"/>
      <c r="J84" s="27"/>
      <c r="K84" s="30" t="str">
        <f aca="true">IF(OR($A84="",$I84=""),"",IF($J84="Paid",0,IF(TODAY()&gt;$I84,TODAY()-$I84,0)))</f>
        <v/>
      </c>
      <c r="L84" s="34" t="str">
        <f aca="false">IFERROR(INDEX(Customers!$M$4:$M$1003,MATCH($B84,Customers!$A$4:$A$1003,0)),"")</f>
        <v/>
      </c>
      <c r="M84" s="34" t="str">
        <f aca="false">IFERROR(INDEX(Customers!$N$4:$N$1003,MATCH($B84,Customers!$A$4:$A$1003,0)),"")</f>
        <v/>
      </c>
      <c r="N84" s="28"/>
      <c r="O84" s="32"/>
      <c r="Q84" s="27"/>
      <c r="R84" s="29"/>
      <c r="S84" s="28"/>
      <c r="T84" s="32"/>
      <c r="U84" s="41"/>
      <c r="V84" s="27"/>
      <c r="W84" s="28"/>
      <c r="X84" s="28"/>
    </row>
    <row r="85" customFormat="false" ht="15.75" hidden="false" customHeight="true" outlineLevel="0" collapsed="false">
      <c r="A85" s="27"/>
      <c r="B85" s="27"/>
      <c r="C85" s="33" t="str">
        <f aca="false">IFERROR(INDEX(Customers!$C$4:$C$1003,MATCH($B85,Customers!$A$4:$A$1003,0)),"")</f>
        <v/>
      </c>
      <c r="D85" s="28"/>
      <c r="E85" s="41"/>
      <c r="F85" s="29"/>
      <c r="G85" s="27"/>
      <c r="H85" s="27"/>
      <c r="I85" s="29"/>
      <c r="J85" s="27"/>
      <c r="K85" s="30" t="str">
        <f aca="true">IF(OR($A85="",$I85=""),"",IF($J85="Paid",0,IF(TODAY()&gt;$I85,TODAY()-$I85,0)))</f>
        <v/>
      </c>
      <c r="L85" s="34" t="str">
        <f aca="false">IFERROR(INDEX(Customers!$M$4:$M$1003,MATCH($B85,Customers!$A$4:$A$1003,0)),"")</f>
        <v/>
      </c>
      <c r="M85" s="34" t="str">
        <f aca="false">IFERROR(INDEX(Customers!$N$4:$N$1003,MATCH($B85,Customers!$A$4:$A$1003,0)),"")</f>
        <v/>
      </c>
      <c r="N85" s="28"/>
      <c r="O85" s="32"/>
      <c r="Q85" s="27"/>
      <c r="R85" s="29"/>
      <c r="S85" s="28"/>
      <c r="T85" s="32"/>
      <c r="U85" s="41"/>
      <c r="V85" s="27"/>
      <c r="W85" s="28"/>
      <c r="X85" s="28"/>
    </row>
    <row r="86" customFormat="false" ht="15.75" hidden="false" customHeight="true" outlineLevel="0" collapsed="false">
      <c r="A86" s="27"/>
      <c r="B86" s="27"/>
      <c r="C86" s="33" t="str">
        <f aca="false">IFERROR(INDEX(Customers!$C$4:$C$1003,MATCH($B86,Customers!$A$4:$A$1003,0)),"")</f>
        <v/>
      </c>
      <c r="D86" s="28"/>
      <c r="E86" s="41"/>
      <c r="F86" s="29"/>
      <c r="G86" s="27"/>
      <c r="H86" s="27"/>
      <c r="I86" s="29"/>
      <c r="J86" s="27"/>
      <c r="K86" s="30" t="str">
        <f aca="true">IF(OR($A86="",$I86=""),"",IF($J86="Paid",0,IF(TODAY()&gt;$I86,TODAY()-$I86,0)))</f>
        <v/>
      </c>
      <c r="L86" s="34" t="str">
        <f aca="false">IFERROR(INDEX(Customers!$M$4:$M$1003,MATCH($B86,Customers!$A$4:$A$1003,0)),"")</f>
        <v/>
      </c>
      <c r="M86" s="34" t="str">
        <f aca="false">IFERROR(INDEX(Customers!$N$4:$N$1003,MATCH($B86,Customers!$A$4:$A$1003,0)),"")</f>
        <v/>
      </c>
      <c r="N86" s="28"/>
      <c r="O86" s="32"/>
      <c r="Q86" s="27"/>
      <c r="R86" s="29"/>
      <c r="S86" s="28"/>
      <c r="T86" s="32"/>
      <c r="U86" s="41"/>
      <c r="V86" s="27"/>
      <c r="W86" s="28"/>
      <c r="X86" s="28"/>
    </row>
    <row r="87" customFormat="false" ht="15.75" hidden="false" customHeight="true" outlineLevel="0" collapsed="false">
      <c r="A87" s="27"/>
      <c r="B87" s="27"/>
      <c r="C87" s="33" t="str">
        <f aca="false">IFERROR(INDEX(Customers!$C$4:$C$1003,MATCH($B87,Customers!$A$4:$A$1003,0)),"")</f>
        <v/>
      </c>
      <c r="D87" s="28"/>
      <c r="E87" s="41"/>
      <c r="F87" s="29"/>
      <c r="G87" s="27"/>
      <c r="H87" s="27"/>
      <c r="I87" s="29"/>
      <c r="J87" s="27"/>
      <c r="K87" s="30" t="str">
        <f aca="true">IF(OR($A87="",$I87=""),"",IF($J87="Paid",0,IF(TODAY()&gt;$I87,TODAY()-$I87,0)))</f>
        <v/>
      </c>
      <c r="L87" s="34" t="str">
        <f aca="false">IFERROR(INDEX(Customers!$M$4:$M$1003,MATCH($B87,Customers!$A$4:$A$1003,0)),"")</f>
        <v/>
      </c>
      <c r="M87" s="34" t="str">
        <f aca="false">IFERROR(INDEX(Customers!$N$4:$N$1003,MATCH($B87,Customers!$A$4:$A$1003,0)),"")</f>
        <v/>
      </c>
      <c r="N87" s="28"/>
      <c r="O87" s="32"/>
      <c r="Q87" s="27"/>
      <c r="R87" s="29"/>
      <c r="S87" s="28"/>
      <c r="T87" s="32"/>
      <c r="U87" s="41"/>
      <c r="V87" s="27"/>
      <c r="W87" s="28"/>
      <c r="X87" s="28"/>
    </row>
    <row r="88" customFormat="false" ht="15.75" hidden="false" customHeight="true" outlineLevel="0" collapsed="false">
      <c r="A88" s="27"/>
      <c r="B88" s="27"/>
      <c r="C88" s="33" t="str">
        <f aca="false">IFERROR(INDEX(Customers!$C$4:$C$1003,MATCH($B88,Customers!$A$4:$A$1003,0)),"")</f>
        <v/>
      </c>
      <c r="D88" s="28"/>
      <c r="E88" s="41"/>
      <c r="F88" s="29"/>
      <c r="G88" s="27"/>
      <c r="H88" s="27"/>
      <c r="I88" s="29"/>
      <c r="J88" s="27"/>
      <c r="K88" s="30" t="str">
        <f aca="true">IF(OR($A88="",$I88=""),"",IF($J88="Paid",0,IF(TODAY()&gt;$I88,TODAY()-$I88,0)))</f>
        <v/>
      </c>
      <c r="L88" s="34" t="str">
        <f aca="false">IFERROR(INDEX(Customers!$M$4:$M$1003,MATCH($B88,Customers!$A$4:$A$1003,0)),"")</f>
        <v/>
      </c>
      <c r="M88" s="34" t="str">
        <f aca="false">IFERROR(INDEX(Customers!$N$4:$N$1003,MATCH($B88,Customers!$A$4:$A$1003,0)),"")</f>
        <v/>
      </c>
      <c r="N88" s="28"/>
      <c r="O88" s="32"/>
      <c r="Q88" s="27"/>
      <c r="R88" s="29"/>
      <c r="S88" s="28"/>
      <c r="T88" s="32"/>
      <c r="U88" s="41"/>
      <c r="V88" s="27"/>
      <c r="W88" s="28"/>
      <c r="X88" s="28"/>
    </row>
    <row r="89" customFormat="false" ht="15.75" hidden="false" customHeight="true" outlineLevel="0" collapsed="false">
      <c r="A89" s="27"/>
      <c r="B89" s="27"/>
      <c r="C89" s="33" t="str">
        <f aca="false">IFERROR(INDEX(Customers!$C$4:$C$1003,MATCH($B89,Customers!$A$4:$A$1003,0)),"")</f>
        <v/>
      </c>
      <c r="D89" s="28"/>
      <c r="E89" s="41"/>
      <c r="F89" s="29"/>
      <c r="G89" s="27"/>
      <c r="H89" s="27"/>
      <c r="I89" s="29"/>
      <c r="J89" s="27"/>
      <c r="K89" s="30" t="str">
        <f aca="true">IF(OR($A89="",$I89=""),"",IF($J89="Paid",0,IF(TODAY()&gt;$I89,TODAY()-$I89,0)))</f>
        <v/>
      </c>
      <c r="L89" s="34" t="str">
        <f aca="false">IFERROR(INDEX(Customers!$M$4:$M$1003,MATCH($B89,Customers!$A$4:$A$1003,0)),"")</f>
        <v/>
      </c>
      <c r="M89" s="34" t="str">
        <f aca="false">IFERROR(INDEX(Customers!$N$4:$N$1003,MATCH($B89,Customers!$A$4:$A$1003,0)),"")</f>
        <v/>
      </c>
      <c r="N89" s="28"/>
      <c r="O89" s="32"/>
      <c r="Q89" s="27"/>
      <c r="R89" s="29"/>
      <c r="S89" s="28"/>
      <c r="T89" s="32"/>
      <c r="U89" s="41"/>
      <c r="V89" s="27"/>
      <c r="W89" s="28"/>
      <c r="X89" s="28"/>
    </row>
    <row r="90" customFormat="false" ht="15.75" hidden="false" customHeight="true" outlineLevel="0" collapsed="false">
      <c r="A90" s="27"/>
      <c r="B90" s="27"/>
      <c r="C90" s="33" t="str">
        <f aca="false">IFERROR(INDEX(Customers!$C$4:$C$1003,MATCH($B90,Customers!$A$4:$A$1003,0)),"")</f>
        <v/>
      </c>
      <c r="D90" s="28"/>
      <c r="E90" s="41"/>
      <c r="F90" s="29"/>
      <c r="G90" s="27"/>
      <c r="H90" s="27"/>
      <c r="I90" s="29"/>
      <c r="J90" s="27"/>
      <c r="K90" s="30" t="str">
        <f aca="true">IF(OR($A90="",$I90=""),"",IF($J90="Paid",0,IF(TODAY()&gt;$I90,TODAY()-$I90,0)))</f>
        <v/>
      </c>
      <c r="L90" s="34" t="str">
        <f aca="false">IFERROR(INDEX(Customers!$M$4:$M$1003,MATCH($B90,Customers!$A$4:$A$1003,0)),"")</f>
        <v/>
      </c>
      <c r="M90" s="34" t="str">
        <f aca="false">IFERROR(INDEX(Customers!$N$4:$N$1003,MATCH($B90,Customers!$A$4:$A$1003,0)),"")</f>
        <v/>
      </c>
      <c r="N90" s="28"/>
      <c r="O90" s="32"/>
      <c r="Q90" s="27"/>
      <c r="R90" s="29"/>
      <c r="S90" s="28"/>
      <c r="T90" s="32"/>
      <c r="U90" s="41"/>
      <c r="V90" s="27"/>
      <c r="W90" s="28"/>
      <c r="X90" s="28"/>
    </row>
    <row r="91" customFormat="false" ht="15.75" hidden="false" customHeight="true" outlineLevel="0" collapsed="false">
      <c r="A91" s="27"/>
      <c r="B91" s="27"/>
      <c r="C91" s="33" t="str">
        <f aca="false">IFERROR(INDEX(Customers!$C$4:$C$1003,MATCH($B91,Customers!$A$4:$A$1003,0)),"")</f>
        <v/>
      </c>
      <c r="D91" s="28"/>
      <c r="E91" s="41"/>
      <c r="F91" s="29"/>
      <c r="G91" s="27"/>
      <c r="H91" s="27"/>
      <c r="I91" s="29"/>
      <c r="J91" s="27"/>
      <c r="K91" s="30" t="str">
        <f aca="true">IF(OR($A91="",$I91=""),"",IF($J91="Paid",0,IF(TODAY()&gt;$I91,TODAY()-$I91,0)))</f>
        <v/>
      </c>
      <c r="L91" s="34" t="str">
        <f aca="false">IFERROR(INDEX(Customers!$M$4:$M$1003,MATCH($B91,Customers!$A$4:$A$1003,0)),"")</f>
        <v/>
      </c>
      <c r="M91" s="34" t="str">
        <f aca="false">IFERROR(INDEX(Customers!$N$4:$N$1003,MATCH($B91,Customers!$A$4:$A$1003,0)),"")</f>
        <v/>
      </c>
      <c r="N91" s="28"/>
      <c r="O91" s="32"/>
      <c r="Q91" s="27"/>
      <c r="R91" s="29"/>
      <c r="S91" s="28"/>
      <c r="T91" s="32"/>
      <c r="U91" s="41"/>
      <c r="V91" s="27"/>
      <c r="W91" s="28"/>
      <c r="X91" s="28"/>
    </row>
    <row r="92" customFormat="false" ht="15.75" hidden="false" customHeight="true" outlineLevel="0" collapsed="false">
      <c r="A92" s="27"/>
      <c r="B92" s="27"/>
      <c r="C92" s="33" t="str">
        <f aca="false">IFERROR(INDEX(Customers!$C$4:$C$1003,MATCH($B92,Customers!$A$4:$A$1003,0)),"")</f>
        <v/>
      </c>
      <c r="D92" s="28"/>
      <c r="E92" s="41"/>
      <c r="F92" s="29"/>
      <c r="G92" s="27"/>
      <c r="H92" s="27"/>
      <c r="I92" s="29"/>
      <c r="J92" s="27"/>
      <c r="K92" s="30" t="str">
        <f aca="true">IF(OR($A92="",$I92=""),"",IF($J92="Paid",0,IF(TODAY()&gt;$I92,TODAY()-$I92,0)))</f>
        <v/>
      </c>
      <c r="L92" s="34" t="str">
        <f aca="false">IFERROR(INDEX(Customers!$M$4:$M$1003,MATCH($B92,Customers!$A$4:$A$1003,0)),"")</f>
        <v/>
      </c>
      <c r="M92" s="34" t="str">
        <f aca="false">IFERROR(INDEX(Customers!$N$4:$N$1003,MATCH($B92,Customers!$A$4:$A$1003,0)),"")</f>
        <v/>
      </c>
      <c r="N92" s="28"/>
      <c r="O92" s="32"/>
      <c r="Q92" s="27"/>
      <c r="R92" s="29"/>
      <c r="S92" s="28"/>
      <c r="T92" s="32"/>
      <c r="U92" s="41"/>
      <c r="V92" s="27"/>
      <c r="W92" s="28"/>
      <c r="X92" s="28"/>
    </row>
    <row r="93" customFormat="false" ht="15.75" hidden="false" customHeight="true" outlineLevel="0" collapsed="false">
      <c r="A93" s="27"/>
      <c r="B93" s="27"/>
      <c r="C93" s="33" t="str">
        <f aca="false">IFERROR(INDEX(Customers!$C$4:$C$1003,MATCH($B93,Customers!$A$4:$A$1003,0)),"")</f>
        <v/>
      </c>
      <c r="D93" s="28"/>
      <c r="E93" s="41"/>
      <c r="F93" s="29"/>
      <c r="G93" s="27"/>
      <c r="H93" s="27"/>
      <c r="I93" s="29"/>
      <c r="J93" s="27"/>
      <c r="K93" s="30" t="str">
        <f aca="true">IF(OR($A93="",$I93=""),"",IF($J93="Paid",0,IF(TODAY()&gt;$I93,TODAY()-$I93,0)))</f>
        <v/>
      </c>
      <c r="L93" s="34" t="str">
        <f aca="false">IFERROR(INDEX(Customers!$M$4:$M$1003,MATCH($B93,Customers!$A$4:$A$1003,0)),"")</f>
        <v/>
      </c>
      <c r="M93" s="34" t="str">
        <f aca="false">IFERROR(INDEX(Customers!$N$4:$N$1003,MATCH($B93,Customers!$A$4:$A$1003,0)),"")</f>
        <v/>
      </c>
      <c r="N93" s="28"/>
      <c r="O93" s="32"/>
      <c r="Q93" s="27"/>
      <c r="R93" s="29"/>
      <c r="S93" s="28"/>
      <c r="T93" s="32"/>
      <c r="U93" s="41"/>
      <c r="V93" s="27"/>
      <c r="W93" s="28"/>
      <c r="X93" s="28"/>
    </row>
    <row r="94" customFormat="false" ht="15.75" hidden="false" customHeight="true" outlineLevel="0" collapsed="false">
      <c r="A94" s="27"/>
      <c r="B94" s="27"/>
      <c r="C94" s="33" t="str">
        <f aca="false">IFERROR(INDEX(Customers!$C$4:$C$1003,MATCH($B94,Customers!$A$4:$A$1003,0)),"")</f>
        <v/>
      </c>
      <c r="D94" s="28"/>
      <c r="E94" s="41"/>
      <c r="F94" s="29"/>
      <c r="G94" s="27"/>
      <c r="H94" s="27"/>
      <c r="I94" s="29"/>
      <c r="J94" s="27"/>
      <c r="K94" s="30" t="str">
        <f aca="true">IF(OR($A94="",$I94=""),"",IF($J94="Paid",0,IF(TODAY()&gt;$I94,TODAY()-$I94,0)))</f>
        <v/>
      </c>
      <c r="L94" s="34" t="str">
        <f aca="false">IFERROR(INDEX(Customers!$M$4:$M$1003,MATCH($B94,Customers!$A$4:$A$1003,0)),"")</f>
        <v/>
      </c>
      <c r="M94" s="34" t="str">
        <f aca="false">IFERROR(INDEX(Customers!$N$4:$N$1003,MATCH($B94,Customers!$A$4:$A$1003,0)),"")</f>
        <v/>
      </c>
      <c r="N94" s="28"/>
      <c r="O94" s="32"/>
      <c r="Q94" s="27"/>
      <c r="R94" s="29"/>
      <c r="S94" s="28"/>
      <c r="T94" s="32"/>
      <c r="U94" s="41"/>
      <c r="V94" s="27"/>
      <c r="W94" s="28"/>
      <c r="X94" s="28"/>
    </row>
    <row r="95" customFormat="false" ht="15.75" hidden="false" customHeight="true" outlineLevel="0" collapsed="false">
      <c r="A95" s="27"/>
      <c r="B95" s="27"/>
      <c r="C95" s="33" t="str">
        <f aca="false">IFERROR(INDEX(Customers!$C$4:$C$1003,MATCH($B95,Customers!$A$4:$A$1003,0)),"")</f>
        <v/>
      </c>
      <c r="D95" s="28"/>
      <c r="E95" s="41"/>
      <c r="F95" s="29"/>
      <c r="G95" s="27"/>
      <c r="H95" s="27"/>
      <c r="I95" s="29"/>
      <c r="J95" s="27"/>
      <c r="K95" s="30" t="str">
        <f aca="true">IF(OR($A95="",$I95=""),"",IF($J95="Paid",0,IF(TODAY()&gt;$I95,TODAY()-$I95,0)))</f>
        <v/>
      </c>
      <c r="L95" s="34" t="str">
        <f aca="false">IFERROR(INDEX(Customers!$M$4:$M$1003,MATCH($B95,Customers!$A$4:$A$1003,0)),"")</f>
        <v/>
      </c>
      <c r="M95" s="34" t="str">
        <f aca="false">IFERROR(INDEX(Customers!$N$4:$N$1003,MATCH($B95,Customers!$A$4:$A$1003,0)),"")</f>
        <v/>
      </c>
      <c r="N95" s="28"/>
      <c r="O95" s="32"/>
      <c r="Q95" s="27"/>
      <c r="R95" s="29"/>
      <c r="S95" s="28"/>
      <c r="T95" s="32"/>
      <c r="U95" s="41"/>
      <c r="V95" s="27"/>
      <c r="W95" s="28"/>
      <c r="X95" s="28"/>
    </row>
    <row r="96" customFormat="false" ht="15.75" hidden="false" customHeight="true" outlineLevel="0" collapsed="false">
      <c r="A96" s="27"/>
      <c r="B96" s="27"/>
      <c r="C96" s="33" t="str">
        <f aca="false">IFERROR(INDEX(Customers!$C$4:$C$1003,MATCH($B96,Customers!$A$4:$A$1003,0)),"")</f>
        <v/>
      </c>
      <c r="D96" s="28"/>
      <c r="E96" s="41"/>
      <c r="F96" s="29"/>
      <c r="G96" s="27"/>
      <c r="H96" s="27"/>
      <c r="I96" s="29"/>
      <c r="J96" s="27"/>
      <c r="K96" s="30" t="str">
        <f aca="true">IF(OR($A96="",$I96=""),"",IF($J96="Paid",0,IF(TODAY()&gt;$I96,TODAY()-$I96,0)))</f>
        <v/>
      </c>
      <c r="L96" s="34" t="str">
        <f aca="false">IFERROR(INDEX(Customers!$M$4:$M$1003,MATCH($B96,Customers!$A$4:$A$1003,0)),"")</f>
        <v/>
      </c>
      <c r="M96" s="34" t="str">
        <f aca="false">IFERROR(INDEX(Customers!$N$4:$N$1003,MATCH($B96,Customers!$A$4:$A$1003,0)),"")</f>
        <v/>
      </c>
      <c r="N96" s="28"/>
      <c r="O96" s="32"/>
      <c r="Q96" s="27"/>
      <c r="R96" s="29"/>
      <c r="S96" s="28"/>
      <c r="T96" s="32"/>
      <c r="U96" s="41"/>
      <c r="V96" s="27"/>
      <c r="W96" s="28"/>
      <c r="X96" s="28"/>
    </row>
    <row r="97" customFormat="false" ht="15.75" hidden="false" customHeight="true" outlineLevel="0" collapsed="false">
      <c r="A97" s="27"/>
      <c r="B97" s="27"/>
      <c r="C97" s="33" t="str">
        <f aca="false">IFERROR(INDEX(Customers!$C$4:$C$1003,MATCH($B97,Customers!$A$4:$A$1003,0)),"")</f>
        <v/>
      </c>
      <c r="D97" s="28"/>
      <c r="E97" s="41"/>
      <c r="F97" s="29"/>
      <c r="G97" s="27"/>
      <c r="H97" s="27"/>
      <c r="I97" s="29"/>
      <c r="J97" s="27"/>
      <c r="K97" s="30" t="str">
        <f aca="true">IF(OR($A97="",$I97=""),"",IF($J97="Paid",0,IF(TODAY()&gt;$I97,TODAY()-$I97,0)))</f>
        <v/>
      </c>
      <c r="L97" s="34" t="str">
        <f aca="false">IFERROR(INDEX(Customers!$M$4:$M$1003,MATCH($B97,Customers!$A$4:$A$1003,0)),"")</f>
        <v/>
      </c>
      <c r="M97" s="34" t="str">
        <f aca="false">IFERROR(INDEX(Customers!$N$4:$N$1003,MATCH($B97,Customers!$A$4:$A$1003,0)),"")</f>
        <v/>
      </c>
      <c r="N97" s="28"/>
      <c r="O97" s="32"/>
      <c r="Q97" s="27"/>
      <c r="R97" s="29"/>
      <c r="S97" s="28"/>
      <c r="T97" s="32"/>
      <c r="U97" s="41"/>
      <c r="V97" s="27"/>
      <c r="W97" s="28"/>
      <c r="X97" s="28"/>
    </row>
    <row r="98" customFormat="false" ht="15.75" hidden="false" customHeight="true" outlineLevel="0" collapsed="false">
      <c r="A98" s="27"/>
      <c r="B98" s="27"/>
      <c r="C98" s="33" t="str">
        <f aca="false">IFERROR(INDEX(Customers!$C$4:$C$1003,MATCH($B98,Customers!$A$4:$A$1003,0)),"")</f>
        <v/>
      </c>
      <c r="D98" s="28"/>
      <c r="E98" s="41"/>
      <c r="F98" s="29"/>
      <c r="G98" s="27"/>
      <c r="H98" s="27"/>
      <c r="I98" s="29"/>
      <c r="J98" s="27"/>
      <c r="K98" s="30" t="str">
        <f aca="true">IF(OR($A98="",$I98=""),"",IF($J98="Paid",0,IF(TODAY()&gt;$I98,TODAY()-$I98,0)))</f>
        <v/>
      </c>
      <c r="L98" s="34" t="str">
        <f aca="false">IFERROR(INDEX(Customers!$M$4:$M$1003,MATCH($B98,Customers!$A$4:$A$1003,0)),"")</f>
        <v/>
      </c>
      <c r="M98" s="34" t="str">
        <f aca="false">IFERROR(INDEX(Customers!$N$4:$N$1003,MATCH($B98,Customers!$A$4:$A$1003,0)),"")</f>
        <v/>
      </c>
      <c r="N98" s="28"/>
      <c r="O98" s="32"/>
      <c r="Q98" s="27"/>
      <c r="R98" s="29"/>
      <c r="S98" s="28"/>
      <c r="T98" s="32"/>
      <c r="U98" s="41"/>
      <c r="V98" s="27"/>
      <c r="W98" s="28"/>
      <c r="X98" s="28"/>
    </row>
    <row r="99" customFormat="false" ht="15.75" hidden="false" customHeight="true" outlineLevel="0" collapsed="false">
      <c r="A99" s="27"/>
      <c r="B99" s="27"/>
      <c r="C99" s="33" t="str">
        <f aca="false">IFERROR(INDEX(Customers!$C$4:$C$1003,MATCH($B99,Customers!$A$4:$A$1003,0)),"")</f>
        <v/>
      </c>
      <c r="D99" s="28"/>
      <c r="E99" s="41"/>
      <c r="F99" s="29"/>
      <c r="G99" s="27"/>
      <c r="H99" s="27"/>
      <c r="I99" s="29"/>
      <c r="J99" s="27"/>
      <c r="K99" s="30" t="str">
        <f aca="true">IF(OR($A99="",$I99=""),"",IF($J99="Paid",0,IF(TODAY()&gt;$I99,TODAY()-$I99,0)))</f>
        <v/>
      </c>
      <c r="L99" s="34" t="str">
        <f aca="false">IFERROR(INDEX(Customers!$M$4:$M$1003,MATCH($B99,Customers!$A$4:$A$1003,0)),"")</f>
        <v/>
      </c>
      <c r="M99" s="34" t="str">
        <f aca="false">IFERROR(INDEX(Customers!$N$4:$N$1003,MATCH($B99,Customers!$A$4:$A$1003,0)),"")</f>
        <v/>
      </c>
      <c r="N99" s="28"/>
      <c r="O99" s="32"/>
      <c r="Q99" s="27"/>
      <c r="R99" s="29"/>
      <c r="S99" s="28"/>
      <c r="T99" s="32"/>
      <c r="U99" s="41"/>
      <c r="V99" s="27"/>
      <c r="W99" s="28"/>
      <c r="X99" s="28"/>
    </row>
    <row r="100" customFormat="false" ht="15.75" hidden="false" customHeight="true" outlineLevel="0" collapsed="false">
      <c r="A100" s="27"/>
      <c r="B100" s="27"/>
      <c r="C100" s="33" t="str">
        <f aca="false">IFERROR(INDEX(Customers!$C$4:$C$1003,MATCH($B100,Customers!$A$4:$A$1003,0)),"")</f>
        <v/>
      </c>
      <c r="D100" s="28"/>
      <c r="E100" s="41"/>
      <c r="F100" s="29"/>
      <c r="G100" s="27"/>
      <c r="H100" s="27"/>
      <c r="I100" s="29"/>
      <c r="J100" s="27"/>
      <c r="K100" s="30" t="str">
        <f aca="true">IF(OR($A100="",$I100=""),"",IF($J100="Paid",0,IF(TODAY()&gt;$I100,TODAY()-$I100,0)))</f>
        <v/>
      </c>
      <c r="L100" s="34" t="str">
        <f aca="false">IFERROR(INDEX(Customers!$M$4:$M$1003,MATCH($B100,Customers!$A$4:$A$1003,0)),"")</f>
        <v/>
      </c>
      <c r="M100" s="34" t="str">
        <f aca="false">IFERROR(INDEX(Customers!$N$4:$N$1003,MATCH($B100,Customers!$A$4:$A$1003,0)),"")</f>
        <v/>
      </c>
      <c r="N100" s="28"/>
      <c r="O100" s="32"/>
      <c r="Q100" s="27"/>
      <c r="R100" s="29"/>
      <c r="S100" s="28"/>
      <c r="T100" s="32"/>
      <c r="U100" s="41"/>
      <c r="V100" s="27"/>
      <c r="W100" s="28"/>
      <c r="X100" s="28"/>
    </row>
    <row r="101" customFormat="false" ht="15.75" hidden="false" customHeight="true" outlineLevel="0" collapsed="false">
      <c r="A101" s="27"/>
      <c r="B101" s="27"/>
      <c r="C101" s="33" t="str">
        <f aca="false">IFERROR(INDEX(Customers!$C$4:$C$1003,MATCH($B101,Customers!$A$4:$A$1003,0)),"")</f>
        <v/>
      </c>
      <c r="D101" s="28"/>
      <c r="E101" s="41"/>
      <c r="F101" s="29"/>
      <c r="G101" s="27"/>
      <c r="H101" s="27"/>
      <c r="I101" s="29"/>
      <c r="J101" s="27"/>
      <c r="K101" s="30" t="str">
        <f aca="true">IF(OR($A101="",$I101=""),"",IF($J101="Paid",0,IF(TODAY()&gt;$I101,TODAY()-$I101,0)))</f>
        <v/>
      </c>
      <c r="L101" s="34" t="str">
        <f aca="false">IFERROR(INDEX(Customers!$M$4:$M$1003,MATCH($B101,Customers!$A$4:$A$1003,0)),"")</f>
        <v/>
      </c>
      <c r="M101" s="34" t="str">
        <f aca="false">IFERROR(INDEX(Customers!$N$4:$N$1003,MATCH($B101,Customers!$A$4:$A$1003,0)),"")</f>
        <v/>
      </c>
      <c r="N101" s="28"/>
      <c r="O101" s="32"/>
      <c r="Q101" s="27"/>
      <c r="R101" s="29"/>
      <c r="S101" s="28"/>
      <c r="T101" s="32"/>
      <c r="U101" s="41"/>
      <c r="V101" s="27"/>
      <c r="W101" s="28"/>
      <c r="X101" s="28"/>
    </row>
    <row r="102" customFormat="false" ht="15.75" hidden="false" customHeight="true" outlineLevel="0" collapsed="false">
      <c r="A102" s="27"/>
      <c r="B102" s="27"/>
      <c r="C102" s="33" t="str">
        <f aca="false">IFERROR(INDEX(Customers!$C$4:$C$1003,MATCH($B102,Customers!$A$4:$A$1003,0)),"")</f>
        <v/>
      </c>
      <c r="D102" s="28"/>
      <c r="E102" s="41"/>
      <c r="F102" s="29"/>
      <c r="G102" s="27"/>
      <c r="H102" s="27"/>
      <c r="I102" s="29"/>
      <c r="J102" s="27"/>
      <c r="K102" s="30" t="str">
        <f aca="true">IF(OR($A102="",$I102=""),"",IF($J102="Paid",0,IF(TODAY()&gt;$I102,TODAY()-$I102,0)))</f>
        <v/>
      </c>
      <c r="L102" s="34" t="str">
        <f aca="false">IFERROR(INDEX(Customers!$M$4:$M$1003,MATCH($B102,Customers!$A$4:$A$1003,0)),"")</f>
        <v/>
      </c>
      <c r="M102" s="34" t="str">
        <f aca="false">IFERROR(INDEX(Customers!$N$4:$N$1003,MATCH($B102,Customers!$A$4:$A$1003,0)),"")</f>
        <v/>
      </c>
      <c r="N102" s="28"/>
      <c r="O102" s="32"/>
      <c r="Q102" s="27"/>
      <c r="R102" s="29"/>
      <c r="S102" s="28"/>
      <c r="T102" s="32"/>
      <c r="U102" s="41"/>
      <c r="V102" s="27"/>
      <c r="W102" s="28"/>
      <c r="X102" s="28"/>
    </row>
    <row r="103" customFormat="false" ht="15.75" hidden="false" customHeight="true" outlineLevel="0" collapsed="false">
      <c r="A103" s="27"/>
      <c r="B103" s="27"/>
      <c r="C103" s="33" t="str">
        <f aca="false">IFERROR(INDEX(Customers!$C$4:$C$1003,MATCH($B103,Customers!$A$4:$A$1003,0)),"")</f>
        <v/>
      </c>
      <c r="D103" s="28"/>
      <c r="E103" s="41"/>
      <c r="F103" s="29"/>
      <c r="G103" s="27"/>
      <c r="H103" s="27"/>
      <c r="I103" s="29"/>
      <c r="J103" s="27"/>
      <c r="K103" s="30" t="str">
        <f aca="true">IF(OR($A103="",$I103=""),"",IF($J103="Paid",0,IF(TODAY()&gt;$I103,TODAY()-$I103,0)))</f>
        <v/>
      </c>
      <c r="L103" s="34" t="str">
        <f aca="false">IFERROR(INDEX(Customers!$M$4:$M$1003,MATCH($B103,Customers!$A$4:$A$1003,0)),"")</f>
        <v/>
      </c>
      <c r="M103" s="34" t="str">
        <f aca="false">IFERROR(INDEX(Customers!$N$4:$N$1003,MATCH($B103,Customers!$A$4:$A$1003,0)),"")</f>
        <v/>
      </c>
      <c r="N103" s="28"/>
      <c r="O103" s="32"/>
      <c r="Q103" s="27"/>
      <c r="R103" s="29"/>
      <c r="S103" s="28"/>
      <c r="T103" s="32"/>
      <c r="U103" s="41"/>
      <c r="V103" s="27"/>
      <c r="W103" s="28"/>
      <c r="X103" s="28"/>
    </row>
    <row r="104" customFormat="false" ht="15.75" hidden="false" customHeight="true" outlineLevel="0" collapsed="false">
      <c r="A104" s="27"/>
      <c r="B104" s="27"/>
      <c r="C104" s="33" t="str">
        <f aca="false">IFERROR(INDEX(Customers!$C$4:$C$1003,MATCH($B104,Customers!$A$4:$A$1003,0)),"")</f>
        <v/>
      </c>
      <c r="D104" s="28"/>
      <c r="E104" s="41"/>
      <c r="F104" s="29"/>
      <c r="G104" s="27"/>
      <c r="H104" s="27"/>
      <c r="I104" s="29"/>
      <c r="J104" s="27"/>
      <c r="K104" s="30" t="str">
        <f aca="true">IF(OR($A104="",$I104=""),"",IF($J104="Paid",0,IF(TODAY()&gt;$I104,TODAY()-$I104,0)))</f>
        <v/>
      </c>
      <c r="L104" s="34" t="str">
        <f aca="false">IFERROR(INDEX(Customers!$M$4:$M$1003,MATCH($B104,Customers!$A$4:$A$1003,0)),"")</f>
        <v/>
      </c>
      <c r="M104" s="34" t="str">
        <f aca="false">IFERROR(INDEX(Customers!$N$4:$N$1003,MATCH($B104,Customers!$A$4:$A$1003,0)),"")</f>
        <v/>
      </c>
      <c r="N104" s="28"/>
      <c r="O104" s="32"/>
      <c r="Q104" s="27"/>
      <c r="R104" s="29"/>
      <c r="S104" s="28"/>
      <c r="T104" s="32"/>
      <c r="U104" s="41"/>
      <c r="V104" s="27"/>
      <c r="W104" s="28"/>
      <c r="X104" s="28"/>
    </row>
    <row r="105" customFormat="false" ht="15.75" hidden="false" customHeight="true" outlineLevel="0" collapsed="false">
      <c r="A105" s="27"/>
      <c r="B105" s="27"/>
      <c r="C105" s="33" t="str">
        <f aca="false">IFERROR(INDEX(Customers!$C$4:$C$1003,MATCH($B105,Customers!$A$4:$A$1003,0)),"")</f>
        <v/>
      </c>
      <c r="D105" s="28"/>
      <c r="E105" s="41"/>
      <c r="F105" s="29"/>
      <c r="G105" s="27"/>
      <c r="H105" s="27"/>
      <c r="I105" s="29"/>
      <c r="J105" s="27"/>
      <c r="K105" s="30" t="str">
        <f aca="true">IF(OR($A105="",$I105=""),"",IF($J105="Paid",0,IF(TODAY()&gt;$I105,TODAY()-$I105,0)))</f>
        <v/>
      </c>
      <c r="L105" s="34" t="str">
        <f aca="false">IFERROR(INDEX(Customers!$M$4:$M$1003,MATCH($B105,Customers!$A$4:$A$1003,0)),"")</f>
        <v/>
      </c>
      <c r="M105" s="34" t="str">
        <f aca="false">IFERROR(INDEX(Customers!$N$4:$N$1003,MATCH($B105,Customers!$A$4:$A$1003,0)),"")</f>
        <v/>
      </c>
      <c r="N105" s="28"/>
      <c r="O105" s="32"/>
      <c r="Q105" s="27"/>
      <c r="R105" s="29"/>
      <c r="S105" s="28"/>
      <c r="T105" s="32"/>
      <c r="U105" s="41"/>
      <c r="V105" s="27"/>
      <c r="W105" s="28"/>
      <c r="X105" s="28"/>
    </row>
    <row r="106" customFormat="false" ht="15.75" hidden="false" customHeight="true" outlineLevel="0" collapsed="false">
      <c r="A106" s="27"/>
      <c r="B106" s="27"/>
      <c r="C106" s="33" t="str">
        <f aca="false">IFERROR(INDEX(Customers!$C$4:$C$1003,MATCH($B106,Customers!$A$4:$A$1003,0)),"")</f>
        <v/>
      </c>
      <c r="D106" s="28"/>
      <c r="E106" s="41"/>
      <c r="F106" s="29"/>
      <c r="G106" s="27"/>
      <c r="H106" s="27"/>
      <c r="I106" s="29"/>
      <c r="J106" s="27"/>
      <c r="K106" s="30" t="str">
        <f aca="true">IF(OR($A106="",$I106=""),"",IF($J106="Paid",0,IF(TODAY()&gt;$I106,TODAY()-$I106,0)))</f>
        <v/>
      </c>
      <c r="L106" s="34" t="str">
        <f aca="false">IFERROR(INDEX(Customers!$M$4:$M$1003,MATCH($B106,Customers!$A$4:$A$1003,0)),"")</f>
        <v/>
      </c>
      <c r="M106" s="34" t="str">
        <f aca="false">IFERROR(INDEX(Customers!$N$4:$N$1003,MATCH($B106,Customers!$A$4:$A$1003,0)),"")</f>
        <v/>
      </c>
      <c r="N106" s="28"/>
      <c r="O106" s="32"/>
      <c r="Q106" s="27"/>
      <c r="R106" s="29"/>
      <c r="S106" s="28"/>
      <c r="T106" s="32"/>
      <c r="U106" s="41"/>
      <c r="V106" s="27"/>
      <c r="W106" s="28"/>
      <c r="X106" s="28"/>
    </row>
    <row r="107" customFormat="false" ht="15.75" hidden="false" customHeight="true" outlineLevel="0" collapsed="false">
      <c r="A107" s="27"/>
      <c r="B107" s="27"/>
      <c r="C107" s="33" t="str">
        <f aca="false">IFERROR(INDEX(Customers!$C$4:$C$1003,MATCH($B107,Customers!$A$4:$A$1003,0)),"")</f>
        <v/>
      </c>
      <c r="D107" s="28"/>
      <c r="E107" s="41"/>
      <c r="F107" s="29"/>
      <c r="G107" s="27"/>
      <c r="H107" s="27"/>
      <c r="I107" s="29"/>
      <c r="J107" s="27"/>
      <c r="K107" s="30" t="str">
        <f aca="true">IF(OR($A107="",$I107=""),"",IF($J107="Paid",0,IF(TODAY()&gt;$I107,TODAY()-$I107,0)))</f>
        <v/>
      </c>
      <c r="L107" s="34" t="str">
        <f aca="false">IFERROR(INDEX(Customers!$M$4:$M$1003,MATCH($B107,Customers!$A$4:$A$1003,0)),"")</f>
        <v/>
      </c>
      <c r="M107" s="34" t="str">
        <f aca="false">IFERROR(INDEX(Customers!$N$4:$N$1003,MATCH($B107,Customers!$A$4:$A$1003,0)),"")</f>
        <v/>
      </c>
      <c r="N107" s="28"/>
      <c r="O107" s="32"/>
      <c r="Q107" s="27"/>
      <c r="R107" s="29"/>
      <c r="S107" s="28"/>
      <c r="T107" s="32"/>
      <c r="U107" s="41"/>
      <c r="V107" s="27"/>
      <c r="W107" s="28"/>
      <c r="X107" s="28"/>
    </row>
    <row r="108" customFormat="false" ht="15.75" hidden="false" customHeight="true" outlineLevel="0" collapsed="false">
      <c r="A108" s="27"/>
      <c r="B108" s="27"/>
      <c r="C108" s="33" t="str">
        <f aca="false">IFERROR(INDEX(Customers!$C$4:$C$1003,MATCH($B108,Customers!$A$4:$A$1003,0)),"")</f>
        <v/>
      </c>
      <c r="D108" s="28"/>
      <c r="E108" s="41"/>
      <c r="F108" s="29"/>
      <c r="G108" s="27"/>
      <c r="H108" s="27"/>
      <c r="I108" s="29"/>
      <c r="J108" s="27"/>
      <c r="K108" s="30" t="str">
        <f aca="true">IF(OR($A108="",$I108=""),"",IF($J108="Paid",0,IF(TODAY()&gt;$I108,TODAY()-$I108,0)))</f>
        <v/>
      </c>
      <c r="L108" s="34" t="str">
        <f aca="false">IFERROR(INDEX(Customers!$M$4:$M$1003,MATCH($B108,Customers!$A$4:$A$1003,0)),"")</f>
        <v/>
      </c>
      <c r="M108" s="34" t="str">
        <f aca="false">IFERROR(INDEX(Customers!$N$4:$N$1003,MATCH($B108,Customers!$A$4:$A$1003,0)),"")</f>
        <v/>
      </c>
      <c r="N108" s="28"/>
      <c r="O108" s="32"/>
      <c r="Q108" s="27"/>
      <c r="R108" s="29"/>
      <c r="S108" s="28"/>
      <c r="T108" s="32"/>
      <c r="U108" s="41"/>
      <c r="V108" s="27"/>
      <c r="W108" s="28"/>
      <c r="X108" s="28"/>
    </row>
    <row r="109" customFormat="false" ht="15.75" hidden="false" customHeight="true" outlineLevel="0" collapsed="false">
      <c r="A109" s="27"/>
      <c r="B109" s="27"/>
      <c r="C109" s="33" t="str">
        <f aca="false">IFERROR(INDEX(Customers!$C$4:$C$1003,MATCH($B109,Customers!$A$4:$A$1003,0)),"")</f>
        <v/>
      </c>
      <c r="D109" s="28"/>
      <c r="E109" s="41"/>
      <c r="F109" s="29"/>
      <c r="G109" s="27"/>
      <c r="H109" s="27"/>
      <c r="I109" s="29"/>
      <c r="J109" s="27"/>
      <c r="K109" s="30" t="str">
        <f aca="true">IF(OR($A109="",$I109=""),"",IF($J109="Paid",0,IF(TODAY()&gt;$I109,TODAY()-$I109,0)))</f>
        <v/>
      </c>
      <c r="L109" s="34" t="str">
        <f aca="false">IFERROR(INDEX(Customers!$M$4:$M$1003,MATCH($B109,Customers!$A$4:$A$1003,0)),"")</f>
        <v/>
      </c>
      <c r="M109" s="34" t="str">
        <f aca="false">IFERROR(INDEX(Customers!$N$4:$N$1003,MATCH($B109,Customers!$A$4:$A$1003,0)),"")</f>
        <v/>
      </c>
      <c r="N109" s="28"/>
      <c r="O109" s="32"/>
      <c r="Q109" s="27"/>
      <c r="R109" s="29"/>
      <c r="S109" s="28"/>
      <c r="T109" s="32"/>
      <c r="U109" s="41"/>
      <c r="V109" s="27"/>
      <c r="W109" s="28"/>
      <c r="X109" s="28"/>
    </row>
    <row r="110" customFormat="false" ht="15.75" hidden="false" customHeight="true" outlineLevel="0" collapsed="false">
      <c r="A110" s="27"/>
      <c r="B110" s="27"/>
      <c r="C110" s="33" t="str">
        <f aca="false">IFERROR(INDEX(Customers!$C$4:$C$1003,MATCH($B110,Customers!$A$4:$A$1003,0)),"")</f>
        <v/>
      </c>
      <c r="D110" s="28"/>
      <c r="E110" s="41"/>
      <c r="F110" s="29"/>
      <c r="G110" s="27"/>
      <c r="H110" s="27"/>
      <c r="I110" s="29"/>
      <c r="J110" s="27"/>
      <c r="K110" s="30" t="str">
        <f aca="true">IF(OR($A110="",$I110=""),"",IF($J110="Paid",0,IF(TODAY()&gt;$I110,TODAY()-$I110,0)))</f>
        <v/>
      </c>
      <c r="L110" s="34" t="str">
        <f aca="false">IFERROR(INDEX(Customers!$M$4:$M$1003,MATCH($B110,Customers!$A$4:$A$1003,0)),"")</f>
        <v/>
      </c>
      <c r="M110" s="34" t="str">
        <f aca="false">IFERROR(INDEX(Customers!$N$4:$N$1003,MATCH($B110,Customers!$A$4:$A$1003,0)),"")</f>
        <v/>
      </c>
      <c r="N110" s="28"/>
      <c r="O110" s="32"/>
      <c r="Q110" s="27"/>
      <c r="R110" s="29"/>
      <c r="S110" s="28"/>
      <c r="T110" s="32"/>
      <c r="U110" s="41"/>
      <c r="V110" s="27"/>
      <c r="W110" s="28"/>
      <c r="X110" s="28"/>
    </row>
    <row r="111" customFormat="false" ht="15.75" hidden="false" customHeight="true" outlineLevel="0" collapsed="false">
      <c r="A111" s="27"/>
      <c r="B111" s="27"/>
      <c r="C111" s="33" t="str">
        <f aca="false">IFERROR(INDEX(Customers!$C$4:$C$1003,MATCH($B111,Customers!$A$4:$A$1003,0)),"")</f>
        <v/>
      </c>
      <c r="D111" s="28"/>
      <c r="E111" s="41"/>
      <c r="F111" s="29"/>
      <c r="G111" s="27"/>
      <c r="H111" s="27"/>
      <c r="I111" s="29"/>
      <c r="J111" s="27"/>
      <c r="K111" s="30" t="str">
        <f aca="true">IF(OR($A111="",$I111=""),"",IF($J111="Paid",0,IF(TODAY()&gt;$I111,TODAY()-$I111,0)))</f>
        <v/>
      </c>
      <c r="L111" s="34" t="str">
        <f aca="false">IFERROR(INDEX(Customers!$M$4:$M$1003,MATCH($B111,Customers!$A$4:$A$1003,0)),"")</f>
        <v/>
      </c>
      <c r="M111" s="34" t="str">
        <f aca="false">IFERROR(INDEX(Customers!$N$4:$N$1003,MATCH($B111,Customers!$A$4:$A$1003,0)),"")</f>
        <v/>
      </c>
      <c r="N111" s="28"/>
      <c r="O111" s="32"/>
      <c r="Q111" s="27"/>
      <c r="R111" s="29"/>
      <c r="S111" s="28"/>
      <c r="T111" s="32"/>
      <c r="U111" s="41"/>
      <c r="V111" s="27"/>
      <c r="W111" s="28"/>
      <c r="X111" s="28"/>
    </row>
    <row r="112" customFormat="false" ht="15.75" hidden="false" customHeight="true" outlineLevel="0" collapsed="false">
      <c r="A112" s="27"/>
      <c r="B112" s="27"/>
      <c r="C112" s="33" t="str">
        <f aca="false">IFERROR(INDEX(Customers!$C$4:$C$1003,MATCH($B112,Customers!$A$4:$A$1003,0)),"")</f>
        <v/>
      </c>
      <c r="D112" s="28"/>
      <c r="E112" s="41"/>
      <c r="F112" s="29"/>
      <c r="G112" s="27"/>
      <c r="H112" s="27"/>
      <c r="I112" s="29"/>
      <c r="J112" s="27"/>
      <c r="K112" s="30" t="str">
        <f aca="true">IF(OR($A112="",$I112=""),"",IF($J112="Paid",0,IF(TODAY()&gt;$I112,TODAY()-$I112,0)))</f>
        <v/>
      </c>
      <c r="L112" s="34" t="str">
        <f aca="false">IFERROR(INDEX(Customers!$M$4:$M$1003,MATCH($B112,Customers!$A$4:$A$1003,0)),"")</f>
        <v/>
      </c>
      <c r="M112" s="34" t="str">
        <f aca="false">IFERROR(INDEX(Customers!$N$4:$N$1003,MATCH($B112,Customers!$A$4:$A$1003,0)),"")</f>
        <v/>
      </c>
      <c r="N112" s="28"/>
      <c r="O112" s="32"/>
      <c r="Q112" s="27"/>
      <c r="R112" s="29"/>
      <c r="S112" s="28"/>
      <c r="T112" s="32"/>
      <c r="U112" s="41"/>
      <c r="V112" s="27"/>
      <c r="W112" s="28"/>
      <c r="X112" s="28"/>
    </row>
    <row r="113" customFormat="false" ht="15.75" hidden="false" customHeight="true" outlineLevel="0" collapsed="false">
      <c r="A113" s="27"/>
      <c r="B113" s="27"/>
      <c r="C113" s="33" t="str">
        <f aca="false">IFERROR(INDEX(Customers!$C$4:$C$1003,MATCH($B113,Customers!$A$4:$A$1003,0)),"")</f>
        <v/>
      </c>
      <c r="D113" s="28"/>
      <c r="E113" s="41"/>
      <c r="F113" s="29"/>
      <c r="G113" s="27"/>
      <c r="H113" s="27"/>
      <c r="I113" s="29"/>
      <c r="J113" s="27"/>
      <c r="K113" s="30" t="str">
        <f aca="true">IF(OR($A113="",$I113=""),"",IF($J113="Paid",0,IF(TODAY()&gt;$I113,TODAY()-$I113,0)))</f>
        <v/>
      </c>
      <c r="L113" s="34" t="str">
        <f aca="false">IFERROR(INDEX(Customers!$M$4:$M$1003,MATCH($B113,Customers!$A$4:$A$1003,0)),"")</f>
        <v/>
      </c>
      <c r="M113" s="34" t="str">
        <f aca="false">IFERROR(INDEX(Customers!$N$4:$N$1003,MATCH($B113,Customers!$A$4:$A$1003,0)),"")</f>
        <v/>
      </c>
      <c r="N113" s="28"/>
      <c r="O113" s="32"/>
      <c r="Q113" s="27"/>
      <c r="R113" s="29"/>
      <c r="S113" s="28"/>
      <c r="T113" s="32"/>
      <c r="U113" s="41"/>
      <c r="V113" s="27"/>
      <c r="W113" s="28"/>
      <c r="X113" s="28"/>
    </row>
    <row r="114" customFormat="false" ht="15.75" hidden="false" customHeight="true" outlineLevel="0" collapsed="false">
      <c r="A114" s="27"/>
      <c r="B114" s="27"/>
      <c r="C114" s="33" t="str">
        <f aca="false">IFERROR(INDEX(Customers!$C$4:$C$1003,MATCH($B114,Customers!$A$4:$A$1003,0)),"")</f>
        <v/>
      </c>
      <c r="D114" s="28"/>
      <c r="E114" s="41"/>
      <c r="F114" s="29"/>
      <c r="G114" s="27"/>
      <c r="H114" s="27"/>
      <c r="I114" s="29"/>
      <c r="J114" s="27"/>
      <c r="K114" s="30" t="str">
        <f aca="true">IF(OR($A114="",$I114=""),"",IF($J114="Paid",0,IF(TODAY()&gt;$I114,TODAY()-$I114,0)))</f>
        <v/>
      </c>
      <c r="L114" s="34" t="str">
        <f aca="false">IFERROR(INDEX(Customers!$M$4:$M$1003,MATCH($B114,Customers!$A$4:$A$1003,0)),"")</f>
        <v/>
      </c>
      <c r="M114" s="34" t="str">
        <f aca="false">IFERROR(INDEX(Customers!$N$4:$N$1003,MATCH($B114,Customers!$A$4:$A$1003,0)),"")</f>
        <v/>
      </c>
      <c r="N114" s="28"/>
      <c r="O114" s="32"/>
      <c r="Q114" s="27"/>
      <c r="R114" s="29"/>
      <c r="S114" s="28"/>
      <c r="T114" s="32"/>
      <c r="U114" s="41"/>
      <c r="V114" s="27"/>
      <c r="W114" s="28"/>
      <c r="X114" s="28"/>
    </row>
    <row r="115" customFormat="false" ht="15.75" hidden="false" customHeight="true" outlineLevel="0" collapsed="false">
      <c r="A115" s="27"/>
      <c r="B115" s="27"/>
      <c r="C115" s="33" t="str">
        <f aca="false">IFERROR(INDEX(Customers!$C$4:$C$1003,MATCH($B115,Customers!$A$4:$A$1003,0)),"")</f>
        <v/>
      </c>
      <c r="D115" s="28"/>
      <c r="E115" s="41"/>
      <c r="F115" s="29"/>
      <c r="G115" s="27"/>
      <c r="H115" s="27"/>
      <c r="I115" s="29"/>
      <c r="J115" s="27"/>
      <c r="K115" s="30" t="str">
        <f aca="true">IF(OR($A115="",$I115=""),"",IF($J115="Paid",0,IF(TODAY()&gt;$I115,TODAY()-$I115,0)))</f>
        <v/>
      </c>
      <c r="L115" s="34" t="str">
        <f aca="false">IFERROR(INDEX(Customers!$M$4:$M$1003,MATCH($B115,Customers!$A$4:$A$1003,0)),"")</f>
        <v/>
      </c>
      <c r="M115" s="34" t="str">
        <f aca="false">IFERROR(INDEX(Customers!$N$4:$N$1003,MATCH($B115,Customers!$A$4:$A$1003,0)),"")</f>
        <v/>
      </c>
      <c r="N115" s="28"/>
      <c r="O115" s="32"/>
      <c r="Q115" s="27"/>
      <c r="R115" s="29"/>
      <c r="S115" s="28"/>
      <c r="T115" s="32"/>
      <c r="U115" s="41"/>
      <c r="V115" s="27"/>
      <c r="W115" s="28"/>
      <c r="X115" s="28"/>
    </row>
    <row r="116" customFormat="false" ht="15.75" hidden="false" customHeight="true" outlineLevel="0" collapsed="false">
      <c r="A116" s="27"/>
      <c r="B116" s="27"/>
      <c r="C116" s="33" t="str">
        <f aca="false">IFERROR(INDEX(Customers!$C$4:$C$1003,MATCH($B116,Customers!$A$4:$A$1003,0)),"")</f>
        <v/>
      </c>
      <c r="D116" s="28"/>
      <c r="E116" s="41"/>
      <c r="F116" s="29"/>
      <c r="G116" s="27"/>
      <c r="H116" s="27"/>
      <c r="I116" s="29"/>
      <c r="J116" s="27"/>
      <c r="K116" s="30" t="str">
        <f aca="true">IF(OR($A116="",$I116=""),"",IF($J116="Paid",0,IF(TODAY()&gt;$I116,TODAY()-$I116,0)))</f>
        <v/>
      </c>
      <c r="L116" s="34" t="str">
        <f aca="false">IFERROR(INDEX(Customers!$M$4:$M$1003,MATCH($B116,Customers!$A$4:$A$1003,0)),"")</f>
        <v/>
      </c>
      <c r="M116" s="34" t="str">
        <f aca="false">IFERROR(INDEX(Customers!$N$4:$N$1003,MATCH($B116,Customers!$A$4:$A$1003,0)),"")</f>
        <v/>
      </c>
      <c r="N116" s="28"/>
      <c r="O116" s="32"/>
      <c r="Q116" s="27"/>
      <c r="R116" s="29"/>
      <c r="S116" s="28"/>
      <c r="T116" s="32"/>
      <c r="U116" s="41"/>
      <c r="V116" s="27"/>
      <c r="W116" s="28"/>
      <c r="X116" s="28"/>
    </row>
    <row r="117" customFormat="false" ht="15.75" hidden="false" customHeight="true" outlineLevel="0" collapsed="false">
      <c r="A117" s="27"/>
      <c r="B117" s="27"/>
      <c r="C117" s="33" t="str">
        <f aca="false">IFERROR(INDEX(Customers!$C$4:$C$1003,MATCH($B117,Customers!$A$4:$A$1003,0)),"")</f>
        <v/>
      </c>
      <c r="D117" s="28"/>
      <c r="E117" s="41"/>
      <c r="F117" s="29"/>
      <c r="G117" s="27"/>
      <c r="H117" s="27"/>
      <c r="I117" s="29"/>
      <c r="J117" s="27"/>
      <c r="K117" s="30" t="str">
        <f aca="true">IF(OR($A117="",$I117=""),"",IF($J117="Paid",0,IF(TODAY()&gt;$I117,TODAY()-$I117,0)))</f>
        <v/>
      </c>
      <c r="L117" s="34" t="str">
        <f aca="false">IFERROR(INDEX(Customers!$M$4:$M$1003,MATCH($B117,Customers!$A$4:$A$1003,0)),"")</f>
        <v/>
      </c>
      <c r="M117" s="34" t="str">
        <f aca="false">IFERROR(INDEX(Customers!$N$4:$N$1003,MATCH($B117,Customers!$A$4:$A$1003,0)),"")</f>
        <v/>
      </c>
      <c r="N117" s="28"/>
      <c r="O117" s="32"/>
      <c r="Q117" s="27"/>
      <c r="R117" s="29"/>
      <c r="S117" s="28"/>
      <c r="T117" s="32"/>
      <c r="U117" s="41"/>
      <c r="V117" s="27"/>
      <c r="W117" s="28"/>
      <c r="X117" s="28"/>
    </row>
    <row r="118" customFormat="false" ht="15.75" hidden="false" customHeight="true" outlineLevel="0" collapsed="false">
      <c r="A118" s="27"/>
      <c r="B118" s="27"/>
      <c r="C118" s="33" t="str">
        <f aca="false">IFERROR(INDEX(Customers!$C$4:$C$1003,MATCH($B118,Customers!$A$4:$A$1003,0)),"")</f>
        <v/>
      </c>
      <c r="D118" s="28"/>
      <c r="E118" s="41"/>
      <c r="F118" s="29"/>
      <c r="G118" s="27"/>
      <c r="H118" s="27"/>
      <c r="I118" s="29"/>
      <c r="J118" s="27"/>
      <c r="K118" s="30" t="str">
        <f aca="true">IF(OR($A118="",$I118=""),"",IF($J118="Paid",0,IF(TODAY()&gt;$I118,TODAY()-$I118,0)))</f>
        <v/>
      </c>
      <c r="L118" s="34" t="str">
        <f aca="false">IFERROR(INDEX(Customers!$M$4:$M$1003,MATCH($B118,Customers!$A$4:$A$1003,0)),"")</f>
        <v/>
      </c>
      <c r="M118" s="34" t="str">
        <f aca="false">IFERROR(INDEX(Customers!$N$4:$N$1003,MATCH($B118,Customers!$A$4:$A$1003,0)),"")</f>
        <v/>
      </c>
      <c r="N118" s="28"/>
      <c r="O118" s="32"/>
      <c r="Q118" s="27"/>
      <c r="R118" s="29"/>
      <c r="S118" s="28"/>
      <c r="T118" s="32"/>
      <c r="U118" s="41"/>
      <c r="V118" s="27"/>
      <c r="W118" s="28"/>
      <c r="X118" s="28"/>
    </row>
    <row r="119" customFormat="false" ht="15.75" hidden="false" customHeight="true" outlineLevel="0" collapsed="false">
      <c r="A119" s="27"/>
      <c r="B119" s="27"/>
      <c r="C119" s="33" t="str">
        <f aca="false">IFERROR(INDEX(Customers!$C$4:$C$1003,MATCH($B119,Customers!$A$4:$A$1003,0)),"")</f>
        <v/>
      </c>
      <c r="D119" s="28"/>
      <c r="E119" s="41"/>
      <c r="F119" s="29"/>
      <c r="G119" s="27"/>
      <c r="H119" s="27"/>
      <c r="I119" s="29"/>
      <c r="J119" s="27"/>
      <c r="K119" s="30" t="str">
        <f aca="true">IF(OR($A119="",$I119=""),"",IF($J119="Paid",0,IF(TODAY()&gt;$I119,TODAY()-$I119,0)))</f>
        <v/>
      </c>
      <c r="L119" s="34" t="str">
        <f aca="false">IFERROR(INDEX(Customers!$M$4:$M$1003,MATCH($B119,Customers!$A$4:$A$1003,0)),"")</f>
        <v/>
      </c>
      <c r="M119" s="34" t="str">
        <f aca="false">IFERROR(INDEX(Customers!$N$4:$N$1003,MATCH($B119,Customers!$A$4:$A$1003,0)),"")</f>
        <v/>
      </c>
      <c r="N119" s="28"/>
      <c r="O119" s="32"/>
      <c r="Q119" s="27"/>
      <c r="R119" s="29"/>
      <c r="S119" s="28"/>
      <c r="T119" s="32"/>
      <c r="U119" s="41"/>
      <c r="V119" s="27"/>
      <c r="W119" s="28"/>
      <c r="X119" s="28"/>
    </row>
    <row r="120" customFormat="false" ht="15.75" hidden="false" customHeight="true" outlineLevel="0" collapsed="false">
      <c r="A120" s="27"/>
      <c r="B120" s="27"/>
      <c r="C120" s="33" t="str">
        <f aca="false">IFERROR(INDEX(Customers!$C$4:$C$1003,MATCH($B120,Customers!$A$4:$A$1003,0)),"")</f>
        <v/>
      </c>
      <c r="D120" s="28"/>
      <c r="E120" s="41"/>
      <c r="F120" s="29"/>
      <c r="G120" s="27"/>
      <c r="H120" s="27"/>
      <c r="I120" s="29"/>
      <c r="J120" s="27"/>
      <c r="K120" s="30" t="str">
        <f aca="true">IF(OR($A120="",$I120=""),"",IF($J120="Paid",0,IF(TODAY()&gt;$I120,TODAY()-$I120,0)))</f>
        <v/>
      </c>
      <c r="L120" s="34" t="str">
        <f aca="false">IFERROR(INDEX(Customers!$M$4:$M$1003,MATCH($B120,Customers!$A$4:$A$1003,0)),"")</f>
        <v/>
      </c>
      <c r="M120" s="34" t="str">
        <f aca="false">IFERROR(INDEX(Customers!$N$4:$N$1003,MATCH($B120,Customers!$A$4:$A$1003,0)),"")</f>
        <v/>
      </c>
      <c r="N120" s="28"/>
      <c r="O120" s="32"/>
      <c r="Q120" s="27"/>
      <c r="R120" s="29"/>
      <c r="S120" s="28"/>
      <c r="T120" s="32"/>
      <c r="U120" s="41"/>
      <c r="V120" s="27"/>
      <c r="W120" s="28"/>
      <c r="X120" s="28"/>
    </row>
    <row r="121" customFormat="false" ht="15.75" hidden="false" customHeight="true" outlineLevel="0" collapsed="false">
      <c r="A121" s="27"/>
      <c r="B121" s="27"/>
      <c r="C121" s="33" t="str">
        <f aca="false">IFERROR(INDEX(Customers!$C$4:$C$1003,MATCH($B121,Customers!$A$4:$A$1003,0)),"")</f>
        <v/>
      </c>
      <c r="D121" s="28"/>
      <c r="E121" s="41"/>
      <c r="F121" s="29"/>
      <c r="G121" s="27"/>
      <c r="H121" s="27"/>
      <c r="I121" s="29"/>
      <c r="J121" s="27"/>
      <c r="K121" s="30" t="str">
        <f aca="true">IF(OR($A121="",$I121=""),"",IF($J121="Paid",0,IF(TODAY()&gt;$I121,TODAY()-$I121,0)))</f>
        <v/>
      </c>
      <c r="L121" s="34" t="str">
        <f aca="false">IFERROR(INDEX(Customers!$M$4:$M$1003,MATCH($B121,Customers!$A$4:$A$1003,0)),"")</f>
        <v/>
      </c>
      <c r="M121" s="34" t="str">
        <f aca="false">IFERROR(INDEX(Customers!$N$4:$N$1003,MATCH($B121,Customers!$A$4:$A$1003,0)),"")</f>
        <v/>
      </c>
      <c r="N121" s="28"/>
      <c r="O121" s="32"/>
      <c r="Q121" s="27"/>
      <c r="R121" s="29"/>
      <c r="S121" s="28"/>
      <c r="T121" s="32"/>
      <c r="U121" s="41"/>
      <c r="V121" s="27"/>
      <c r="W121" s="28"/>
      <c r="X121" s="28"/>
    </row>
    <row r="122" customFormat="false" ht="15.75" hidden="false" customHeight="true" outlineLevel="0" collapsed="false">
      <c r="A122" s="27"/>
      <c r="B122" s="27"/>
      <c r="C122" s="33" t="str">
        <f aca="false">IFERROR(INDEX(Customers!$C$4:$C$1003,MATCH($B122,Customers!$A$4:$A$1003,0)),"")</f>
        <v/>
      </c>
      <c r="D122" s="28"/>
      <c r="E122" s="41"/>
      <c r="F122" s="29"/>
      <c r="G122" s="27"/>
      <c r="H122" s="27"/>
      <c r="I122" s="29"/>
      <c r="J122" s="27"/>
      <c r="K122" s="30" t="str">
        <f aca="true">IF(OR($A122="",$I122=""),"",IF($J122="Paid",0,IF(TODAY()&gt;$I122,TODAY()-$I122,0)))</f>
        <v/>
      </c>
      <c r="L122" s="34" t="str">
        <f aca="false">IFERROR(INDEX(Customers!$M$4:$M$1003,MATCH($B122,Customers!$A$4:$A$1003,0)),"")</f>
        <v/>
      </c>
      <c r="M122" s="34" t="str">
        <f aca="false">IFERROR(INDEX(Customers!$N$4:$N$1003,MATCH($B122,Customers!$A$4:$A$1003,0)),"")</f>
        <v/>
      </c>
      <c r="N122" s="28"/>
      <c r="O122" s="32"/>
      <c r="Q122" s="27"/>
      <c r="R122" s="29"/>
      <c r="S122" s="28"/>
      <c r="T122" s="32"/>
      <c r="U122" s="41"/>
      <c r="V122" s="27"/>
      <c r="W122" s="28"/>
      <c r="X122" s="28"/>
    </row>
    <row r="123" customFormat="false" ht="15.75" hidden="false" customHeight="true" outlineLevel="0" collapsed="false">
      <c r="A123" s="27"/>
      <c r="B123" s="27"/>
      <c r="C123" s="33" t="str">
        <f aca="false">IFERROR(INDEX(Customers!$C$4:$C$1003,MATCH($B123,Customers!$A$4:$A$1003,0)),"")</f>
        <v/>
      </c>
      <c r="D123" s="28"/>
      <c r="E123" s="41"/>
      <c r="F123" s="29"/>
      <c r="G123" s="27"/>
      <c r="H123" s="27"/>
      <c r="I123" s="29"/>
      <c r="J123" s="27"/>
      <c r="K123" s="30" t="str">
        <f aca="true">IF(OR($A123="",$I123=""),"",IF($J123="Paid",0,IF(TODAY()&gt;$I123,TODAY()-$I123,0)))</f>
        <v/>
      </c>
      <c r="L123" s="34" t="str">
        <f aca="false">IFERROR(INDEX(Customers!$M$4:$M$1003,MATCH($B123,Customers!$A$4:$A$1003,0)),"")</f>
        <v/>
      </c>
      <c r="M123" s="34" t="str">
        <f aca="false">IFERROR(INDEX(Customers!$N$4:$N$1003,MATCH($B123,Customers!$A$4:$A$1003,0)),"")</f>
        <v/>
      </c>
      <c r="N123" s="28"/>
      <c r="O123" s="32"/>
      <c r="Q123" s="27"/>
      <c r="R123" s="29"/>
      <c r="S123" s="28"/>
      <c r="T123" s="32"/>
      <c r="U123" s="41"/>
      <c r="V123" s="27"/>
      <c r="W123" s="28"/>
      <c r="X123" s="28"/>
    </row>
    <row r="124" customFormat="false" ht="15.75" hidden="false" customHeight="true" outlineLevel="0" collapsed="false">
      <c r="A124" s="27"/>
      <c r="B124" s="27"/>
      <c r="C124" s="33" t="str">
        <f aca="false">IFERROR(INDEX(Customers!$C$4:$C$1003,MATCH($B124,Customers!$A$4:$A$1003,0)),"")</f>
        <v/>
      </c>
      <c r="D124" s="28"/>
      <c r="E124" s="41"/>
      <c r="F124" s="29"/>
      <c r="G124" s="27"/>
      <c r="H124" s="27"/>
      <c r="I124" s="29"/>
      <c r="J124" s="27"/>
      <c r="K124" s="30" t="str">
        <f aca="true">IF(OR($A124="",$I124=""),"",IF($J124="Paid",0,IF(TODAY()&gt;$I124,TODAY()-$I124,0)))</f>
        <v/>
      </c>
      <c r="L124" s="34" t="str">
        <f aca="false">IFERROR(INDEX(Customers!$M$4:$M$1003,MATCH($B124,Customers!$A$4:$A$1003,0)),"")</f>
        <v/>
      </c>
      <c r="M124" s="34" t="str">
        <f aca="false">IFERROR(INDEX(Customers!$N$4:$N$1003,MATCH($B124,Customers!$A$4:$A$1003,0)),"")</f>
        <v/>
      </c>
      <c r="N124" s="28"/>
      <c r="O124" s="32"/>
      <c r="Q124" s="27"/>
      <c r="R124" s="29"/>
      <c r="S124" s="28"/>
      <c r="T124" s="32"/>
      <c r="U124" s="41"/>
      <c r="V124" s="27"/>
      <c r="W124" s="28"/>
      <c r="X124" s="28"/>
    </row>
    <row r="125" customFormat="false" ht="15.75" hidden="false" customHeight="true" outlineLevel="0" collapsed="false">
      <c r="A125" s="27"/>
      <c r="B125" s="27"/>
      <c r="C125" s="33" t="str">
        <f aca="false">IFERROR(INDEX(Customers!$C$4:$C$1003,MATCH($B125,Customers!$A$4:$A$1003,0)),"")</f>
        <v/>
      </c>
      <c r="D125" s="28"/>
      <c r="E125" s="41"/>
      <c r="F125" s="29"/>
      <c r="G125" s="27"/>
      <c r="H125" s="27"/>
      <c r="I125" s="29"/>
      <c r="J125" s="27"/>
      <c r="K125" s="30" t="str">
        <f aca="true">IF(OR($A125="",$I125=""),"",IF($J125="Paid",0,IF(TODAY()&gt;$I125,TODAY()-$I125,0)))</f>
        <v/>
      </c>
      <c r="L125" s="34" t="str">
        <f aca="false">IFERROR(INDEX(Customers!$M$4:$M$1003,MATCH($B125,Customers!$A$4:$A$1003,0)),"")</f>
        <v/>
      </c>
      <c r="M125" s="34" t="str">
        <f aca="false">IFERROR(INDEX(Customers!$N$4:$N$1003,MATCH($B125,Customers!$A$4:$A$1003,0)),"")</f>
        <v/>
      </c>
      <c r="N125" s="28"/>
      <c r="O125" s="32"/>
      <c r="Q125" s="27"/>
      <c r="R125" s="29"/>
      <c r="S125" s="28"/>
      <c r="T125" s="32"/>
      <c r="U125" s="41"/>
      <c r="V125" s="27"/>
      <c r="W125" s="28"/>
      <c r="X125" s="28"/>
    </row>
    <row r="126" customFormat="false" ht="15.75" hidden="false" customHeight="true" outlineLevel="0" collapsed="false">
      <c r="A126" s="27"/>
      <c r="B126" s="27"/>
      <c r="C126" s="33" t="str">
        <f aca="false">IFERROR(INDEX(Customers!$C$4:$C$1003,MATCH($B126,Customers!$A$4:$A$1003,0)),"")</f>
        <v/>
      </c>
      <c r="D126" s="28"/>
      <c r="E126" s="41"/>
      <c r="F126" s="29"/>
      <c r="G126" s="27"/>
      <c r="H126" s="27"/>
      <c r="I126" s="29"/>
      <c r="J126" s="27"/>
      <c r="K126" s="30" t="str">
        <f aca="true">IF(OR($A126="",$I126=""),"",IF($J126="Paid",0,IF(TODAY()&gt;$I126,TODAY()-$I126,0)))</f>
        <v/>
      </c>
      <c r="L126" s="34" t="str">
        <f aca="false">IFERROR(INDEX(Customers!$M$4:$M$1003,MATCH($B126,Customers!$A$4:$A$1003,0)),"")</f>
        <v/>
      </c>
      <c r="M126" s="34" t="str">
        <f aca="false">IFERROR(INDEX(Customers!$N$4:$N$1003,MATCH($B126,Customers!$A$4:$A$1003,0)),"")</f>
        <v/>
      </c>
      <c r="N126" s="28"/>
      <c r="O126" s="32"/>
      <c r="Q126" s="27"/>
      <c r="R126" s="29"/>
      <c r="S126" s="28"/>
      <c r="T126" s="32"/>
      <c r="U126" s="41"/>
      <c r="V126" s="27"/>
      <c r="W126" s="28"/>
      <c r="X126" s="28"/>
    </row>
    <row r="127" customFormat="false" ht="15.75" hidden="false" customHeight="true" outlineLevel="0" collapsed="false">
      <c r="A127" s="27"/>
      <c r="B127" s="27"/>
      <c r="C127" s="33" t="str">
        <f aca="false">IFERROR(INDEX(Customers!$C$4:$C$1003,MATCH($B127,Customers!$A$4:$A$1003,0)),"")</f>
        <v/>
      </c>
      <c r="D127" s="28"/>
      <c r="E127" s="41"/>
      <c r="F127" s="29"/>
      <c r="G127" s="27"/>
      <c r="H127" s="27"/>
      <c r="I127" s="29"/>
      <c r="J127" s="27"/>
      <c r="K127" s="30" t="str">
        <f aca="true">IF(OR($A127="",$I127=""),"",IF($J127="Paid",0,IF(TODAY()&gt;$I127,TODAY()-$I127,0)))</f>
        <v/>
      </c>
      <c r="L127" s="34" t="str">
        <f aca="false">IFERROR(INDEX(Customers!$M$4:$M$1003,MATCH($B127,Customers!$A$4:$A$1003,0)),"")</f>
        <v/>
      </c>
      <c r="M127" s="34" t="str">
        <f aca="false">IFERROR(INDEX(Customers!$N$4:$N$1003,MATCH($B127,Customers!$A$4:$A$1003,0)),"")</f>
        <v/>
      </c>
      <c r="N127" s="28"/>
      <c r="O127" s="32"/>
      <c r="Q127" s="27"/>
      <c r="R127" s="29"/>
      <c r="S127" s="28"/>
      <c r="T127" s="32"/>
      <c r="U127" s="41"/>
      <c r="V127" s="27"/>
      <c r="W127" s="28"/>
      <c r="X127" s="28"/>
    </row>
    <row r="128" customFormat="false" ht="15.75" hidden="false" customHeight="true" outlineLevel="0" collapsed="false">
      <c r="A128" s="27"/>
      <c r="B128" s="27"/>
      <c r="C128" s="33" t="str">
        <f aca="false">IFERROR(INDEX(Customers!$C$4:$C$1003,MATCH($B128,Customers!$A$4:$A$1003,0)),"")</f>
        <v/>
      </c>
      <c r="D128" s="28"/>
      <c r="E128" s="41"/>
      <c r="F128" s="29"/>
      <c r="G128" s="27"/>
      <c r="H128" s="27"/>
      <c r="I128" s="29"/>
      <c r="J128" s="27"/>
      <c r="K128" s="30" t="str">
        <f aca="true">IF(OR($A128="",$I128=""),"",IF($J128="Paid",0,IF(TODAY()&gt;$I128,TODAY()-$I128,0)))</f>
        <v/>
      </c>
      <c r="L128" s="34" t="str">
        <f aca="false">IFERROR(INDEX(Customers!$M$4:$M$1003,MATCH($B128,Customers!$A$4:$A$1003,0)),"")</f>
        <v/>
      </c>
      <c r="M128" s="34" t="str">
        <f aca="false">IFERROR(INDEX(Customers!$N$4:$N$1003,MATCH($B128,Customers!$A$4:$A$1003,0)),"")</f>
        <v/>
      </c>
      <c r="N128" s="28"/>
      <c r="O128" s="32"/>
      <c r="Q128" s="27"/>
      <c r="R128" s="29"/>
      <c r="S128" s="28"/>
      <c r="T128" s="32"/>
      <c r="U128" s="41"/>
      <c r="V128" s="27"/>
      <c r="W128" s="28"/>
      <c r="X128" s="28"/>
    </row>
    <row r="129" customFormat="false" ht="15.75" hidden="false" customHeight="true" outlineLevel="0" collapsed="false">
      <c r="A129" s="27"/>
      <c r="B129" s="27"/>
      <c r="C129" s="33" t="str">
        <f aca="false">IFERROR(INDEX(Customers!$C$4:$C$1003,MATCH($B129,Customers!$A$4:$A$1003,0)),"")</f>
        <v/>
      </c>
      <c r="D129" s="28"/>
      <c r="E129" s="41"/>
      <c r="F129" s="29"/>
      <c r="G129" s="27"/>
      <c r="H129" s="27"/>
      <c r="I129" s="29"/>
      <c r="J129" s="27"/>
      <c r="K129" s="30" t="str">
        <f aca="true">IF(OR($A129="",$I129=""),"",IF($J129="Paid",0,IF(TODAY()&gt;$I129,TODAY()-$I129,0)))</f>
        <v/>
      </c>
      <c r="L129" s="34" t="str">
        <f aca="false">IFERROR(INDEX(Customers!$M$4:$M$1003,MATCH($B129,Customers!$A$4:$A$1003,0)),"")</f>
        <v/>
      </c>
      <c r="M129" s="34" t="str">
        <f aca="false">IFERROR(INDEX(Customers!$N$4:$N$1003,MATCH($B129,Customers!$A$4:$A$1003,0)),"")</f>
        <v/>
      </c>
      <c r="N129" s="28"/>
      <c r="O129" s="32"/>
      <c r="Q129" s="27"/>
      <c r="R129" s="29"/>
      <c r="S129" s="28"/>
      <c r="T129" s="32"/>
      <c r="U129" s="41"/>
      <c r="V129" s="27"/>
      <c r="W129" s="28"/>
      <c r="X129" s="28"/>
    </row>
    <row r="130" customFormat="false" ht="15.75" hidden="false" customHeight="true" outlineLevel="0" collapsed="false">
      <c r="A130" s="27"/>
      <c r="B130" s="27"/>
      <c r="C130" s="33" t="str">
        <f aca="false">IFERROR(INDEX(Customers!$C$4:$C$1003,MATCH($B130,Customers!$A$4:$A$1003,0)),"")</f>
        <v/>
      </c>
      <c r="D130" s="28"/>
      <c r="E130" s="41"/>
      <c r="F130" s="29"/>
      <c r="G130" s="27"/>
      <c r="H130" s="27"/>
      <c r="I130" s="29"/>
      <c r="J130" s="27"/>
      <c r="K130" s="30" t="str">
        <f aca="true">IF(OR($A130="",$I130=""),"",IF($J130="Paid",0,IF(TODAY()&gt;$I130,TODAY()-$I130,0)))</f>
        <v/>
      </c>
      <c r="L130" s="34" t="str">
        <f aca="false">IFERROR(INDEX(Customers!$M$4:$M$1003,MATCH($B130,Customers!$A$4:$A$1003,0)),"")</f>
        <v/>
      </c>
      <c r="M130" s="34" t="str">
        <f aca="false">IFERROR(INDEX(Customers!$N$4:$N$1003,MATCH($B130,Customers!$A$4:$A$1003,0)),"")</f>
        <v/>
      </c>
      <c r="N130" s="28"/>
      <c r="O130" s="32"/>
      <c r="Q130" s="27"/>
      <c r="R130" s="29"/>
      <c r="S130" s="28"/>
      <c r="T130" s="32"/>
      <c r="U130" s="41"/>
      <c r="V130" s="27"/>
      <c r="W130" s="28"/>
      <c r="X130" s="28"/>
    </row>
    <row r="131" customFormat="false" ht="15.75" hidden="false" customHeight="true" outlineLevel="0" collapsed="false">
      <c r="A131" s="27"/>
      <c r="B131" s="27"/>
      <c r="C131" s="33" t="str">
        <f aca="false">IFERROR(INDEX(Customers!$C$4:$C$1003,MATCH($B131,Customers!$A$4:$A$1003,0)),"")</f>
        <v/>
      </c>
      <c r="D131" s="28"/>
      <c r="E131" s="41"/>
      <c r="F131" s="29"/>
      <c r="G131" s="27"/>
      <c r="H131" s="27"/>
      <c r="I131" s="29"/>
      <c r="J131" s="27"/>
      <c r="K131" s="30" t="str">
        <f aca="true">IF(OR($A131="",$I131=""),"",IF($J131="Paid",0,IF(TODAY()&gt;$I131,TODAY()-$I131,0)))</f>
        <v/>
      </c>
      <c r="L131" s="34" t="str">
        <f aca="false">IFERROR(INDEX(Customers!$M$4:$M$1003,MATCH($B131,Customers!$A$4:$A$1003,0)),"")</f>
        <v/>
      </c>
      <c r="M131" s="34" t="str">
        <f aca="false">IFERROR(INDEX(Customers!$N$4:$N$1003,MATCH($B131,Customers!$A$4:$A$1003,0)),"")</f>
        <v/>
      </c>
      <c r="N131" s="28"/>
      <c r="O131" s="32"/>
      <c r="Q131" s="27"/>
      <c r="R131" s="29"/>
      <c r="S131" s="28"/>
      <c r="T131" s="32"/>
      <c r="U131" s="41"/>
      <c r="V131" s="27"/>
      <c r="W131" s="28"/>
      <c r="X131" s="28"/>
    </row>
    <row r="132" customFormat="false" ht="15.75" hidden="false" customHeight="true" outlineLevel="0" collapsed="false">
      <c r="A132" s="27"/>
      <c r="B132" s="27"/>
      <c r="C132" s="33" t="str">
        <f aca="false">IFERROR(INDEX(Customers!$C$4:$C$1003,MATCH($B132,Customers!$A$4:$A$1003,0)),"")</f>
        <v/>
      </c>
      <c r="D132" s="28"/>
      <c r="E132" s="41"/>
      <c r="F132" s="29"/>
      <c r="G132" s="27"/>
      <c r="H132" s="27"/>
      <c r="I132" s="29"/>
      <c r="J132" s="27"/>
      <c r="K132" s="30" t="str">
        <f aca="true">IF(OR($A132="",$I132=""),"",IF($J132="Paid",0,IF(TODAY()&gt;$I132,TODAY()-$I132,0)))</f>
        <v/>
      </c>
      <c r="L132" s="34" t="str">
        <f aca="false">IFERROR(INDEX(Customers!$M$4:$M$1003,MATCH($B132,Customers!$A$4:$A$1003,0)),"")</f>
        <v/>
      </c>
      <c r="M132" s="34" t="str">
        <f aca="false">IFERROR(INDEX(Customers!$N$4:$N$1003,MATCH($B132,Customers!$A$4:$A$1003,0)),"")</f>
        <v/>
      </c>
      <c r="N132" s="28"/>
      <c r="O132" s="32"/>
      <c r="Q132" s="27"/>
      <c r="R132" s="29"/>
      <c r="S132" s="28"/>
      <c r="T132" s="32"/>
      <c r="U132" s="41"/>
      <c r="V132" s="27"/>
      <c r="W132" s="28"/>
      <c r="X132" s="28"/>
    </row>
    <row r="133" customFormat="false" ht="15.75" hidden="false" customHeight="true" outlineLevel="0" collapsed="false">
      <c r="A133" s="27"/>
      <c r="B133" s="27"/>
      <c r="C133" s="33" t="str">
        <f aca="false">IFERROR(INDEX(Customers!$C$4:$C$1003,MATCH($B133,Customers!$A$4:$A$1003,0)),"")</f>
        <v/>
      </c>
      <c r="D133" s="28"/>
      <c r="E133" s="41"/>
      <c r="F133" s="29"/>
      <c r="G133" s="27"/>
      <c r="H133" s="27"/>
      <c r="I133" s="29"/>
      <c r="J133" s="27"/>
      <c r="K133" s="30" t="str">
        <f aca="true">IF(OR($A133="",$I133=""),"",IF($J133="Paid",0,IF(TODAY()&gt;$I133,TODAY()-$I133,0)))</f>
        <v/>
      </c>
      <c r="L133" s="34" t="str">
        <f aca="false">IFERROR(INDEX(Customers!$M$4:$M$1003,MATCH($B133,Customers!$A$4:$A$1003,0)),"")</f>
        <v/>
      </c>
      <c r="M133" s="34" t="str">
        <f aca="false">IFERROR(INDEX(Customers!$N$4:$N$1003,MATCH($B133,Customers!$A$4:$A$1003,0)),"")</f>
        <v/>
      </c>
      <c r="N133" s="28"/>
      <c r="O133" s="32"/>
      <c r="Q133" s="27"/>
      <c r="R133" s="29"/>
      <c r="S133" s="28"/>
      <c r="T133" s="32"/>
      <c r="U133" s="41"/>
      <c r="V133" s="27"/>
      <c r="W133" s="28"/>
      <c r="X133" s="28"/>
    </row>
    <row r="134" customFormat="false" ht="15.75" hidden="false" customHeight="true" outlineLevel="0" collapsed="false">
      <c r="A134" s="27"/>
      <c r="B134" s="27"/>
      <c r="C134" s="33" t="str">
        <f aca="false">IFERROR(INDEX(Customers!$C$4:$C$1003,MATCH($B134,Customers!$A$4:$A$1003,0)),"")</f>
        <v/>
      </c>
      <c r="D134" s="28"/>
      <c r="E134" s="41"/>
      <c r="F134" s="29"/>
      <c r="G134" s="27"/>
      <c r="H134" s="27"/>
      <c r="I134" s="29"/>
      <c r="J134" s="27"/>
      <c r="K134" s="30" t="str">
        <f aca="true">IF(OR($A134="",$I134=""),"",IF($J134="Paid",0,IF(TODAY()&gt;$I134,TODAY()-$I134,0)))</f>
        <v/>
      </c>
      <c r="L134" s="34" t="str">
        <f aca="false">IFERROR(INDEX(Customers!$M$4:$M$1003,MATCH($B134,Customers!$A$4:$A$1003,0)),"")</f>
        <v/>
      </c>
      <c r="M134" s="34" t="str">
        <f aca="false">IFERROR(INDEX(Customers!$N$4:$N$1003,MATCH($B134,Customers!$A$4:$A$1003,0)),"")</f>
        <v/>
      </c>
      <c r="N134" s="28"/>
      <c r="O134" s="32"/>
      <c r="Q134" s="27"/>
      <c r="R134" s="29"/>
      <c r="S134" s="28"/>
      <c r="T134" s="32"/>
      <c r="U134" s="41"/>
      <c r="V134" s="27"/>
      <c r="W134" s="28"/>
      <c r="X134" s="28"/>
    </row>
    <row r="135" customFormat="false" ht="15.75" hidden="false" customHeight="true" outlineLevel="0" collapsed="false">
      <c r="A135" s="27"/>
      <c r="B135" s="27"/>
      <c r="C135" s="33" t="str">
        <f aca="false">IFERROR(INDEX(Customers!$C$4:$C$1003,MATCH($B135,Customers!$A$4:$A$1003,0)),"")</f>
        <v/>
      </c>
      <c r="D135" s="28"/>
      <c r="E135" s="41"/>
      <c r="F135" s="29"/>
      <c r="G135" s="27"/>
      <c r="H135" s="27"/>
      <c r="I135" s="29"/>
      <c r="J135" s="27"/>
      <c r="K135" s="30" t="str">
        <f aca="true">IF(OR($A135="",$I135=""),"",IF($J135="Paid",0,IF(TODAY()&gt;$I135,TODAY()-$I135,0)))</f>
        <v/>
      </c>
      <c r="L135" s="34" t="str">
        <f aca="false">IFERROR(INDEX(Customers!$M$4:$M$1003,MATCH($B135,Customers!$A$4:$A$1003,0)),"")</f>
        <v/>
      </c>
      <c r="M135" s="34" t="str">
        <f aca="false">IFERROR(INDEX(Customers!$N$4:$N$1003,MATCH($B135,Customers!$A$4:$A$1003,0)),"")</f>
        <v/>
      </c>
      <c r="N135" s="28"/>
      <c r="O135" s="32"/>
      <c r="Q135" s="27"/>
      <c r="R135" s="29"/>
      <c r="S135" s="28"/>
      <c r="T135" s="32"/>
      <c r="U135" s="41"/>
      <c r="V135" s="27"/>
      <c r="W135" s="28"/>
      <c r="X135" s="28"/>
    </row>
    <row r="136" customFormat="false" ht="15.75" hidden="false" customHeight="true" outlineLevel="0" collapsed="false">
      <c r="A136" s="27"/>
      <c r="B136" s="27"/>
      <c r="C136" s="33" t="str">
        <f aca="false">IFERROR(INDEX(Customers!$C$4:$C$1003,MATCH($B136,Customers!$A$4:$A$1003,0)),"")</f>
        <v/>
      </c>
      <c r="D136" s="28"/>
      <c r="E136" s="41"/>
      <c r="F136" s="29"/>
      <c r="G136" s="27"/>
      <c r="H136" s="27"/>
      <c r="I136" s="29"/>
      <c r="J136" s="27"/>
      <c r="K136" s="30" t="str">
        <f aca="true">IF(OR($A136="",$I136=""),"",IF($J136="Paid",0,IF(TODAY()&gt;$I136,TODAY()-$I136,0)))</f>
        <v/>
      </c>
      <c r="L136" s="34" t="str">
        <f aca="false">IFERROR(INDEX(Customers!$M$4:$M$1003,MATCH($B136,Customers!$A$4:$A$1003,0)),"")</f>
        <v/>
      </c>
      <c r="M136" s="34" t="str">
        <f aca="false">IFERROR(INDEX(Customers!$N$4:$N$1003,MATCH($B136,Customers!$A$4:$A$1003,0)),"")</f>
        <v/>
      </c>
      <c r="N136" s="28"/>
      <c r="O136" s="32"/>
      <c r="Q136" s="27"/>
      <c r="R136" s="29"/>
      <c r="S136" s="28"/>
      <c r="T136" s="32"/>
      <c r="U136" s="41"/>
      <c r="V136" s="27"/>
      <c r="W136" s="28"/>
      <c r="X136" s="28"/>
    </row>
    <row r="137" customFormat="false" ht="15.75" hidden="false" customHeight="true" outlineLevel="0" collapsed="false">
      <c r="A137" s="27"/>
      <c r="B137" s="27"/>
      <c r="C137" s="33" t="str">
        <f aca="false">IFERROR(INDEX(Customers!$C$4:$C$1003,MATCH($B137,Customers!$A$4:$A$1003,0)),"")</f>
        <v/>
      </c>
      <c r="D137" s="28"/>
      <c r="E137" s="41"/>
      <c r="F137" s="29"/>
      <c r="G137" s="27"/>
      <c r="H137" s="27"/>
      <c r="I137" s="29"/>
      <c r="J137" s="27"/>
      <c r="K137" s="30" t="str">
        <f aca="true">IF(OR($A137="",$I137=""),"",IF($J137="Paid",0,IF(TODAY()&gt;$I137,TODAY()-$I137,0)))</f>
        <v/>
      </c>
      <c r="L137" s="34" t="str">
        <f aca="false">IFERROR(INDEX(Customers!$M$4:$M$1003,MATCH($B137,Customers!$A$4:$A$1003,0)),"")</f>
        <v/>
      </c>
      <c r="M137" s="34" t="str">
        <f aca="false">IFERROR(INDEX(Customers!$N$4:$N$1003,MATCH($B137,Customers!$A$4:$A$1003,0)),"")</f>
        <v/>
      </c>
      <c r="N137" s="28"/>
      <c r="O137" s="32"/>
      <c r="Q137" s="27"/>
      <c r="R137" s="29"/>
      <c r="S137" s="28"/>
      <c r="T137" s="32"/>
      <c r="U137" s="41"/>
      <c r="V137" s="27"/>
      <c r="W137" s="28"/>
      <c r="X137" s="28"/>
    </row>
    <row r="138" customFormat="false" ht="15.75" hidden="false" customHeight="true" outlineLevel="0" collapsed="false">
      <c r="A138" s="27"/>
      <c r="B138" s="27"/>
      <c r="C138" s="33" t="str">
        <f aca="false">IFERROR(INDEX(Customers!$C$4:$C$1003,MATCH($B138,Customers!$A$4:$A$1003,0)),"")</f>
        <v/>
      </c>
      <c r="D138" s="28"/>
      <c r="E138" s="41"/>
      <c r="F138" s="29"/>
      <c r="G138" s="27"/>
      <c r="H138" s="27"/>
      <c r="I138" s="29"/>
      <c r="J138" s="27"/>
      <c r="K138" s="30" t="str">
        <f aca="true">IF(OR($A138="",$I138=""),"",IF($J138="Paid",0,IF(TODAY()&gt;$I138,TODAY()-$I138,0)))</f>
        <v/>
      </c>
      <c r="L138" s="34" t="str">
        <f aca="false">IFERROR(INDEX(Customers!$M$4:$M$1003,MATCH($B138,Customers!$A$4:$A$1003,0)),"")</f>
        <v/>
      </c>
      <c r="M138" s="34" t="str">
        <f aca="false">IFERROR(INDEX(Customers!$N$4:$N$1003,MATCH($B138,Customers!$A$4:$A$1003,0)),"")</f>
        <v/>
      </c>
      <c r="N138" s="28"/>
      <c r="O138" s="32"/>
      <c r="Q138" s="27"/>
      <c r="R138" s="29"/>
      <c r="S138" s="28"/>
      <c r="T138" s="32"/>
      <c r="U138" s="41"/>
      <c r="V138" s="27"/>
      <c r="W138" s="28"/>
      <c r="X138" s="28"/>
    </row>
    <row r="139" customFormat="false" ht="15.75" hidden="false" customHeight="true" outlineLevel="0" collapsed="false">
      <c r="A139" s="27"/>
      <c r="B139" s="27"/>
      <c r="C139" s="33" t="str">
        <f aca="false">IFERROR(INDEX(Customers!$C$4:$C$1003,MATCH($B139,Customers!$A$4:$A$1003,0)),"")</f>
        <v/>
      </c>
      <c r="D139" s="28"/>
      <c r="E139" s="41"/>
      <c r="F139" s="29"/>
      <c r="G139" s="27"/>
      <c r="H139" s="27"/>
      <c r="I139" s="29"/>
      <c r="J139" s="27"/>
      <c r="K139" s="30" t="str">
        <f aca="true">IF(OR($A139="",$I139=""),"",IF($J139="Paid",0,IF(TODAY()&gt;$I139,TODAY()-$I139,0)))</f>
        <v/>
      </c>
      <c r="L139" s="34" t="str">
        <f aca="false">IFERROR(INDEX(Customers!$M$4:$M$1003,MATCH($B139,Customers!$A$4:$A$1003,0)),"")</f>
        <v/>
      </c>
      <c r="M139" s="34" t="str">
        <f aca="false">IFERROR(INDEX(Customers!$N$4:$N$1003,MATCH($B139,Customers!$A$4:$A$1003,0)),"")</f>
        <v/>
      </c>
      <c r="N139" s="28"/>
      <c r="O139" s="32"/>
      <c r="Q139" s="27"/>
      <c r="R139" s="29"/>
      <c r="S139" s="28"/>
      <c r="T139" s="32"/>
      <c r="U139" s="41"/>
      <c r="V139" s="27"/>
      <c r="W139" s="28"/>
      <c r="X139" s="28"/>
    </row>
    <row r="140" customFormat="false" ht="15.75" hidden="false" customHeight="true" outlineLevel="0" collapsed="false">
      <c r="A140" s="27"/>
      <c r="B140" s="27"/>
      <c r="C140" s="33" t="str">
        <f aca="false">IFERROR(INDEX(Customers!$C$4:$C$1003,MATCH($B140,Customers!$A$4:$A$1003,0)),"")</f>
        <v/>
      </c>
      <c r="D140" s="28"/>
      <c r="E140" s="41"/>
      <c r="F140" s="29"/>
      <c r="G140" s="27"/>
      <c r="H140" s="27"/>
      <c r="I140" s="29"/>
      <c r="J140" s="27"/>
      <c r="K140" s="30" t="str">
        <f aca="true">IF(OR($A140="",$I140=""),"",IF($J140="Paid",0,IF(TODAY()&gt;$I140,TODAY()-$I140,0)))</f>
        <v/>
      </c>
      <c r="L140" s="34" t="str">
        <f aca="false">IFERROR(INDEX(Customers!$M$4:$M$1003,MATCH($B140,Customers!$A$4:$A$1003,0)),"")</f>
        <v/>
      </c>
      <c r="M140" s="34" t="str">
        <f aca="false">IFERROR(INDEX(Customers!$N$4:$N$1003,MATCH($B140,Customers!$A$4:$A$1003,0)),"")</f>
        <v/>
      </c>
      <c r="N140" s="28"/>
      <c r="O140" s="32"/>
      <c r="Q140" s="27"/>
      <c r="R140" s="29"/>
      <c r="S140" s="28"/>
      <c r="T140" s="32"/>
      <c r="U140" s="41"/>
      <c r="V140" s="27"/>
      <c r="W140" s="28"/>
      <c r="X140" s="28"/>
    </row>
    <row r="141" customFormat="false" ht="15.75" hidden="false" customHeight="true" outlineLevel="0" collapsed="false">
      <c r="A141" s="27"/>
      <c r="B141" s="27"/>
      <c r="C141" s="33" t="str">
        <f aca="false">IFERROR(INDEX(Customers!$C$4:$C$1003,MATCH($B141,Customers!$A$4:$A$1003,0)),"")</f>
        <v/>
      </c>
      <c r="D141" s="28"/>
      <c r="E141" s="41"/>
      <c r="F141" s="29"/>
      <c r="G141" s="27"/>
      <c r="H141" s="27"/>
      <c r="I141" s="29"/>
      <c r="J141" s="27"/>
      <c r="K141" s="30" t="str">
        <f aca="true">IF(OR($A141="",$I141=""),"",IF($J141="Paid",0,IF(TODAY()&gt;$I141,TODAY()-$I141,0)))</f>
        <v/>
      </c>
      <c r="L141" s="34" t="str">
        <f aca="false">IFERROR(INDEX(Customers!$M$4:$M$1003,MATCH($B141,Customers!$A$4:$A$1003,0)),"")</f>
        <v/>
      </c>
      <c r="M141" s="34" t="str">
        <f aca="false">IFERROR(INDEX(Customers!$N$4:$N$1003,MATCH($B141,Customers!$A$4:$A$1003,0)),"")</f>
        <v/>
      </c>
      <c r="N141" s="28"/>
      <c r="O141" s="32"/>
      <c r="Q141" s="27"/>
      <c r="R141" s="29"/>
      <c r="S141" s="28"/>
      <c r="T141" s="32"/>
      <c r="U141" s="41"/>
      <c r="V141" s="27"/>
      <c r="W141" s="28"/>
      <c r="X141" s="28"/>
    </row>
    <row r="142" customFormat="false" ht="15.75" hidden="false" customHeight="true" outlineLevel="0" collapsed="false">
      <c r="A142" s="27"/>
      <c r="B142" s="27"/>
      <c r="C142" s="33" t="str">
        <f aca="false">IFERROR(INDEX(Customers!$C$4:$C$1003,MATCH($B142,Customers!$A$4:$A$1003,0)),"")</f>
        <v/>
      </c>
      <c r="D142" s="28"/>
      <c r="E142" s="41"/>
      <c r="F142" s="29"/>
      <c r="G142" s="27"/>
      <c r="H142" s="27"/>
      <c r="I142" s="29"/>
      <c r="J142" s="27"/>
      <c r="K142" s="30" t="str">
        <f aca="true">IF(OR($A142="",$I142=""),"",IF($J142="Paid",0,IF(TODAY()&gt;$I142,TODAY()-$I142,0)))</f>
        <v/>
      </c>
      <c r="L142" s="34" t="str">
        <f aca="false">IFERROR(INDEX(Customers!$M$4:$M$1003,MATCH($B142,Customers!$A$4:$A$1003,0)),"")</f>
        <v/>
      </c>
      <c r="M142" s="34" t="str">
        <f aca="false">IFERROR(INDEX(Customers!$N$4:$N$1003,MATCH($B142,Customers!$A$4:$A$1003,0)),"")</f>
        <v/>
      </c>
      <c r="N142" s="28"/>
      <c r="O142" s="32"/>
      <c r="Q142" s="27"/>
      <c r="R142" s="29"/>
      <c r="S142" s="28"/>
      <c r="T142" s="32"/>
      <c r="U142" s="41"/>
      <c r="V142" s="27"/>
      <c r="W142" s="28"/>
      <c r="X142" s="28"/>
    </row>
    <row r="143" customFormat="false" ht="15.75" hidden="false" customHeight="true" outlineLevel="0" collapsed="false">
      <c r="A143" s="27"/>
      <c r="B143" s="27"/>
      <c r="C143" s="33" t="str">
        <f aca="false">IFERROR(INDEX(Customers!$C$4:$C$1003,MATCH($B143,Customers!$A$4:$A$1003,0)),"")</f>
        <v/>
      </c>
      <c r="D143" s="28"/>
      <c r="E143" s="41"/>
      <c r="F143" s="29"/>
      <c r="G143" s="27"/>
      <c r="H143" s="27"/>
      <c r="I143" s="29"/>
      <c r="J143" s="27"/>
      <c r="K143" s="30" t="str">
        <f aca="true">IF(OR($A143="",$I143=""),"",IF($J143="Paid",0,IF(TODAY()&gt;$I143,TODAY()-$I143,0)))</f>
        <v/>
      </c>
      <c r="L143" s="34" t="str">
        <f aca="false">IFERROR(INDEX(Customers!$M$4:$M$1003,MATCH($B143,Customers!$A$4:$A$1003,0)),"")</f>
        <v/>
      </c>
      <c r="M143" s="34" t="str">
        <f aca="false">IFERROR(INDEX(Customers!$N$4:$N$1003,MATCH($B143,Customers!$A$4:$A$1003,0)),"")</f>
        <v/>
      </c>
      <c r="N143" s="28"/>
      <c r="O143" s="32"/>
      <c r="Q143" s="27"/>
      <c r="R143" s="29"/>
      <c r="S143" s="28"/>
      <c r="T143" s="32"/>
      <c r="U143" s="41"/>
      <c r="V143" s="27"/>
      <c r="W143" s="28"/>
      <c r="X143" s="28"/>
    </row>
    <row r="144" customFormat="false" ht="15.75" hidden="false" customHeight="true" outlineLevel="0" collapsed="false">
      <c r="A144" s="27"/>
      <c r="B144" s="27"/>
      <c r="C144" s="33" t="str">
        <f aca="false">IFERROR(INDEX(Customers!$C$4:$C$1003,MATCH($B144,Customers!$A$4:$A$1003,0)),"")</f>
        <v/>
      </c>
      <c r="D144" s="28"/>
      <c r="E144" s="41"/>
      <c r="F144" s="29"/>
      <c r="G144" s="27"/>
      <c r="H144" s="27"/>
      <c r="I144" s="29"/>
      <c r="J144" s="27"/>
      <c r="K144" s="30" t="str">
        <f aca="true">IF(OR($A144="",$I144=""),"",IF($J144="Paid",0,IF(TODAY()&gt;$I144,TODAY()-$I144,0)))</f>
        <v/>
      </c>
      <c r="L144" s="34" t="str">
        <f aca="false">IFERROR(INDEX(Customers!$M$4:$M$1003,MATCH($B144,Customers!$A$4:$A$1003,0)),"")</f>
        <v/>
      </c>
      <c r="M144" s="34" t="str">
        <f aca="false">IFERROR(INDEX(Customers!$N$4:$N$1003,MATCH($B144,Customers!$A$4:$A$1003,0)),"")</f>
        <v/>
      </c>
      <c r="N144" s="28"/>
      <c r="O144" s="32"/>
      <c r="Q144" s="27"/>
      <c r="R144" s="29"/>
      <c r="S144" s="28"/>
      <c r="T144" s="32"/>
      <c r="U144" s="41"/>
      <c r="V144" s="27"/>
      <c r="W144" s="28"/>
      <c r="X144" s="28"/>
    </row>
    <row r="145" customFormat="false" ht="15.75" hidden="false" customHeight="true" outlineLevel="0" collapsed="false">
      <c r="A145" s="27"/>
      <c r="B145" s="27"/>
      <c r="C145" s="33" t="str">
        <f aca="false">IFERROR(INDEX(Customers!$C$4:$C$1003,MATCH($B145,Customers!$A$4:$A$1003,0)),"")</f>
        <v/>
      </c>
      <c r="D145" s="28"/>
      <c r="E145" s="41"/>
      <c r="F145" s="29"/>
      <c r="G145" s="27"/>
      <c r="H145" s="27"/>
      <c r="I145" s="29"/>
      <c r="J145" s="27"/>
      <c r="K145" s="30" t="str">
        <f aca="true">IF(OR($A145="",$I145=""),"",IF($J145="Paid",0,IF(TODAY()&gt;$I145,TODAY()-$I145,0)))</f>
        <v/>
      </c>
      <c r="L145" s="34" t="str">
        <f aca="false">IFERROR(INDEX(Customers!$M$4:$M$1003,MATCH($B145,Customers!$A$4:$A$1003,0)),"")</f>
        <v/>
      </c>
      <c r="M145" s="34" t="str">
        <f aca="false">IFERROR(INDEX(Customers!$N$4:$N$1003,MATCH($B145,Customers!$A$4:$A$1003,0)),"")</f>
        <v/>
      </c>
      <c r="N145" s="28"/>
      <c r="O145" s="32"/>
      <c r="Q145" s="27"/>
      <c r="R145" s="29"/>
      <c r="S145" s="28"/>
      <c r="T145" s="32"/>
      <c r="U145" s="41"/>
      <c r="V145" s="27"/>
      <c r="W145" s="28"/>
      <c r="X145" s="28"/>
    </row>
    <row r="146" customFormat="false" ht="15.75" hidden="false" customHeight="true" outlineLevel="0" collapsed="false">
      <c r="A146" s="27"/>
      <c r="B146" s="27"/>
      <c r="C146" s="33" t="str">
        <f aca="false">IFERROR(INDEX(Customers!$C$4:$C$1003,MATCH($B146,Customers!$A$4:$A$1003,0)),"")</f>
        <v/>
      </c>
      <c r="D146" s="28"/>
      <c r="E146" s="41"/>
      <c r="F146" s="29"/>
      <c r="G146" s="27"/>
      <c r="H146" s="27"/>
      <c r="I146" s="29"/>
      <c r="J146" s="27"/>
      <c r="K146" s="30" t="str">
        <f aca="true">IF(OR($A146="",$I146=""),"",IF($J146="Paid",0,IF(TODAY()&gt;$I146,TODAY()-$I146,0)))</f>
        <v/>
      </c>
      <c r="L146" s="34" t="str">
        <f aca="false">IFERROR(INDEX(Customers!$M$4:$M$1003,MATCH($B146,Customers!$A$4:$A$1003,0)),"")</f>
        <v/>
      </c>
      <c r="M146" s="34" t="str">
        <f aca="false">IFERROR(INDEX(Customers!$N$4:$N$1003,MATCH($B146,Customers!$A$4:$A$1003,0)),"")</f>
        <v/>
      </c>
      <c r="N146" s="28"/>
      <c r="O146" s="32"/>
      <c r="Q146" s="27"/>
      <c r="R146" s="29"/>
      <c r="S146" s="28"/>
      <c r="T146" s="32"/>
      <c r="U146" s="41"/>
      <c r="V146" s="27"/>
      <c r="W146" s="28"/>
      <c r="X146" s="28"/>
    </row>
    <row r="147" customFormat="false" ht="15.75" hidden="false" customHeight="true" outlineLevel="0" collapsed="false">
      <c r="A147" s="27"/>
      <c r="B147" s="27"/>
      <c r="C147" s="33" t="str">
        <f aca="false">IFERROR(INDEX(Customers!$C$4:$C$1003,MATCH($B147,Customers!$A$4:$A$1003,0)),"")</f>
        <v/>
      </c>
      <c r="D147" s="28"/>
      <c r="E147" s="41"/>
      <c r="F147" s="29"/>
      <c r="G147" s="27"/>
      <c r="H147" s="27"/>
      <c r="I147" s="29"/>
      <c r="J147" s="27"/>
      <c r="K147" s="30" t="str">
        <f aca="true">IF(OR($A147="",$I147=""),"",IF($J147="Paid",0,IF(TODAY()&gt;$I147,TODAY()-$I147,0)))</f>
        <v/>
      </c>
      <c r="L147" s="34" t="str">
        <f aca="false">IFERROR(INDEX(Customers!$M$4:$M$1003,MATCH($B147,Customers!$A$4:$A$1003,0)),"")</f>
        <v/>
      </c>
      <c r="M147" s="34" t="str">
        <f aca="false">IFERROR(INDEX(Customers!$N$4:$N$1003,MATCH($B147,Customers!$A$4:$A$1003,0)),"")</f>
        <v/>
      </c>
      <c r="N147" s="28"/>
      <c r="O147" s="32"/>
      <c r="Q147" s="27"/>
      <c r="R147" s="29"/>
      <c r="S147" s="28"/>
      <c r="T147" s="32"/>
      <c r="U147" s="41"/>
      <c r="V147" s="27"/>
      <c r="W147" s="28"/>
      <c r="X147" s="28"/>
    </row>
    <row r="148" customFormat="false" ht="15.75" hidden="false" customHeight="true" outlineLevel="0" collapsed="false">
      <c r="A148" s="27"/>
      <c r="B148" s="27"/>
      <c r="C148" s="33" t="str">
        <f aca="false">IFERROR(INDEX(Customers!$C$4:$C$1003,MATCH($B148,Customers!$A$4:$A$1003,0)),"")</f>
        <v/>
      </c>
      <c r="D148" s="28"/>
      <c r="E148" s="41"/>
      <c r="F148" s="29"/>
      <c r="G148" s="27"/>
      <c r="H148" s="27"/>
      <c r="I148" s="29"/>
      <c r="J148" s="27"/>
      <c r="K148" s="30" t="str">
        <f aca="true">IF(OR($A148="",$I148=""),"",IF($J148="Paid",0,IF(TODAY()&gt;$I148,TODAY()-$I148,0)))</f>
        <v/>
      </c>
      <c r="L148" s="34" t="str">
        <f aca="false">IFERROR(INDEX(Customers!$M$4:$M$1003,MATCH($B148,Customers!$A$4:$A$1003,0)),"")</f>
        <v/>
      </c>
      <c r="M148" s="34" t="str">
        <f aca="false">IFERROR(INDEX(Customers!$N$4:$N$1003,MATCH($B148,Customers!$A$4:$A$1003,0)),"")</f>
        <v/>
      </c>
      <c r="N148" s="28"/>
      <c r="O148" s="32"/>
      <c r="Q148" s="27"/>
      <c r="R148" s="29"/>
      <c r="S148" s="28"/>
      <c r="T148" s="32"/>
      <c r="U148" s="41"/>
      <c r="V148" s="27"/>
      <c r="W148" s="28"/>
      <c r="X148" s="28"/>
    </row>
    <row r="149" customFormat="false" ht="15.75" hidden="false" customHeight="true" outlineLevel="0" collapsed="false">
      <c r="A149" s="27"/>
      <c r="B149" s="27"/>
      <c r="C149" s="33" t="str">
        <f aca="false">IFERROR(INDEX(Customers!$C$4:$C$1003,MATCH($B149,Customers!$A$4:$A$1003,0)),"")</f>
        <v/>
      </c>
      <c r="D149" s="28"/>
      <c r="E149" s="41"/>
      <c r="F149" s="29"/>
      <c r="G149" s="27"/>
      <c r="H149" s="27"/>
      <c r="I149" s="29"/>
      <c r="J149" s="27"/>
      <c r="K149" s="30" t="str">
        <f aca="true">IF(OR($A149="",$I149=""),"",IF($J149="Paid",0,IF(TODAY()&gt;$I149,TODAY()-$I149,0)))</f>
        <v/>
      </c>
      <c r="L149" s="34" t="str">
        <f aca="false">IFERROR(INDEX(Customers!$M$4:$M$1003,MATCH($B149,Customers!$A$4:$A$1003,0)),"")</f>
        <v/>
      </c>
      <c r="M149" s="34" t="str">
        <f aca="false">IFERROR(INDEX(Customers!$N$4:$N$1003,MATCH($B149,Customers!$A$4:$A$1003,0)),"")</f>
        <v/>
      </c>
      <c r="N149" s="28"/>
      <c r="O149" s="32"/>
      <c r="Q149" s="27"/>
      <c r="R149" s="29"/>
      <c r="S149" s="28"/>
      <c r="T149" s="32"/>
      <c r="U149" s="41"/>
      <c r="V149" s="27"/>
      <c r="W149" s="28"/>
      <c r="X149" s="28"/>
    </row>
    <row r="150" customFormat="false" ht="15.75" hidden="false" customHeight="true" outlineLevel="0" collapsed="false">
      <c r="A150" s="27"/>
      <c r="B150" s="27"/>
      <c r="C150" s="33" t="str">
        <f aca="false">IFERROR(INDEX(Customers!$C$4:$C$1003,MATCH($B150,Customers!$A$4:$A$1003,0)),"")</f>
        <v/>
      </c>
      <c r="D150" s="28"/>
      <c r="E150" s="41"/>
      <c r="F150" s="29"/>
      <c r="G150" s="27"/>
      <c r="H150" s="27"/>
      <c r="I150" s="29"/>
      <c r="J150" s="27"/>
      <c r="K150" s="30" t="str">
        <f aca="true">IF(OR($A150="",$I150=""),"",IF($J150="Paid",0,IF(TODAY()&gt;$I150,TODAY()-$I150,0)))</f>
        <v/>
      </c>
      <c r="L150" s="34" t="str">
        <f aca="false">IFERROR(INDEX(Customers!$M$4:$M$1003,MATCH($B150,Customers!$A$4:$A$1003,0)),"")</f>
        <v/>
      </c>
      <c r="M150" s="34" t="str">
        <f aca="false">IFERROR(INDEX(Customers!$N$4:$N$1003,MATCH($B150,Customers!$A$4:$A$1003,0)),"")</f>
        <v/>
      </c>
      <c r="N150" s="28"/>
      <c r="O150" s="32"/>
      <c r="Q150" s="27"/>
      <c r="R150" s="29"/>
      <c r="S150" s="28"/>
      <c r="T150" s="32"/>
      <c r="U150" s="41"/>
      <c r="V150" s="27"/>
      <c r="W150" s="28"/>
      <c r="X150" s="28"/>
    </row>
    <row r="151" customFormat="false" ht="15.75" hidden="false" customHeight="true" outlineLevel="0" collapsed="false">
      <c r="A151" s="27"/>
      <c r="B151" s="27"/>
      <c r="C151" s="33" t="str">
        <f aca="false">IFERROR(INDEX(Customers!$C$4:$C$1003,MATCH($B151,Customers!$A$4:$A$1003,0)),"")</f>
        <v/>
      </c>
      <c r="D151" s="28"/>
      <c r="E151" s="41"/>
      <c r="F151" s="29"/>
      <c r="G151" s="27"/>
      <c r="H151" s="27"/>
      <c r="I151" s="29"/>
      <c r="J151" s="27"/>
      <c r="K151" s="30" t="str">
        <f aca="true">IF(OR($A151="",$I151=""),"",IF($J151="Paid",0,IF(TODAY()&gt;$I151,TODAY()-$I151,0)))</f>
        <v/>
      </c>
      <c r="L151" s="34" t="str">
        <f aca="false">IFERROR(INDEX(Customers!$M$4:$M$1003,MATCH($B151,Customers!$A$4:$A$1003,0)),"")</f>
        <v/>
      </c>
      <c r="M151" s="34" t="str">
        <f aca="false">IFERROR(INDEX(Customers!$N$4:$N$1003,MATCH($B151,Customers!$A$4:$A$1003,0)),"")</f>
        <v/>
      </c>
      <c r="N151" s="28"/>
      <c r="O151" s="32"/>
      <c r="Q151" s="27"/>
      <c r="R151" s="29"/>
      <c r="S151" s="28"/>
      <c r="T151" s="32"/>
      <c r="U151" s="41"/>
      <c r="V151" s="27"/>
      <c r="W151" s="28"/>
      <c r="X151" s="28"/>
    </row>
    <row r="152" customFormat="false" ht="15.75" hidden="false" customHeight="true" outlineLevel="0" collapsed="false">
      <c r="A152" s="27"/>
      <c r="B152" s="27"/>
      <c r="C152" s="33" t="str">
        <f aca="false">IFERROR(INDEX(Customers!$C$4:$C$1003,MATCH($B152,Customers!$A$4:$A$1003,0)),"")</f>
        <v/>
      </c>
      <c r="D152" s="28"/>
      <c r="E152" s="41"/>
      <c r="F152" s="29"/>
      <c r="G152" s="27"/>
      <c r="H152" s="27"/>
      <c r="I152" s="29"/>
      <c r="J152" s="27"/>
      <c r="K152" s="30" t="str">
        <f aca="true">IF(OR($A152="",$I152=""),"",IF($J152="Paid",0,IF(TODAY()&gt;$I152,TODAY()-$I152,0)))</f>
        <v/>
      </c>
      <c r="L152" s="34" t="str">
        <f aca="false">IFERROR(INDEX(Customers!$M$4:$M$1003,MATCH($B152,Customers!$A$4:$A$1003,0)),"")</f>
        <v/>
      </c>
      <c r="M152" s="34" t="str">
        <f aca="false">IFERROR(INDEX(Customers!$N$4:$N$1003,MATCH($B152,Customers!$A$4:$A$1003,0)),"")</f>
        <v/>
      </c>
      <c r="N152" s="28"/>
      <c r="O152" s="32"/>
      <c r="Q152" s="27"/>
      <c r="R152" s="29"/>
      <c r="S152" s="28"/>
      <c r="T152" s="32"/>
      <c r="U152" s="41"/>
      <c r="V152" s="27"/>
      <c r="W152" s="28"/>
      <c r="X152" s="28"/>
    </row>
    <row r="153" customFormat="false" ht="15.75" hidden="false" customHeight="true" outlineLevel="0" collapsed="false">
      <c r="A153" s="27"/>
      <c r="B153" s="27"/>
      <c r="C153" s="33" t="str">
        <f aca="false">IFERROR(INDEX(Customers!$C$4:$C$1003,MATCH($B153,Customers!$A$4:$A$1003,0)),"")</f>
        <v/>
      </c>
      <c r="D153" s="28"/>
      <c r="E153" s="41"/>
      <c r="F153" s="29"/>
      <c r="G153" s="27"/>
      <c r="H153" s="27"/>
      <c r="I153" s="29"/>
      <c r="J153" s="27"/>
      <c r="K153" s="30" t="str">
        <f aca="true">IF(OR($A153="",$I153=""),"",IF($J153="Paid",0,IF(TODAY()&gt;$I153,TODAY()-$I153,0)))</f>
        <v/>
      </c>
      <c r="L153" s="34" t="str">
        <f aca="false">IFERROR(INDEX(Customers!$M$4:$M$1003,MATCH($B153,Customers!$A$4:$A$1003,0)),"")</f>
        <v/>
      </c>
      <c r="M153" s="34" t="str">
        <f aca="false">IFERROR(INDEX(Customers!$N$4:$N$1003,MATCH($B153,Customers!$A$4:$A$1003,0)),"")</f>
        <v/>
      </c>
      <c r="N153" s="28"/>
      <c r="O153" s="32"/>
      <c r="Q153" s="27"/>
      <c r="R153" s="29"/>
      <c r="S153" s="28"/>
      <c r="T153" s="32"/>
      <c r="U153" s="41"/>
      <c r="V153" s="27"/>
      <c r="W153" s="28"/>
      <c r="X153" s="28"/>
    </row>
    <row r="154" customFormat="false" ht="15.75" hidden="false" customHeight="true" outlineLevel="0" collapsed="false">
      <c r="A154" s="27"/>
      <c r="B154" s="27"/>
      <c r="C154" s="33" t="str">
        <f aca="false">IFERROR(INDEX(Customers!$C$4:$C$1003,MATCH($B154,Customers!$A$4:$A$1003,0)),"")</f>
        <v/>
      </c>
      <c r="D154" s="28"/>
      <c r="E154" s="41"/>
      <c r="F154" s="29"/>
      <c r="G154" s="27"/>
      <c r="H154" s="27"/>
      <c r="I154" s="29"/>
      <c r="J154" s="27"/>
      <c r="K154" s="30" t="str">
        <f aca="true">IF(OR($A154="",$I154=""),"",IF($J154="Paid",0,IF(TODAY()&gt;$I154,TODAY()-$I154,0)))</f>
        <v/>
      </c>
      <c r="L154" s="34" t="str">
        <f aca="false">IFERROR(INDEX(Customers!$M$4:$M$1003,MATCH($B154,Customers!$A$4:$A$1003,0)),"")</f>
        <v/>
      </c>
      <c r="M154" s="34" t="str">
        <f aca="false">IFERROR(INDEX(Customers!$N$4:$N$1003,MATCH($B154,Customers!$A$4:$A$1003,0)),"")</f>
        <v/>
      </c>
      <c r="N154" s="28"/>
      <c r="O154" s="32"/>
      <c r="Q154" s="27"/>
      <c r="R154" s="29"/>
      <c r="S154" s="28"/>
      <c r="T154" s="32"/>
      <c r="U154" s="41"/>
      <c r="V154" s="27"/>
      <c r="W154" s="28"/>
      <c r="X154" s="28"/>
    </row>
    <row r="155" customFormat="false" ht="15.75" hidden="false" customHeight="true" outlineLevel="0" collapsed="false">
      <c r="A155" s="27"/>
      <c r="B155" s="27"/>
      <c r="C155" s="33" t="str">
        <f aca="false">IFERROR(INDEX(Customers!$C$4:$C$1003,MATCH($B155,Customers!$A$4:$A$1003,0)),"")</f>
        <v/>
      </c>
      <c r="D155" s="28"/>
      <c r="E155" s="41"/>
      <c r="F155" s="29"/>
      <c r="G155" s="27"/>
      <c r="H155" s="27"/>
      <c r="I155" s="29"/>
      <c r="J155" s="27"/>
      <c r="K155" s="30" t="str">
        <f aca="true">IF(OR($A155="",$I155=""),"",IF($J155="Paid",0,IF(TODAY()&gt;$I155,TODAY()-$I155,0)))</f>
        <v/>
      </c>
      <c r="L155" s="34" t="str">
        <f aca="false">IFERROR(INDEX(Customers!$M$4:$M$1003,MATCH($B155,Customers!$A$4:$A$1003,0)),"")</f>
        <v/>
      </c>
      <c r="M155" s="34" t="str">
        <f aca="false">IFERROR(INDEX(Customers!$N$4:$N$1003,MATCH($B155,Customers!$A$4:$A$1003,0)),"")</f>
        <v/>
      </c>
      <c r="N155" s="28"/>
      <c r="O155" s="32"/>
      <c r="Q155" s="27"/>
      <c r="R155" s="29"/>
      <c r="S155" s="28"/>
      <c r="T155" s="32"/>
      <c r="U155" s="41"/>
      <c r="V155" s="27"/>
      <c r="W155" s="28"/>
      <c r="X155" s="28"/>
    </row>
    <row r="156" customFormat="false" ht="15.75" hidden="false" customHeight="true" outlineLevel="0" collapsed="false">
      <c r="A156" s="27"/>
      <c r="B156" s="27"/>
      <c r="C156" s="33" t="str">
        <f aca="false">IFERROR(INDEX(Customers!$C$4:$C$1003,MATCH($B156,Customers!$A$4:$A$1003,0)),"")</f>
        <v/>
      </c>
      <c r="D156" s="28"/>
      <c r="E156" s="41"/>
      <c r="F156" s="29"/>
      <c r="G156" s="27"/>
      <c r="H156" s="27"/>
      <c r="I156" s="29"/>
      <c r="J156" s="27"/>
      <c r="K156" s="30" t="str">
        <f aca="true">IF(OR($A156="",$I156=""),"",IF($J156="Paid",0,IF(TODAY()&gt;$I156,TODAY()-$I156,0)))</f>
        <v/>
      </c>
      <c r="L156" s="34" t="str">
        <f aca="false">IFERROR(INDEX(Customers!$M$4:$M$1003,MATCH($B156,Customers!$A$4:$A$1003,0)),"")</f>
        <v/>
      </c>
      <c r="M156" s="34" t="str">
        <f aca="false">IFERROR(INDEX(Customers!$N$4:$N$1003,MATCH($B156,Customers!$A$4:$A$1003,0)),"")</f>
        <v/>
      </c>
      <c r="N156" s="28"/>
      <c r="O156" s="32"/>
      <c r="Q156" s="27"/>
      <c r="R156" s="29"/>
      <c r="S156" s="28"/>
      <c r="T156" s="32"/>
      <c r="U156" s="41"/>
      <c r="V156" s="27"/>
      <c r="W156" s="28"/>
      <c r="X156" s="28"/>
    </row>
    <row r="157" customFormat="false" ht="15.75" hidden="false" customHeight="true" outlineLevel="0" collapsed="false">
      <c r="A157" s="27"/>
      <c r="B157" s="27"/>
      <c r="C157" s="33" t="str">
        <f aca="false">IFERROR(INDEX(Customers!$C$4:$C$1003,MATCH($B157,Customers!$A$4:$A$1003,0)),"")</f>
        <v/>
      </c>
      <c r="D157" s="28"/>
      <c r="E157" s="41"/>
      <c r="F157" s="29"/>
      <c r="G157" s="27"/>
      <c r="H157" s="27"/>
      <c r="I157" s="29"/>
      <c r="J157" s="27"/>
      <c r="K157" s="30" t="str">
        <f aca="true">IF(OR($A157="",$I157=""),"",IF($J157="Paid",0,IF(TODAY()&gt;$I157,TODAY()-$I157,0)))</f>
        <v/>
      </c>
      <c r="L157" s="34" t="str">
        <f aca="false">IFERROR(INDEX(Customers!$M$4:$M$1003,MATCH($B157,Customers!$A$4:$A$1003,0)),"")</f>
        <v/>
      </c>
      <c r="M157" s="34" t="str">
        <f aca="false">IFERROR(INDEX(Customers!$N$4:$N$1003,MATCH($B157,Customers!$A$4:$A$1003,0)),"")</f>
        <v/>
      </c>
      <c r="N157" s="28"/>
      <c r="O157" s="32"/>
      <c r="Q157" s="27"/>
      <c r="R157" s="29"/>
      <c r="S157" s="28"/>
      <c r="T157" s="32"/>
      <c r="U157" s="41"/>
      <c r="V157" s="27"/>
      <c r="W157" s="28"/>
      <c r="X157" s="28"/>
    </row>
    <row r="158" customFormat="false" ht="15.75" hidden="false" customHeight="true" outlineLevel="0" collapsed="false">
      <c r="A158" s="27"/>
      <c r="B158" s="27"/>
      <c r="C158" s="33" t="str">
        <f aca="false">IFERROR(INDEX(Customers!$C$4:$C$1003,MATCH($B158,Customers!$A$4:$A$1003,0)),"")</f>
        <v/>
      </c>
      <c r="D158" s="28"/>
      <c r="E158" s="41"/>
      <c r="F158" s="29"/>
      <c r="G158" s="27"/>
      <c r="H158" s="27"/>
      <c r="I158" s="29"/>
      <c r="J158" s="27"/>
      <c r="K158" s="30" t="str">
        <f aca="true">IF(OR($A158="",$I158=""),"",IF($J158="Paid",0,IF(TODAY()&gt;$I158,TODAY()-$I158,0)))</f>
        <v/>
      </c>
      <c r="L158" s="34" t="str">
        <f aca="false">IFERROR(INDEX(Customers!$M$4:$M$1003,MATCH($B158,Customers!$A$4:$A$1003,0)),"")</f>
        <v/>
      </c>
      <c r="M158" s="34" t="str">
        <f aca="false">IFERROR(INDEX(Customers!$N$4:$N$1003,MATCH($B158,Customers!$A$4:$A$1003,0)),"")</f>
        <v/>
      </c>
      <c r="N158" s="28"/>
      <c r="O158" s="32"/>
      <c r="Q158" s="27"/>
      <c r="R158" s="29"/>
      <c r="S158" s="28"/>
      <c r="T158" s="32"/>
      <c r="U158" s="41"/>
      <c r="V158" s="27"/>
      <c r="W158" s="28"/>
      <c r="X158" s="28"/>
    </row>
    <row r="159" customFormat="false" ht="15.75" hidden="false" customHeight="true" outlineLevel="0" collapsed="false">
      <c r="A159" s="27"/>
      <c r="B159" s="27"/>
      <c r="C159" s="33" t="str">
        <f aca="false">IFERROR(INDEX(Customers!$C$4:$C$1003,MATCH($B159,Customers!$A$4:$A$1003,0)),"")</f>
        <v/>
      </c>
      <c r="D159" s="28"/>
      <c r="E159" s="41"/>
      <c r="F159" s="29"/>
      <c r="G159" s="27"/>
      <c r="H159" s="27"/>
      <c r="I159" s="29"/>
      <c r="J159" s="27"/>
      <c r="K159" s="30" t="str">
        <f aca="true">IF(OR($A159="",$I159=""),"",IF($J159="Paid",0,IF(TODAY()&gt;$I159,TODAY()-$I159,0)))</f>
        <v/>
      </c>
      <c r="L159" s="34" t="str">
        <f aca="false">IFERROR(INDEX(Customers!$M$4:$M$1003,MATCH($B159,Customers!$A$4:$A$1003,0)),"")</f>
        <v/>
      </c>
      <c r="M159" s="34" t="str">
        <f aca="false">IFERROR(INDEX(Customers!$N$4:$N$1003,MATCH($B159,Customers!$A$4:$A$1003,0)),"")</f>
        <v/>
      </c>
      <c r="N159" s="28"/>
      <c r="O159" s="32"/>
      <c r="Q159" s="27"/>
      <c r="R159" s="29"/>
      <c r="S159" s="28"/>
      <c r="T159" s="32"/>
      <c r="U159" s="41"/>
      <c r="V159" s="27"/>
      <c r="W159" s="28"/>
      <c r="X159" s="28"/>
    </row>
    <row r="160" customFormat="false" ht="15.75" hidden="false" customHeight="true" outlineLevel="0" collapsed="false">
      <c r="A160" s="27"/>
      <c r="B160" s="27"/>
      <c r="C160" s="33" t="str">
        <f aca="false">IFERROR(INDEX(Customers!$C$4:$C$1003,MATCH($B160,Customers!$A$4:$A$1003,0)),"")</f>
        <v/>
      </c>
      <c r="D160" s="28"/>
      <c r="E160" s="41"/>
      <c r="F160" s="29"/>
      <c r="G160" s="27"/>
      <c r="H160" s="27"/>
      <c r="I160" s="29"/>
      <c r="J160" s="27"/>
      <c r="K160" s="30" t="str">
        <f aca="true">IF(OR($A160="",$I160=""),"",IF($J160="Paid",0,IF(TODAY()&gt;$I160,TODAY()-$I160,0)))</f>
        <v/>
      </c>
      <c r="L160" s="34" t="str">
        <f aca="false">IFERROR(INDEX(Customers!$M$4:$M$1003,MATCH($B160,Customers!$A$4:$A$1003,0)),"")</f>
        <v/>
      </c>
      <c r="M160" s="34" t="str">
        <f aca="false">IFERROR(INDEX(Customers!$N$4:$N$1003,MATCH($B160,Customers!$A$4:$A$1003,0)),"")</f>
        <v/>
      </c>
      <c r="N160" s="28"/>
      <c r="O160" s="32"/>
      <c r="Q160" s="27"/>
      <c r="R160" s="29"/>
      <c r="S160" s="28"/>
      <c r="T160" s="32"/>
      <c r="U160" s="41"/>
      <c r="V160" s="27"/>
      <c r="W160" s="28"/>
      <c r="X160" s="28"/>
    </row>
    <row r="161" customFormat="false" ht="15.75" hidden="false" customHeight="true" outlineLevel="0" collapsed="false">
      <c r="A161" s="27"/>
      <c r="B161" s="27"/>
      <c r="C161" s="33" t="str">
        <f aca="false">IFERROR(INDEX(Customers!$C$4:$C$1003,MATCH($B161,Customers!$A$4:$A$1003,0)),"")</f>
        <v/>
      </c>
      <c r="D161" s="28"/>
      <c r="E161" s="41"/>
      <c r="F161" s="29"/>
      <c r="G161" s="27"/>
      <c r="H161" s="27"/>
      <c r="I161" s="29"/>
      <c r="J161" s="27"/>
      <c r="K161" s="30" t="str">
        <f aca="true">IF(OR($A161="",$I161=""),"",IF($J161="Paid",0,IF(TODAY()&gt;$I161,TODAY()-$I161,0)))</f>
        <v/>
      </c>
      <c r="L161" s="34" t="str">
        <f aca="false">IFERROR(INDEX(Customers!$M$4:$M$1003,MATCH($B161,Customers!$A$4:$A$1003,0)),"")</f>
        <v/>
      </c>
      <c r="M161" s="34" t="str">
        <f aca="false">IFERROR(INDEX(Customers!$N$4:$N$1003,MATCH($B161,Customers!$A$4:$A$1003,0)),"")</f>
        <v/>
      </c>
      <c r="N161" s="28"/>
      <c r="O161" s="32"/>
      <c r="Q161" s="27"/>
      <c r="R161" s="29"/>
      <c r="S161" s="28"/>
      <c r="T161" s="32"/>
      <c r="U161" s="41"/>
      <c r="V161" s="27"/>
      <c r="W161" s="28"/>
      <c r="X161" s="28"/>
    </row>
    <row r="162" customFormat="false" ht="15.75" hidden="false" customHeight="true" outlineLevel="0" collapsed="false">
      <c r="A162" s="27"/>
      <c r="B162" s="27"/>
      <c r="C162" s="33" t="str">
        <f aca="false">IFERROR(INDEX(Customers!$C$4:$C$1003,MATCH($B162,Customers!$A$4:$A$1003,0)),"")</f>
        <v/>
      </c>
      <c r="D162" s="28"/>
      <c r="E162" s="41"/>
      <c r="F162" s="29"/>
      <c r="G162" s="27"/>
      <c r="H162" s="27"/>
      <c r="I162" s="29"/>
      <c r="J162" s="27"/>
      <c r="K162" s="30" t="str">
        <f aca="true">IF(OR($A162="",$I162=""),"",IF($J162="Paid",0,IF(TODAY()&gt;$I162,TODAY()-$I162,0)))</f>
        <v/>
      </c>
      <c r="L162" s="34" t="str">
        <f aca="false">IFERROR(INDEX(Customers!$M$4:$M$1003,MATCH($B162,Customers!$A$4:$A$1003,0)),"")</f>
        <v/>
      </c>
      <c r="M162" s="34" t="str">
        <f aca="false">IFERROR(INDEX(Customers!$N$4:$N$1003,MATCH($B162,Customers!$A$4:$A$1003,0)),"")</f>
        <v/>
      </c>
      <c r="N162" s="28"/>
      <c r="O162" s="32"/>
      <c r="Q162" s="27"/>
      <c r="R162" s="29"/>
      <c r="S162" s="28"/>
      <c r="T162" s="32"/>
      <c r="U162" s="41"/>
      <c r="V162" s="27"/>
      <c r="W162" s="28"/>
      <c r="X162" s="28"/>
    </row>
    <row r="163" customFormat="false" ht="15.75" hidden="false" customHeight="true" outlineLevel="0" collapsed="false">
      <c r="A163" s="27"/>
      <c r="B163" s="27"/>
      <c r="C163" s="33" t="str">
        <f aca="false">IFERROR(INDEX(Customers!$C$4:$C$1003,MATCH($B163,Customers!$A$4:$A$1003,0)),"")</f>
        <v/>
      </c>
      <c r="D163" s="28"/>
      <c r="E163" s="41"/>
      <c r="F163" s="29"/>
      <c r="G163" s="27"/>
      <c r="H163" s="27"/>
      <c r="I163" s="29"/>
      <c r="J163" s="27"/>
      <c r="K163" s="30" t="str">
        <f aca="true">IF(OR($A163="",$I163=""),"",IF($J163="Paid",0,IF(TODAY()&gt;$I163,TODAY()-$I163,0)))</f>
        <v/>
      </c>
      <c r="L163" s="34" t="str">
        <f aca="false">IFERROR(INDEX(Customers!$M$4:$M$1003,MATCH($B163,Customers!$A$4:$A$1003,0)),"")</f>
        <v/>
      </c>
      <c r="M163" s="34" t="str">
        <f aca="false">IFERROR(INDEX(Customers!$N$4:$N$1003,MATCH($B163,Customers!$A$4:$A$1003,0)),"")</f>
        <v/>
      </c>
      <c r="N163" s="28"/>
      <c r="O163" s="32"/>
      <c r="Q163" s="27"/>
      <c r="R163" s="29"/>
      <c r="S163" s="28"/>
      <c r="T163" s="32"/>
      <c r="U163" s="41"/>
      <c r="V163" s="27"/>
      <c r="W163" s="28"/>
      <c r="X163" s="28"/>
    </row>
    <row r="164" customFormat="false" ht="15.75" hidden="false" customHeight="true" outlineLevel="0" collapsed="false">
      <c r="A164" s="27"/>
      <c r="B164" s="27"/>
      <c r="C164" s="33" t="str">
        <f aca="false">IFERROR(INDEX(Customers!$C$4:$C$1003,MATCH($B164,Customers!$A$4:$A$1003,0)),"")</f>
        <v/>
      </c>
      <c r="D164" s="28"/>
      <c r="E164" s="41"/>
      <c r="F164" s="29"/>
      <c r="G164" s="27"/>
      <c r="H164" s="27"/>
      <c r="I164" s="29"/>
      <c r="J164" s="27"/>
      <c r="K164" s="30" t="str">
        <f aca="true">IF(OR($A164="",$I164=""),"",IF($J164="Paid",0,IF(TODAY()&gt;$I164,TODAY()-$I164,0)))</f>
        <v/>
      </c>
      <c r="L164" s="34" t="str">
        <f aca="false">IFERROR(INDEX(Customers!$M$4:$M$1003,MATCH($B164,Customers!$A$4:$A$1003,0)),"")</f>
        <v/>
      </c>
      <c r="M164" s="34" t="str">
        <f aca="false">IFERROR(INDEX(Customers!$N$4:$N$1003,MATCH($B164,Customers!$A$4:$A$1003,0)),"")</f>
        <v/>
      </c>
      <c r="N164" s="28"/>
      <c r="O164" s="32"/>
      <c r="Q164" s="27"/>
      <c r="R164" s="29"/>
      <c r="S164" s="28"/>
      <c r="T164" s="32"/>
      <c r="U164" s="41"/>
      <c r="V164" s="27"/>
      <c r="W164" s="28"/>
      <c r="X164" s="28"/>
    </row>
    <row r="165" customFormat="false" ht="15.75" hidden="false" customHeight="true" outlineLevel="0" collapsed="false">
      <c r="A165" s="27"/>
      <c r="B165" s="27"/>
      <c r="C165" s="33" t="str">
        <f aca="false">IFERROR(INDEX(Customers!$C$4:$C$1003,MATCH($B165,Customers!$A$4:$A$1003,0)),"")</f>
        <v/>
      </c>
      <c r="D165" s="28"/>
      <c r="E165" s="41"/>
      <c r="F165" s="29"/>
      <c r="G165" s="27"/>
      <c r="H165" s="27"/>
      <c r="I165" s="29"/>
      <c r="J165" s="27"/>
      <c r="K165" s="30" t="str">
        <f aca="true">IF(OR($A165="",$I165=""),"",IF($J165="Paid",0,IF(TODAY()&gt;$I165,TODAY()-$I165,0)))</f>
        <v/>
      </c>
      <c r="L165" s="34" t="str">
        <f aca="false">IFERROR(INDEX(Customers!$M$4:$M$1003,MATCH($B165,Customers!$A$4:$A$1003,0)),"")</f>
        <v/>
      </c>
      <c r="M165" s="34" t="str">
        <f aca="false">IFERROR(INDEX(Customers!$N$4:$N$1003,MATCH($B165,Customers!$A$4:$A$1003,0)),"")</f>
        <v/>
      </c>
      <c r="N165" s="28"/>
      <c r="O165" s="32"/>
      <c r="Q165" s="27"/>
      <c r="R165" s="29"/>
      <c r="S165" s="28"/>
      <c r="T165" s="32"/>
      <c r="U165" s="41"/>
      <c r="V165" s="27"/>
      <c r="W165" s="28"/>
      <c r="X165" s="28"/>
    </row>
    <row r="166" customFormat="false" ht="15.75" hidden="false" customHeight="true" outlineLevel="0" collapsed="false">
      <c r="A166" s="27"/>
      <c r="B166" s="27"/>
      <c r="C166" s="33" t="str">
        <f aca="false">IFERROR(INDEX(Customers!$C$4:$C$1003,MATCH($B166,Customers!$A$4:$A$1003,0)),"")</f>
        <v/>
      </c>
      <c r="D166" s="28"/>
      <c r="E166" s="41"/>
      <c r="F166" s="29"/>
      <c r="G166" s="27"/>
      <c r="H166" s="27"/>
      <c r="I166" s="29"/>
      <c r="J166" s="27"/>
      <c r="K166" s="30" t="str">
        <f aca="true">IF(OR($A166="",$I166=""),"",IF($J166="Paid",0,IF(TODAY()&gt;$I166,TODAY()-$I166,0)))</f>
        <v/>
      </c>
      <c r="L166" s="34" t="str">
        <f aca="false">IFERROR(INDEX(Customers!$M$4:$M$1003,MATCH($B166,Customers!$A$4:$A$1003,0)),"")</f>
        <v/>
      </c>
      <c r="M166" s="34" t="str">
        <f aca="false">IFERROR(INDEX(Customers!$N$4:$N$1003,MATCH($B166,Customers!$A$4:$A$1003,0)),"")</f>
        <v/>
      </c>
      <c r="N166" s="28"/>
      <c r="O166" s="32"/>
      <c r="Q166" s="27"/>
      <c r="R166" s="29"/>
      <c r="S166" s="28"/>
      <c r="T166" s="32"/>
      <c r="U166" s="41"/>
      <c r="V166" s="27"/>
      <c r="W166" s="28"/>
      <c r="X166" s="28"/>
    </row>
    <row r="167" customFormat="false" ht="15.75" hidden="false" customHeight="true" outlineLevel="0" collapsed="false">
      <c r="A167" s="27"/>
      <c r="B167" s="27"/>
      <c r="C167" s="33" t="str">
        <f aca="false">IFERROR(INDEX(Customers!$C$4:$C$1003,MATCH($B167,Customers!$A$4:$A$1003,0)),"")</f>
        <v/>
      </c>
      <c r="D167" s="28"/>
      <c r="E167" s="41"/>
      <c r="F167" s="29"/>
      <c r="G167" s="27"/>
      <c r="H167" s="27"/>
      <c r="I167" s="29"/>
      <c r="J167" s="27"/>
      <c r="K167" s="30" t="str">
        <f aca="true">IF(OR($A167="",$I167=""),"",IF($J167="Paid",0,IF(TODAY()&gt;$I167,TODAY()-$I167,0)))</f>
        <v/>
      </c>
      <c r="L167" s="34" t="str">
        <f aca="false">IFERROR(INDEX(Customers!$M$4:$M$1003,MATCH($B167,Customers!$A$4:$A$1003,0)),"")</f>
        <v/>
      </c>
      <c r="M167" s="34" t="str">
        <f aca="false">IFERROR(INDEX(Customers!$N$4:$N$1003,MATCH($B167,Customers!$A$4:$A$1003,0)),"")</f>
        <v/>
      </c>
      <c r="N167" s="28"/>
      <c r="O167" s="32"/>
      <c r="Q167" s="27"/>
      <c r="R167" s="29"/>
      <c r="S167" s="28"/>
      <c r="T167" s="32"/>
      <c r="U167" s="41"/>
      <c r="V167" s="27"/>
      <c r="W167" s="28"/>
      <c r="X167" s="28"/>
    </row>
    <row r="168" customFormat="false" ht="15.75" hidden="false" customHeight="true" outlineLevel="0" collapsed="false">
      <c r="A168" s="27"/>
      <c r="B168" s="27"/>
      <c r="C168" s="33" t="str">
        <f aca="false">IFERROR(INDEX(Customers!$C$4:$C$1003,MATCH($B168,Customers!$A$4:$A$1003,0)),"")</f>
        <v/>
      </c>
      <c r="D168" s="28"/>
      <c r="E168" s="41"/>
      <c r="F168" s="29"/>
      <c r="G168" s="27"/>
      <c r="H168" s="27"/>
      <c r="I168" s="29"/>
      <c r="J168" s="27"/>
      <c r="K168" s="30" t="str">
        <f aca="true">IF(OR($A168="",$I168=""),"",IF($J168="Paid",0,IF(TODAY()&gt;$I168,TODAY()-$I168,0)))</f>
        <v/>
      </c>
      <c r="L168" s="34" t="str">
        <f aca="false">IFERROR(INDEX(Customers!$M$4:$M$1003,MATCH($B168,Customers!$A$4:$A$1003,0)),"")</f>
        <v/>
      </c>
      <c r="M168" s="34" t="str">
        <f aca="false">IFERROR(INDEX(Customers!$N$4:$N$1003,MATCH($B168,Customers!$A$4:$A$1003,0)),"")</f>
        <v/>
      </c>
      <c r="N168" s="28"/>
      <c r="O168" s="32"/>
      <c r="Q168" s="27"/>
      <c r="R168" s="29"/>
      <c r="S168" s="28"/>
      <c r="T168" s="32"/>
      <c r="U168" s="41"/>
      <c r="V168" s="27"/>
      <c r="W168" s="28"/>
      <c r="X168" s="28"/>
    </row>
    <row r="169" customFormat="false" ht="15.75" hidden="false" customHeight="true" outlineLevel="0" collapsed="false">
      <c r="A169" s="27"/>
      <c r="B169" s="27"/>
      <c r="C169" s="33" t="str">
        <f aca="false">IFERROR(INDEX(Customers!$C$4:$C$1003,MATCH($B169,Customers!$A$4:$A$1003,0)),"")</f>
        <v/>
      </c>
      <c r="D169" s="28"/>
      <c r="E169" s="41"/>
      <c r="F169" s="29"/>
      <c r="G169" s="27"/>
      <c r="H169" s="27"/>
      <c r="I169" s="29"/>
      <c r="J169" s="27"/>
      <c r="K169" s="30" t="str">
        <f aca="true">IF(OR($A169="",$I169=""),"",IF($J169="Paid",0,IF(TODAY()&gt;$I169,TODAY()-$I169,0)))</f>
        <v/>
      </c>
      <c r="L169" s="34" t="str">
        <f aca="false">IFERROR(INDEX(Customers!$M$4:$M$1003,MATCH($B169,Customers!$A$4:$A$1003,0)),"")</f>
        <v/>
      </c>
      <c r="M169" s="34" t="str">
        <f aca="false">IFERROR(INDEX(Customers!$N$4:$N$1003,MATCH($B169,Customers!$A$4:$A$1003,0)),"")</f>
        <v/>
      </c>
      <c r="N169" s="28"/>
      <c r="O169" s="32"/>
      <c r="Q169" s="27"/>
      <c r="R169" s="29"/>
      <c r="S169" s="28"/>
      <c r="T169" s="32"/>
      <c r="U169" s="41"/>
      <c r="V169" s="27"/>
      <c r="W169" s="28"/>
      <c r="X169" s="28"/>
    </row>
    <row r="170" customFormat="false" ht="15.75" hidden="false" customHeight="true" outlineLevel="0" collapsed="false">
      <c r="A170" s="27"/>
      <c r="B170" s="27"/>
      <c r="C170" s="33" t="str">
        <f aca="false">IFERROR(INDEX(Customers!$C$4:$C$1003,MATCH($B170,Customers!$A$4:$A$1003,0)),"")</f>
        <v/>
      </c>
      <c r="D170" s="28"/>
      <c r="E170" s="41"/>
      <c r="F170" s="29"/>
      <c r="G170" s="27"/>
      <c r="H170" s="27"/>
      <c r="I170" s="29"/>
      <c r="J170" s="27"/>
      <c r="K170" s="30" t="str">
        <f aca="true">IF(OR($A170="",$I170=""),"",IF($J170="Paid",0,IF(TODAY()&gt;$I170,TODAY()-$I170,0)))</f>
        <v/>
      </c>
      <c r="L170" s="34" t="str">
        <f aca="false">IFERROR(INDEX(Customers!$M$4:$M$1003,MATCH($B170,Customers!$A$4:$A$1003,0)),"")</f>
        <v/>
      </c>
      <c r="M170" s="34" t="str">
        <f aca="false">IFERROR(INDEX(Customers!$N$4:$N$1003,MATCH($B170,Customers!$A$4:$A$1003,0)),"")</f>
        <v/>
      </c>
      <c r="N170" s="28"/>
      <c r="O170" s="32"/>
      <c r="Q170" s="27"/>
      <c r="R170" s="29"/>
      <c r="S170" s="28"/>
      <c r="T170" s="32"/>
      <c r="U170" s="41"/>
      <c r="V170" s="27"/>
      <c r="W170" s="28"/>
      <c r="X170" s="28"/>
    </row>
    <row r="171" customFormat="false" ht="15.75" hidden="false" customHeight="true" outlineLevel="0" collapsed="false">
      <c r="A171" s="27"/>
      <c r="B171" s="27"/>
      <c r="C171" s="33" t="str">
        <f aca="false">IFERROR(INDEX(Customers!$C$4:$C$1003,MATCH($B171,Customers!$A$4:$A$1003,0)),"")</f>
        <v/>
      </c>
      <c r="D171" s="28"/>
      <c r="E171" s="41"/>
      <c r="F171" s="29"/>
      <c r="G171" s="27"/>
      <c r="H171" s="27"/>
      <c r="I171" s="29"/>
      <c r="J171" s="27"/>
      <c r="K171" s="30" t="str">
        <f aca="true">IF(OR($A171="",$I171=""),"",IF($J171="Paid",0,IF(TODAY()&gt;$I171,TODAY()-$I171,0)))</f>
        <v/>
      </c>
      <c r="L171" s="34" t="str">
        <f aca="false">IFERROR(INDEX(Customers!$M$4:$M$1003,MATCH($B171,Customers!$A$4:$A$1003,0)),"")</f>
        <v/>
      </c>
      <c r="M171" s="34" t="str">
        <f aca="false">IFERROR(INDEX(Customers!$N$4:$N$1003,MATCH($B171,Customers!$A$4:$A$1003,0)),"")</f>
        <v/>
      </c>
      <c r="N171" s="28"/>
      <c r="O171" s="32"/>
      <c r="Q171" s="27"/>
      <c r="R171" s="29"/>
      <c r="S171" s="28"/>
      <c r="T171" s="32"/>
      <c r="U171" s="41"/>
      <c r="V171" s="27"/>
      <c r="W171" s="28"/>
      <c r="X171" s="28"/>
    </row>
    <row r="172" customFormat="false" ht="15.75" hidden="false" customHeight="true" outlineLevel="0" collapsed="false">
      <c r="A172" s="27"/>
      <c r="B172" s="27"/>
      <c r="C172" s="33" t="str">
        <f aca="false">IFERROR(INDEX(Customers!$C$4:$C$1003,MATCH($B172,Customers!$A$4:$A$1003,0)),"")</f>
        <v/>
      </c>
      <c r="D172" s="28"/>
      <c r="E172" s="41"/>
      <c r="F172" s="29"/>
      <c r="G172" s="27"/>
      <c r="H172" s="27"/>
      <c r="I172" s="29"/>
      <c r="J172" s="27"/>
      <c r="K172" s="30" t="str">
        <f aca="true">IF(OR($A172="",$I172=""),"",IF($J172="Paid",0,IF(TODAY()&gt;$I172,TODAY()-$I172,0)))</f>
        <v/>
      </c>
      <c r="L172" s="34" t="str">
        <f aca="false">IFERROR(INDEX(Customers!$M$4:$M$1003,MATCH($B172,Customers!$A$4:$A$1003,0)),"")</f>
        <v/>
      </c>
      <c r="M172" s="34" t="str">
        <f aca="false">IFERROR(INDEX(Customers!$N$4:$N$1003,MATCH($B172,Customers!$A$4:$A$1003,0)),"")</f>
        <v/>
      </c>
      <c r="N172" s="28"/>
      <c r="O172" s="32"/>
      <c r="Q172" s="27"/>
      <c r="R172" s="29"/>
      <c r="S172" s="28"/>
      <c r="T172" s="32"/>
      <c r="U172" s="41"/>
      <c r="V172" s="27"/>
      <c r="W172" s="28"/>
      <c r="X172" s="28"/>
    </row>
    <row r="173" customFormat="false" ht="15.75" hidden="false" customHeight="true" outlineLevel="0" collapsed="false">
      <c r="A173" s="27"/>
      <c r="B173" s="27"/>
      <c r="C173" s="33" t="str">
        <f aca="false">IFERROR(INDEX(Customers!$C$4:$C$1003,MATCH($B173,Customers!$A$4:$A$1003,0)),"")</f>
        <v/>
      </c>
      <c r="D173" s="28"/>
      <c r="E173" s="41"/>
      <c r="F173" s="29"/>
      <c r="G173" s="27"/>
      <c r="H173" s="27"/>
      <c r="I173" s="29"/>
      <c r="J173" s="27"/>
      <c r="K173" s="30" t="str">
        <f aca="true">IF(OR($A173="",$I173=""),"",IF($J173="Paid",0,IF(TODAY()&gt;$I173,TODAY()-$I173,0)))</f>
        <v/>
      </c>
      <c r="L173" s="34" t="str">
        <f aca="false">IFERROR(INDEX(Customers!$M$4:$M$1003,MATCH($B173,Customers!$A$4:$A$1003,0)),"")</f>
        <v/>
      </c>
      <c r="M173" s="34" t="str">
        <f aca="false">IFERROR(INDEX(Customers!$N$4:$N$1003,MATCH($B173,Customers!$A$4:$A$1003,0)),"")</f>
        <v/>
      </c>
      <c r="N173" s="28"/>
      <c r="O173" s="32"/>
      <c r="Q173" s="27"/>
      <c r="R173" s="29"/>
      <c r="S173" s="28"/>
      <c r="T173" s="32"/>
      <c r="U173" s="41"/>
      <c r="V173" s="27"/>
      <c r="W173" s="28"/>
      <c r="X173" s="28"/>
    </row>
    <row r="174" customFormat="false" ht="15.75" hidden="false" customHeight="true" outlineLevel="0" collapsed="false">
      <c r="A174" s="27"/>
      <c r="B174" s="27"/>
      <c r="C174" s="33" t="str">
        <f aca="false">IFERROR(INDEX(Customers!$C$4:$C$1003,MATCH($B174,Customers!$A$4:$A$1003,0)),"")</f>
        <v/>
      </c>
      <c r="D174" s="28"/>
      <c r="E174" s="41"/>
      <c r="F174" s="29"/>
      <c r="G174" s="27"/>
      <c r="H174" s="27"/>
      <c r="I174" s="29"/>
      <c r="J174" s="27"/>
      <c r="K174" s="30" t="str">
        <f aca="true">IF(OR($A174="",$I174=""),"",IF($J174="Paid",0,IF(TODAY()&gt;$I174,TODAY()-$I174,0)))</f>
        <v/>
      </c>
      <c r="L174" s="34" t="str">
        <f aca="false">IFERROR(INDEX(Customers!$M$4:$M$1003,MATCH($B174,Customers!$A$4:$A$1003,0)),"")</f>
        <v/>
      </c>
      <c r="M174" s="34" t="str">
        <f aca="false">IFERROR(INDEX(Customers!$N$4:$N$1003,MATCH($B174,Customers!$A$4:$A$1003,0)),"")</f>
        <v/>
      </c>
      <c r="N174" s="28"/>
      <c r="O174" s="32"/>
      <c r="Q174" s="27"/>
      <c r="R174" s="29"/>
      <c r="S174" s="28"/>
      <c r="T174" s="32"/>
      <c r="U174" s="41"/>
      <c r="V174" s="27"/>
      <c r="W174" s="28"/>
      <c r="X174" s="28"/>
    </row>
    <row r="175" customFormat="false" ht="15.75" hidden="false" customHeight="true" outlineLevel="0" collapsed="false">
      <c r="A175" s="27"/>
      <c r="B175" s="27"/>
      <c r="C175" s="33" t="str">
        <f aca="false">IFERROR(INDEX(Customers!$C$4:$C$1003,MATCH($B175,Customers!$A$4:$A$1003,0)),"")</f>
        <v/>
      </c>
      <c r="D175" s="28"/>
      <c r="E175" s="41"/>
      <c r="F175" s="29"/>
      <c r="G175" s="27"/>
      <c r="H175" s="27"/>
      <c r="I175" s="29"/>
      <c r="J175" s="27"/>
      <c r="K175" s="30" t="str">
        <f aca="true">IF(OR($A175="",$I175=""),"",IF($J175="Paid",0,IF(TODAY()&gt;$I175,TODAY()-$I175,0)))</f>
        <v/>
      </c>
      <c r="L175" s="34" t="str">
        <f aca="false">IFERROR(INDEX(Customers!$M$4:$M$1003,MATCH($B175,Customers!$A$4:$A$1003,0)),"")</f>
        <v/>
      </c>
      <c r="M175" s="34" t="str">
        <f aca="false">IFERROR(INDEX(Customers!$N$4:$N$1003,MATCH($B175,Customers!$A$4:$A$1003,0)),"")</f>
        <v/>
      </c>
      <c r="N175" s="28"/>
      <c r="O175" s="32"/>
      <c r="Q175" s="27"/>
      <c r="R175" s="29"/>
      <c r="S175" s="28"/>
      <c r="T175" s="32"/>
      <c r="U175" s="41"/>
      <c r="V175" s="27"/>
      <c r="W175" s="28"/>
      <c r="X175" s="28"/>
    </row>
    <row r="176" customFormat="false" ht="15.75" hidden="false" customHeight="true" outlineLevel="0" collapsed="false">
      <c r="A176" s="27"/>
      <c r="B176" s="27"/>
      <c r="C176" s="33" t="str">
        <f aca="false">IFERROR(INDEX(Customers!$C$4:$C$1003,MATCH($B176,Customers!$A$4:$A$1003,0)),"")</f>
        <v/>
      </c>
      <c r="D176" s="28"/>
      <c r="E176" s="41"/>
      <c r="F176" s="29"/>
      <c r="G176" s="27"/>
      <c r="H176" s="27"/>
      <c r="I176" s="29"/>
      <c r="J176" s="27"/>
      <c r="K176" s="30" t="str">
        <f aca="true">IF(OR($A176="",$I176=""),"",IF($J176="Paid",0,IF(TODAY()&gt;$I176,TODAY()-$I176,0)))</f>
        <v/>
      </c>
      <c r="L176" s="34" t="str">
        <f aca="false">IFERROR(INDEX(Customers!$M$4:$M$1003,MATCH($B176,Customers!$A$4:$A$1003,0)),"")</f>
        <v/>
      </c>
      <c r="M176" s="34" t="str">
        <f aca="false">IFERROR(INDEX(Customers!$N$4:$N$1003,MATCH($B176,Customers!$A$4:$A$1003,0)),"")</f>
        <v/>
      </c>
      <c r="N176" s="28"/>
      <c r="O176" s="32"/>
      <c r="Q176" s="27"/>
      <c r="R176" s="29"/>
      <c r="S176" s="28"/>
      <c r="T176" s="32"/>
      <c r="U176" s="41"/>
      <c r="V176" s="27"/>
      <c r="W176" s="28"/>
      <c r="X176" s="28"/>
    </row>
    <row r="177" customFormat="false" ht="15.75" hidden="false" customHeight="true" outlineLevel="0" collapsed="false">
      <c r="A177" s="27"/>
      <c r="B177" s="27"/>
      <c r="C177" s="33" t="str">
        <f aca="false">IFERROR(INDEX(Customers!$C$4:$C$1003,MATCH($B177,Customers!$A$4:$A$1003,0)),"")</f>
        <v/>
      </c>
      <c r="D177" s="28"/>
      <c r="E177" s="41"/>
      <c r="F177" s="29"/>
      <c r="G177" s="27"/>
      <c r="H177" s="27"/>
      <c r="I177" s="29"/>
      <c r="J177" s="27"/>
      <c r="K177" s="30" t="str">
        <f aca="true">IF(OR($A177="",$I177=""),"",IF($J177="Paid",0,IF(TODAY()&gt;$I177,TODAY()-$I177,0)))</f>
        <v/>
      </c>
      <c r="L177" s="34" t="str">
        <f aca="false">IFERROR(INDEX(Customers!$M$4:$M$1003,MATCH($B177,Customers!$A$4:$A$1003,0)),"")</f>
        <v/>
      </c>
      <c r="M177" s="34" t="str">
        <f aca="false">IFERROR(INDEX(Customers!$N$4:$N$1003,MATCH($B177,Customers!$A$4:$A$1003,0)),"")</f>
        <v/>
      </c>
      <c r="N177" s="28"/>
      <c r="O177" s="32"/>
      <c r="Q177" s="27"/>
      <c r="R177" s="29"/>
      <c r="S177" s="28"/>
      <c r="T177" s="32"/>
      <c r="U177" s="41"/>
      <c r="V177" s="27"/>
      <c r="W177" s="28"/>
      <c r="X177" s="28"/>
    </row>
    <row r="178" customFormat="false" ht="15.75" hidden="false" customHeight="true" outlineLevel="0" collapsed="false">
      <c r="A178" s="27"/>
      <c r="B178" s="27"/>
      <c r="C178" s="33" t="str">
        <f aca="false">IFERROR(INDEX(Customers!$C$4:$C$1003,MATCH($B178,Customers!$A$4:$A$1003,0)),"")</f>
        <v/>
      </c>
      <c r="D178" s="28"/>
      <c r="E178" s="41"/>
      <c r="F178" s="29"/>
      <c r="G178" s="27"/>
      <c r="H178" s="27"/>
      <c r="I178" s="29"/>
      <c r="J178" s="27"/>
      <c r="K178" s="30" t="str">
        <f aca="true">IF(OR($A178="",$I178=""),"",IF($J178="Paid",0,IF(TODAY()&gt;$I178,TODAY()-$I178,0)))</f>
        <v/>
      </c>
      <c r="L178" s="34" t="str">
        <f aca="false">IFERROR(INDEX(Customers!$M$4:$M$1003,MATCH($B178,Customers!$A$4:$A$1003,0)),"")</f>
        <v/>
      </c>
      <c r="M178" s="34" t="str">
        <f aca="false">IFERROR(INDEX(Customers!$N$4:$N$1003,MATCH($B178,Customers!$A$4:$A$1003,0)),"")</f>
        <v/>
      </c>
      <c r="N178" s="28"/>
      <c r="O178" s="32"/>
      <c r="Q178" s="27"/>
      <c r="R178" s="29"/>
      <c r="S178" s="28"/>
      <c r="T178" s="32"/>
      <c r="U178" s="41"/>
      <c r="V178" s="27"/>
      <c r="W178" s="28"/>
      <c r="X178" s="28"/>
    </row>
    <row r="179" customFormat="false" ht="15.75" hidden="false" customHeight="true" outlineLevel="0" collapsed="false">
      <c r="A179" s="27"/>
      <c r="B179" s="27"/>
      <c r="C179" s="33" t="str">
        <f aca="false">IFERROR(INDEX(Customers!$C$4:$C$1003,MATCH($B179,Customers!$A$4:$A$1003,0)),"")</f>
        <v/>
      </c>
      <c r="D179" s="28"/>
      <c r="E179" s="41"/>
      <c r="F179" s="29"/>
      <c r="G179" s="27"/>
      <c r="H179" s="27"/>
      <c r="I179" s="29"/>
      <c r="J179" s="27"/>
      <c r="K179" s="30" t="str">
        <f aca="true">IF(OR($A179="",$I179=""),"",IF($J179="Paid",0,IF(TODAY()&gt;$I179,TODAY()-$I179,0)))</f>
        <v/>
      </c>
      <c r="L179" s="34" t="str">
        <f aca="false">IFERROR(INDEX(Customers!$M$4:$M$1003,MATCH($B179,Customers!$A$4:$A$1003,0)),"")</f>
        <v/>
      </c>
      <c r="M179" s="34" t="str">
        <f aca="false">IFERROR(INDEX(Customers!$N$4:$N$1003,MATCH($B179,Customers!$A$4:$A$1003,0)),"")</f>
        <v/>
      </c>
      <c r="N179" s="28"/>
      <c r="O179" s="32"/>
      <c r="Q179" s="27"/>
      <c r="R179" s="29"/>
      <c r="S179" s="28"/>
      <c r="T179" s="32"/>
      <c r="U179" s="41"/>
      <c r="V179" s="27"/>
      <c r="W179" s="28"/>
      <c r="X179" s="28"/>
    </row>
    <row r="180" customFormat="false" ht="15.75" hidden="false" customHeight="true" outlineLevel="0" collapsed="false">
      <c r="A180" s="27"/>
      <c r="B180" s="27"/>
      <c r="C180" s="33" t="str">
        <f aca="false">IFERROR(INDEX(Customers!$C$4:$C$1003,MATCH($B180,Customers!$A$4:$A$1003,0)),"")</f>
        <v/>
      </c>
      <c r="D180" s="28"/>
      <c r="E180" s="41"/>
      <c r="F180" s="29"/>
      <c r="G180" s="27"/>
      <c r="H180" s="27"/>
      <c r="I180" s="29"/>
      <c r="J180" s="27"/>
      <c r="K180" s="30" t="str">
        <f aca="true">IF(OR($A180="",$I180=""),"",IF($J180="Paid",0,IF(TODAY()&gt;$I180,TODAY()-$I180,0)))</f>
        <v/>
      </c>
      <c r="L180" s="34" t="str">
        <f aca="false">IFERROR(INDEX(Customers!$M$4:$M$1003,MATCH($B180,Customers!$A$4:$A$1003,0)),"")</f>
        <v/>
      </c>
      <c r="M180" s="34" t="str">
        <f aca="false">IFERROR(INDEX(Customers!$N$4:$N$1003,MATCH($B180,Customers!$A$4:$A$1003,0)),"")</f>
        <v/>
      </c>
      <c r="N180" s="28"/>
      <c r="O180" s="32"/>
      <c r="Q180" s="27"/>
      <c r="R180" s="29"/>
      <c r="S180" s="28"/>
      <c r="T180" s="32"/>
      <c r="U180" s="41"/>
      <c r="V180" s="27"/>
      <c r="W180" s="28"/>
      <c r="X180" s="28"/>
    </row>
    <row r="181" customFormat="false" ht="15.75" hidden="false" customHeight="true" outlineLevel="0" collapsed="false">
      <c r="A181" s="27"/>
      <c r="B181" s="27"/>
      <c r="C181" s="33" t="str">
        <f aca="false">IFERROR(INDEX(Customers!$C$4:$C$1003,MATCH($B181,Customers!$A$4:$A$1003,0)),"")</f>
        <v/>
      </c>
      <c r="D181" s="28"/>
      <c r="E181" s="41"/>
      <c r="F181" s="29"/>
      <c r="G181" s="27"/>
      <c r="H181" s="27"/>
      <c r="I181" s="29"/>
      <c r="J181" s="27"/>
      <c r="K181" s="30" t="str">
        <f aca="true">IF(OR($A181="",$I181=""),"",IF($J181="Paid",0,IF(TODAY()&gt;$I181,TODAY()-$I181,0)))</f>
        <v/>
      </c>
      <c r="L181" s="34" t="str">
        <f aca="false">IFERROR(INDEX(Customers!$M$4:$M$1003,MATCH($B181,Customers!$A$4:$A$1003,0)),"")</f>
        <v/>
      </c>
      <c r="M181" s="34" t="str">
        <f aca="false">IFERROR(INDEX(Customers!$N$4:$N$1003,MATCH($B181,Customers!$A$4:$A$1003,0)),"")</f>
        <v/>
      </c>
      <c r="N181" s="28"/>
      <c r="O181" s="32"/>
      <c r="Q181" s="27"/>
      <c r="R181" s="29"/>
      <c r="S181" s="28"/>
      <c r="T181" s="32"/>
      <c r="U181" s="41"/>
      <c r="V181" s="27"/>
      <c r="W181" s="28"/>
      <c r="X181" s="28"/>
    </row>
    <row r="182" customFormat="false" ht="15.75" hidden="false" customHeight="true" outlineLevel="0" collapsed="false">
      <c r="A182" s="27"/>
      <c r="B182" s="27"/>
      <c r="C182" s="33" t="str">
        <f aca="false">IFERROR(INDEX(Customers!$C$4:$C$1003,MATCH($B182,Customers!$A$4:$A$1003,0)),"")</f>
        <v/>
      </c>
      <c r="D182" s="28"/>
      <c r="E182" s="41"/>
      <c r="F182" s="29"/>
      <c r="G182" s="27"/>
      <c r="H182" s="27"/>
      <c r="I182" s="29"/>
      <c r="J182" s="27"/>
      <c r="K182" s="30" t="str">
        <f aca="true">IF(OR($A182="",$I182=""),"",IF($J182="Paid",0,IF(TODAY()&gt;$I182,TODAY()-$I182,0)))</f>
        <v/>
      </c>
      <c r="L182" s="34" t="str">
        <f aca="false">IFERROR(INDEX(Customers!$M$4:$M$1003,MATCH($B182,Customers!$A$4:$A$1003,0)),"")</f>
        <v/>
      </c>
      <c r="M182" s="34" t="str">
        <f aca="false">IFERROR(INDEX(Customers!$N$4:$N$1003,MATCH($B182,Customers!$A$4:$A$1003,0)),"")</f>
        <v/>
      </c>
      <c r="N182" s="28"/>
      <c r="O182" s="32"/>
      <c r="Q182" s="27"/>
      <c r="R182" s="29"/>
      <c r="S182" s="28"/>
      <c r="T182" s="32"/>
      <c r="U182" s="41"/>
      <c r="V182" s="27"/>
      <c r="W182" s="28"/>
      <c r="X182" s="28"/>
    </row>
    <row r="183" customFormat="false" ht="15.75" hidden="false" customHeight="true" outlineLevel="0" collapsed="false">
      <c r="A183" s="27"/>
      <c r="B183" s="27"/>
      <c r="C183" s="33" t="str">
        <f aca="false">IFERROR(INDEX(Customers!$C$4:$C$1003,MATCH($B183,Customers!$A$4:$A$1003,0)),"")</f>
        <v/>
      </c>
      <c r="D183" s="28"/>
      <c r="E183" s="41"/>
      <c r="F183" s="29"/>
      <c r="G183" s="27"/>
      <c r="H183" s="27"/>
      <c r="I183" s="29"/>
      <c r="J183" s="27"/>
      <c r="K183" s="30" t="str">
        <f aca="true">IF(OR($A183="",$I183=""),"",IF($J183="Paid",0,IF(TODAY()&gt;$I183,TODAY()-$I183,0)))</f>
        <v/>
      </c>
      <c r="L183" s="34" t="str">
        <f aca="false">IFERROR(INDEX(Customers!$M$4:$M$1003,MATCH($B183,Customers!$A$4:$A$1003,0)),"")</f>
        <v/>
      </c>
      <c r="M183" s="34" t="str">
        <f aca="false">IFERROR(INDEX(Customers!$N$4:$N$1003,MATCH($B183,Customers!$A$4:$A$1003,0)),"")</f>
        <v/>
      </c>
      <c r="N183" s="28"/>
      <c r="O183" s="32"/>
      <c r="Q183" s="27"/>
      <c r="R183" s="29"/>
      <c r="S183" s="28"/>
      <c r="T183" s="32"/>
      <c r="U183" s="41"/>
      <c r="V183" s="27"/>
      <c r="W183" s="28"/>
      <c r="X183" s="28"/>
    </row>
    <row r="184" customFormat="false" ht="15.75" hidden="false" customHeight="true" outlineLevel="0" collapsed="false">
      <c r="A184" s="27"/>
      <c r="B184" s="27"/>
      <c r="C184" s="33" t="str">
        <f aca="false">IFERROR(INDEX(Customers!$C$4:$C$1003,MATCH($B184,Customers!$A$4:$A$1003,0)),"")</f>
        <v/>
      </c>
      <c r="D184" s="28"/>
      <c r="E184" s="41"/>
      <c r="F184" s="29"/>
      <c r="G184" s="27"/>
      <c r="H184" s="27"/>
      <c r="I184" s="29"/>
      <c r="J184" s="27"/>
      <c r="K184" s="30" t="str">
        <f aca="true">IF(OR($A184="",$I184=""),"",IF($J184="Paid",0,IF(TODAY()&gt;$I184,TODAY()-$I184,0)))</f>
        <v/>
      </c>
      <c r="L184" s="34" t="str">
        <f aca="false">IFERROR(INDEX(Customers!$M$4:$M$1003,MATCH($B184,Customers!$A$4:$A$1003,0)),"")</f>
        <v/>
      </c>
      <c r="M184" s="34" t="str">
        <f aca="false">IFERROR(INDEX(Customers!$N$4:$N$1003,MATCH($B184,Customers!$A$4:$A$1003,0)),"")</f>
        <v/>
      </c>
      <c r="N184" s="28"/>
      <c r="O184" s="32"/>
      <c r="Q184" s="27"/>
      <c r="R184" s="29"/>
      <c r="S184" s="28"/>
      <c r="T184" s="32"/>
      <c r="U184" s="41"/>
      <c r="V184" s="27"/>
      <c r="W184" s="28"/>
      <c r="X184" s="28"/>
    </row>
    <row r="185" customFormat="false" ht="15.75" hidden="false" customHeight="true" outlineLevel="0" collapsed="false">
      <c r="A185" s="27"/>
      <c r="B185" s="27"/>
      <c r="C185" s="33" t="str">
        <f aca="false">IFERROR(INDEX(Customers!$C$4:$C$1003,MATCH($B185,Customers!$A$4:$A$1003,0)),"")</f>
        <v/>
      </c>
      <c r="D185" s="28"/>
      <c r="E185" s="41"/>
      <c r="F185" s="29"/>
      <c r="G185" s="27"/>
      <c r="H185" s="27"/>
      <c r="I185" s="29"/>
      <c r="J185" s="27"/>
      <c r="K185" s="30" t="str">
        <f aca="true">IF(OR($A185="",$I185=""),"",IF($J185="Paid",0,IF(TODAY()&gt;$I185,TODAY()-$I185,0)))</f>
        <v/>
      </c>
      <c r="L185" s="34" t="str">
        <f aca="false">IFERROR(INDEX(Customers!$M$4:$M$1003,MATCH($B185,Customers!$A$4:$A$1003,0)),"")</f>
        <v/>
      </c>
      <c r="M185" s="34" t="str">
        <f aca="false">IFERROR(INDEX(Customers!$N$4:$N$1003,MATCH($B185,Customers!$A$4:$A$1003,0)),"")</f>
        <v/>
      </c>
      <c r="N185" s="28"/>
      <c r="O185" s="32"/>
      <c r="Q185" s="27"/>
      <c r="R185" s="29"/>
      <c r="S185" s="28"/>
      <c r="T185" s="32"/>
      <c r="U185" s="41"/>
      <c r="V185" s="27"/>
      <c r="W185" s="28"/>
      <c r="X185" s="28"/>
    </row>
    <row r="186" customFormat="false" ht="15.75" hidden="false" customHeight="true" outlineLevel="0" collapsed="false">
      <c r="A186" s="27"/>
      <c r="B186" s="27"/>
      <c r="C186" s="33" t="str">
        <f aca="false">IFERROR(INDEX(Customers!$C$4:$C$1003,MATCH($B186,Customers!$A$4:$A$1003,0)),"")</f>
        <v/>
      </c>
      <c r="D186" s="28"/>
      <c r="E186" s="41"/>
      <c r="F186" s="29"/>
      <c r="G186" s="27"/>
      <c r="H186" s="27"/>
      <c r="I186" s="29"/>
      <c r="J186" s="27"/>
      <c r="K186" s="30" t="str">
        <f aca="true">IF(OR($A186="",$I186=""),"",IF($J186="Paid",0,IF(TODAY()&gt;$I186,TODAY()-$I186,0)))</f>
        <v/>
      </c>
      <c r="L186" s="34" t="str">
        <f aca="false">IFERROR(INDEX(Customers!$M$4:$M$1003,MATCH($B186,Customers!$A$4:$A$1003,0)),"")</f>
        <v/>
      </c>
      <c r="M186" s="34" t="str">
        <f aca="false">IFERROR(INDEX(Customers!$N$4:$N$1003,MATCH($B186,Customers!$A$4:$A$1003,0)),"")</f>
        <v/>
      </c>
      <c r="N186" s="28"/>
      <c r="O186" s="32"/>
      <c r="Q186" s="27"/>
      <c r="R186" s="29"/>
      <c r="S186" s="28"/>
      <c r="T186" s="32"/>
      <c r="U186" s="41"/>
      <c r="V186" s="27"/>
      <c r="W186" s="28"/>
      <c r="X186" s="28"/>
    </row>
    <row r="187" customFormat="false" ht="15.75" hidden="false" customHeight="true" outlineLevel="0" collapsed="false">
      <c r="A187" s="27"/>
      <c r="B187" s="27"/>
      <c r="C187" s="33" t="str">
        <f aca="false">IFERROR(INDEX(Customers!$C$4:$C$1003,MATCH($B187,Customers!$A$4:$A$1003,0)),"")</f>
        <v/>
      </c>
      <c r="D187" s="28"/>
      <c r="E187" s="41"/>
      <c r="F187" s="29"/>
      <c r="G187" s="27"/>
      <c r="H187" s="27"/>
      <c r="I187" s="29"/>
      <c r="J187" s="27"/>
      <c r="K187" s="30" t="str">
        <f aca="true">IF(OR($A187="",$I187=""),"",IF($J187="Paid",0,IF(TODAY()&gt;$I187,TODAY()-$I187,0)))</f>
        <v/>
      </c>
      <c r="L187" s="34" t="str">
        <f aca="false">IFERROR(INDEX(Customers!$M$4:$M$1003,MATCH($B187,Customers!$A$4:$A$1003,0)),"")</f>
        <v/>
      </c>
      <c r="M187" s="34" t="str">
        <f aca="false">IFERROR(INDEX(Customers!$N$4:$N$1003,MATCH($B187,Customers!$A$4:$A$1003,0)),"")</f>
        <v/>
      </c>
      <c r="N187" s="28"/>
      <c r="O187" s="32"/>
      <c r="Q187" s="27"/>
      <c r="R187" s="29"/>
      <c r="S187" s="28"/>
      <c r="T187" s="32"/>
      <c r="U187" s="41"/>
      <c r="V187" s="27"/>
      <c r="W187" s="28"/>
      <c r="X187" s="28"/>
    </row>
    <row r="188" customFormat="false" ht="15.75" hidden="false" customHeight="true" outlineLevel="0" collapsed="false">
      <c r="A188" s="27"/>
      <c r="B188" s="27"/>
      <c r="C188" s="33" t="str">
        <f aca="false">IFERROR(INDEX(Customers!$C$4:$C$1003,MATCH($B188,Customers!$A$4:$A$1003,0)),"")</f>
        <v/>
      </c>
      <c r="D188" s="28"/>
      <c r="E188" s="41"/>
      <c r="F188" s="29"/>
      <c r="G188" s="27"/>
      <c r="H188" s="27"/>
      <c r="I188" s="29"/>
      <c r="J188" s="27"/>
      <c r="K188" s="30" t="str">
        <f aca="true">IF(OR($A188="",$I188=""),"",IF($J188="Paid",0,IF(TODAY()&gt;$I188,TODAY()-$I188,0)))</f>
        <v/>
      </c>
      <c r="L188" s="34" t="str">
        <f aca="false">IFERROR(INDEX(Customers!$M$4:$M$1003,MATCH($B188,Customers!$A$4:$A$1003,0)),"")</f>
        <v/>
      </c>
      <c r="M188" s="34" t="str">
        <f aca="false">IFERROR(INDEX(Customers!$N$4:$N$1003,MATCH($B188,Customers!$A$4:$A$1003,0)),"")</f>
        <v/>
      </c>
      <c r="N188" s="28"/>
      <c r="O188" s="32"/>
      <c r="Q188" s="27"/>
      <c r="R188" s="29"/>
      <c r="S188" s="28"/>
      <c r="T188" s="32"/>
      <c r="U188" s="41"/>
      <c r="V188" s="27"/>
      <c r="W188" s="28"/>
      <c r="X188" s="28"/>
    </row>
    <row r="189" customFormat="false" ht="15.75" hidden="false" customHeight="true" outlineLevel="0" collapsed="false">
      <c r="A189" s="27"/>
      <c r="B189" s="27"/>
      <c r="C189" s="33" t="str">
        <f aca="false">IFERROR(INDEX(Customers!$C$4:$C$1003,MATCH($B189,Customers!$A$4:$A$1003,0)),"")</f>
        <v/>
      </c>
      <c r="D189" s="28"/>
      <c r="E189" s="41"/>
      <c r="F189" s="29"/>
      <c r="G189" s="27"/>
      <c r="H189" s="27"/>
      <c r="I189" s="29"/>
      <c r="J189" s="27"/>
      <c r="K189" s="30" t="str">
        <f aca="true">IF(OR($A189="",$I189=""),"",IF($J189="Paid",0,IF(TODAY()&gt;$I189,TODAY()-$I189,0)))</f>
        <v/>
      </c>
      <c r="L189" s="34" t="str">
        <f aca="false">IFERROR(INDEX(Customers!$M$4:$M$1003,MATCH($B189,Customers!$A$4:$A$1003,0)),"")</f>
        <v/>
      </c>
      <c r="M189" s="34" t="str">
        <f aca="false">IFERROR(INDEX(Customers!$N$4:$N$1003,MATCH($B189,Customers!$A$4:$A$1003,0)),"")</f>
        <v/>
      </c>
      <c r="N189" s="28"/>
      <c r="O189" s="32"/>
      <c r="Q189" s="27"/>
      <c r="R189" s="29"/>
      <c r="S189" s="28"/>
      <c r="T189" s="32"/>
      <c r="U189" s="41"/>
      <c r="V189" s="27"/>
      <c r="W189" s="28"/>
      <c r="X189" s="28"/>
    </row>
    <row r="190" customFormat="false" ht="15.75" hidden="false" customHeight="true" outlineLevel="0" collapsed="false">
      <c r="A190" s="27"/>
      <c r="B190" s="27"/>
      <c r="C190" s="33" t="str">
        <f aca="false">IFERROR(INDEX(Customers!$C$4:$C$1003,MATCH($B190,Customers!$A$4:$A$1003,0)),"")</f>
        <v/>
      </c>
      <c r="D190" s="28"/>
      <c r="E190" s="41"/>
      <c r="F190" s="29"/>
      <c r="G190" s="27"/>
      <c r="H190" s="27"/>
      <c r="I190" s="29"/>
      <c r="J190" s="27"/>
      <c r="K190" s="30" t="str">
        <f aca="true">IF(OR($A190="",$I190=""),"",IF($J190="Paid",0,IF(TODAY()&gt;$I190,TODAY()-$I190,0)))</f>
        <v/>
      </c>
      <c r="L190" s="34" t="str">
        <f aca="false">IFERROR(INDEX(Customers!$M$4:$M$1003,MATCH($B190,Customers!$A$4:$A$1003,0)),"")</f>
        <v/>
      </c>
      <c r="M190" s="34" t="str">
        <f aca="false">IFERROR(INDEX(Customers!$N$4:$N$1003,MATCH($B190,Customers!$A$4:$A$1003,0)),"")</f>
        <v/>
      </c>
      <c r="N190" s="28"/>
      <c r="O190" s="32"/>
      <c r="Q190" s="27"/>
      <c r="R190" s="29"/>
      <c r="S190" s="28"/>
      <c r="T190" s="32"/>
      <c r="U190" s="41"/>
      <c r="V190" s="27"/>
      <c r="W190" s="28"/>
      <c r="X190" s="28"/>
    </row>
    <row r="191" customFormat="false" ht="15.75" hidden="false" customHeight="true" outlineLevel="0" collapsed="false">
      <c r="A191" s="27"/>
      <c r="B191" s="27"/>
      <c r="C191" s="33" t="str">
        <f aca="false">IFERROR(INDEX(Customers!$C$4:$C$1003,MATCH($B191,Customers!$A$4:$A$1003,0)),"")</f>
        <v/>
      </c>
      <c r="D191" s="28"/>
      <c r="E191" s="41"/>
      <c r="F191" s="29"/>
      <c r="G191" s="27"/>
      <c r="H191" s="27"/>
      <c r="I191" s="29"/>
      <c r="J191" s="27"/>
      <c r="K191" s="30" t="str">
        <f aca="true">IF(OR($A191="",$I191=""),"",IF($J191="Paid",0,IF(TODAY()&gt;$I191,TODAY()-$I191,0)))</f>
        <v/>
      </c>
      <c r="L191" s="34" t="str">
        <f aca="false">IFERROR(INDEX(Customers!$M$4:$M$1003,MATCH($B191,Customers!$A$4:$A$1003,0)),"")</f>
        <v/>
      </c>
      <c r="M191" s="34" t="str">
        <f aca="false">IFERROR(INDEX(Customers!$N$4:$N$1003,MATCH($B191,Customers!$A$4:$A$1003,0)),"")</f>
        <v/>
      </c>
      <c r="N191" s="28"/>
      <c r="O191" s="32"/>
      <c r="Q191" s="27"/>
      <c r="R191" s="29"/>
      <c r="S191" s="28"/>
      <c r="T191" s="32"/>
      <c r="U191" s="41"/>
      <c r="V191" s="27"/>
      <c r="W191" s="28"/>
      <c r="X191" s="28"/>
    </row>
    <row r="192" customFormat="false" ht="15.75" hidden="false" customHeight="true" outlineLevel="0" collapsed="false">
      <c r="A192" s="27"/>
      <c r="B192" s="27"/>
      <c r="C192" s="33" t="str">
        <f aca="false">IFERROR(INDEX(Customers!$C$4:$C$1003,MATCH($B192,Customers!$A$4:$A$1003,0)),"")</f>
        <v/>
      </c>
      <c r="D192" s="28"/>
      <c r="E192" s="41"/>
      <c r="F192" s="29"/>
      <c r="G192" s="27"/>
      <c r="H192" s="27"/>
      <c r="I192" s="29"/>
      <c r="J192" s="27"/>
      <c r="K192" s="30" t="str">
        <f aca="true">IF(OR($A192="",$I192=""),"",IF($J192="Paid",0,IF(TODAY()&gt;$I192,TODAY()-$I192,0)))</f>
        <v/>
      </c>
      <c r="L192" s="34" t="str">
        <f aca="false">IFERROR(INDEX(Customers!$M$4:$M$1003,MATCH($B192,Customers!$A$4:$A$1003,0)),"")</f>
        <v/>
      </c>
      <c r="M192" s="34" t="str">
        <f aca="false">IFERROR(INDEX(Customers!$N$4:$N$1003,MATCH($B192,Customers!$A$4:$A$1003,0)),"")</f>
        <v/>
      </c>
      <c r="N192" s="28"/>
      <c r="O192" s="32"/>
      <c r="Q192" s="27"/>
      <c r="R192" s="29"/>
      <c r="S192" s="28"/>
      <c r="T192" s="32"/>
      <c r="U192" s="41"/>
      <c r="V192" s="27"/>
      <c r="W192" s="28"/>
      <c r="X192" s="28"/>
    </row>
    <row r="193" customFormat="false" ht="15.75" hidden="false" customHeight="true" outlineLevel="0" collapsed="false">
      <c r="A193" s="27"/>
      <c r="B193" s="27"/>
      <c r="C193" s="33" t="str">
        <f aca="false">IFERROR(INDEX(Customers!$C$4:$C$1003,MATCH($B193,Customers!$A$4:$A$1003,0)),"")</f>
        <v/>
      </c>
      <c r="D193" s="28"/>
      <c r="E193" s="41"/>
      <c r="F193" s="29"/>
      <c r="G193" s="27"/>
      <c r="H193" s="27"/>
      <c r="I193" s="29"/>
      <c r="J193" s="27"/>
      <c r="K193" s="30" t="str">
        <f aca="true">IF(OR($A193="",$I193=""),"",IF($J193="Paid",0,IF(TODAY()&gt;$I193,TODAY()-$I193,0)))</f>
        <v/>
      </c>
      <c r="L193" s="34" t="str">
        <f aca="false">IFERROR(INDEX(Customers!$M$4:$M$1003,MATCH($B193,Customers!$A$4:$A$1003,0)),"")</f>
        <v/>
      </c>
      <c r="M193" s="34" t="str">
        <f aca="false">IFERROR(INDEX(Customers!$N$4:$N$1003,MATCH($B193,Customers!$A$4:$A$1003,0)),"")</f>
        <v/>
      </c>
      <c r="N193" s="28"/>
      <c r="O193" s="32"/>
      <c r="Q193" s="27"/>
      <c r="R193" s="29"/>
      <c r="S193" s="28"/>
      <c r="T193" s="32"/>
      <c r="U193" s="41"/>
      <c r="V193" s="27"/>
      <c r="W193" s="28"/>
      <c r="X193" s="28"/>
    </row>
    <row r="194" customFormat="false" ht="15.75" hidden="false" customHeight="true" outlineLevel="0" collapsed="false">
      <c r="A194" s="27"/>
      <c r="B194" s="27"/>
      <c r="C194" s="33" t="str">
        <f aca="false">IFERROR(INDEX(Customers!$C$4:$C$1003,MATCH($B194,Customers!$A$4:$A$1003,0)),"")</f>
        <v/>
      </c>
      <c r="D194" s="28"/>
      <c r="E194" s="41"/>
      <c r="F194" s="29"/>
      <c r="G194" s="27"/>
      <c r="H194" s="27"/>
      <c r="I194" s="29"/>
      <c r="J194" s="27"/>
      <c r="K194" s="30" t="str">
        <f aca="true">IF(OR($A194="",$I194=""),"",IF($J194="Paid",0,IF(TODAY()&gt;$I194,TODAY()-$I194,0)))</f>
        <v/>
      </c>
      <c r="L194" s="34" t="str">
        <f aca="false">IFERROR(INDEX(Customers!$M$4:$M$1003,MATCH($B194,Customers!$A$4:$A$1003,0)),"")</f>
        <v/>
      </c>
      <c r="M194" s="34" t="str">
        <f aca="false">IFERROR(INDEX(Customers!$N$4:$N$1003,MATCH($B194,Customers!$A$4:$A$1003,0)),"")</f>
        <v/>
      </c>
      <c r="N194" s="28"/>
      <c r="O194" s="32"/>
      <c r="Q194" s="27"/>
      <c r="R194" s="29"/>
      <c r="S194" s="28"/>
      <c r="T194" s="32"/>
      <c r="U194" s="41"/>
      <c r="V194" s="27"/>
      <c r="W194" s="28"/>
      <c r="X194" s="28"/>
    </row>
    <row r="195" customFormat="false" ht="15.75" hidden="false" customHeight="true" outlineLevel="0" collapsed="false">
      <c r="A195" s="27"/>
      <c r="B195" s="27"/>
      <c r="C195" s="33" t="str">
        <f aca="false">IFERROR(INDEX(Customers!$C$4:$C$1003,MATCH($B195,Customers!$A$4:$A$1003,0)),"")</f>
        <v/>
      </c>
      <c r="D195" s="28"/>
      <c r="E195" s="41"/>
      <c r="F195" s="29"/>
      <c r="G195" s="27"/>
      <c r="H195" s="27"/>
      <c r="I195" s="29"/>
      <c r="J195" s="27"/>
      <c r="K195" s="30" t="str">
        <f aca="true">IF(OR($A195="",$I195=""),"",IF($J195="Paid",0,IF(TODAY()&gt;$I195,TODAY()-$I195,0)))</f>
        <v/>
      </c>
      <c r="L195" s="34" t="str">
        <f aca="false">IFERROR(INDEX(Customers!$M$4:$M$1003,MATCH($B195,Customers!$A$4:$A$1003,0)),"")</f>
        <v/>
      </c>
      <c r="M195" s="34" t="str">
        <f aca="false">IFERROR(INDEX(Customers!$N$4:$N$1003,MATCH($B195,Customers!$A$4:$A$1003,0)),"")</f>
        <v/>
      </c>
      <c r="N195" s="28"/>
      <c r="O195" s="32"/>
      <c r="Q195" s="27"/>
      <c r="R195" s="29"/>
      <c r="S195" s="28"/>
      <c r="T195" s="32"/>
      <c r="U195" s="41"/>
      <c r="V195" s="27"/>
      <c r="W195" s="28"/>
      <c r="X195" s="28"/>
    </row>
    <row r="196" customFormat="false" ht="15.75" hidden="false" customHeight="true" outlineLevel="0" collapsed="false">
      <c r="A196" s="27"/>
      <c r="B196" s="27"/>
      <c r="C196" s="33" t="str">
        <f aca="false">IFERROR(INDEX(Customers!$C$4:$C$1003,MATCH($B196,Customers!$A$4:$A$1003,0)),"")</f>
        <v/>
      </c>
      <c r="D196" s="28"/>
      <c r="E196" s="41"/>
      <c r="F196" s="29"/>
      <c r="G196" s="27"/>
      <c r="H196" s="27"/>
      <c r="I196" s="29"/>
      <c r="J196" s="27"/>
      <c r="K196" s="30" t="str">
        <f aca="true">IF(OR($A196="",$I196=""),"",IF($J196="Paid",0,IF(TODAY()&gt;$I196,TODAY()-$I196,0)))</f>
        <v/>
      </c>
      <c r="L196" s="34" t="str">
        <f aca="false">IFERROR(INDEX(Customers!$M$4:$M$1003,MATCH($B196,Customers!$A$4:$A$1003,0)),"")</f>
        <v/>
      </c>
      <c r="M196" s="34" t="str">
        <f aca="false">IFERROR(INDEX(Customers!$N$4:$N$1003,MATCH($B196,Customers!$A$4:$A$1003,0)),"")</f>
        <v/>
      </c>
      <c r="N196" s="28"/>
      <c r="O196" s="32"/>
      <c r="Q196" s="27"/>
      <c r="R196" s="29"/>
      <c r="S196" s="28"/>
      <c r="T196" s="32"/>
      <c r="U196" s="41"/>
      <c r="V196" s="27"/>
      <c r="W196" s="28"/>
      <c r="X196" s="28"/>
    </row>
    <row r="197" customFormat="false" ht="15.75" hidden="false" customHeight="true" outlineLevel="0" collapsed="false">
      <c r="A197" s="27"/>
      <c r="B197" s="27"/>
      <c r="C197" s="33" t="str">
        <f aca="false">IFERROR(INDEX(Customers!$C$4:$C$1003,MATCH($B197,Customers!$A$4:$A$1003,0)),"")</f>
        <v/>
      </c>
      <c r="D197" s="28"/>
      <c r="E197" s="41"/>
      <c r="F197" s="29"/>
      <c r="G197" s="27"/>
      <c r="H197" s="27"/>
      <c r="I197" s="29"/>
      <c r="J197" s="27"/>
      <c r="K197" s="30" t="str">
        <f aca="true">IF(OR($A197="",$I197=""),"",IF($J197="Paid",0,IF(TODAY()&gt;$I197,TODAY()-$I197,0)))</f>
        <v/>
      </c>
      <c r="L197" s="34" t="str">
        <f aca="false">IFERROR(INDEX(Customers!$M$4:$M$1003,MATCH($B197,Customers!$A$4:$A$1003,0)),"")</f>
        <v/>
      </c>
      <c r="M197" s="34" t="str">
        <f aca="false">IFERROR(INDEX(Customers!$N$4:$N$1003,MATCH($B197,Customers!$A$4:$A$1003,0)),"")</f>
        <v/>
      </c>
      <c r="N197" s="28"/>
      <c r="O197" s="32"/>
      <c r="Q197" s="27"/>
      <c r="R197" s="29"/>
      <c r="S197" s="28"/>
      <c r="T197" s="32"/>
      <c r="U197" s="41"/>
      <c r="V197" s="27"/>
      <c r="W197" s="28"/>
      <c r="X197" s="28"/>
    </row>
    <row r="198" customFormat="false" ht="15.75" hidden="false" customHeight="true" outlineLevel="0" collapsed="false">
      <c r="A198" s="27"/>
      <c r="B198" s="27"/>
      <c r="C198" s="33" t="str">
        <f aca="false">IFERROR(INDEX(Customers!$C$4:$C$1003,MATCH($B198,Customers!$A$4:$A$1003,0)),"")</f>
        <v/>
      </c>
      <c r="D198" s="28"/>
      <c r="E198" s="41"/>
      <c r="F198" s="29"/>
      <c r="G198" s="27"/>
      <c r="H198" s="27"/>
      <c r="I198" s="29"/>
      <c r="J198" s="27"/>
      <c r="K198" s="30" t="str">
        <f aca="true">IF(OR($A198="",$I198=""),"",IF($J198="Paid",0,IF(TODAY()&gt;$I198,TODAY()-$I198,0)))</f>
        <v/>
      </c>
      <c r="L198" s="34" t="str">
        <f aca="false">IFERROR(INDEX(Customers!$M$4:$M$1003,MATCH($B198,Customers!$A$4:$A$1003,0)),"")</f>
        <v/>
      </c>
      <c r="M198" s="34" t="str">
        <f aca="false">IFERROR(INDEX(Customers!$N$4:$N$1003,MATCH($B198,Customers!$A$4:$A$1003,0)),"")</f>
        <v/>
      </c>
      <c r="N198" s="28"/>
      <c r="O198" s="32"/>
      <c r="Q198" s="27"/>
      <c r="R198" s="29"/>
      <c r="S198" s="28"/>
      <c r="T198" s="32"/>
      <c r="U198" s="41"/>
      <c r="V198" s="27"/>
      <c r="W198" s="28"/>
      <c r="X198" s="28"/>
    </row>
    <row r="199" customFormat="false" ht="15.75" hidden="false" customHeight="true" outlineLevel="0" collapsed="false">
      <c r="A199" s="27"/>
      <c r="B199" s="27"/>
      <c r="C199" s="33" t="str">
        <f aca="false">IFERROR(INDEX(Customers!$C$4:$C$1003,MATCH($B199,Customers!$A$4:$A$1003,0)),"")</f>
        <v/>
      </c>
      <c r="D199" s="28"/>
      <c r="E199" s="41"/>
      <c r="F199" s="29"/>
      <c r="G199" s="27"/>
      <c r="H199" s="27"/>
      <c r="I199" s="29"/>
      <c r="J199" s="27"/>
      <c r="K199" s="30" t="str">
        <f aca="true">IF(OR($A199="",$I199=""),"",IF($J199="Paid",0,IF(TODAY()&gt;$I199,TODAY()-$I199,0)))</f>
        <v/>
      </c>
      <c r="L199" s="34" t="str">
        <f aca="false">IFERROR(INDEX(Customers!$M$4:$M$1003,MATCH($B199,Customers!$A$4:$A$1003,0)),"")</f>
        <v/>
      </c>
      <c r="M199" s="34" t="str">
        <f aca="false">IFERROR(INDEX(Customers!$N$4:$N$1003,MATCH($B199,Customers!$A$4:$A$1003,0)),"")</f>
        <v/>
      </c>
      <c r="N199" s="28"/>
      <c r="O199" s="32"/>
      <c r="Q199" s="27"/>
      <c r="R199" s="29"/>
      <c r="S199" s="28"/>
      <c r="T199" s="32"/>
      <c r="U199" s="41"/>
      <c r="V199" s="27"/>
      <c r="W199" s="28"/>
      <c r="X199" s="28"/>
    </row>
    <row r="200" customFormat="false" ht="15.75" hidden="false" customHeight="true" outlineLevel="0" collapsed="false">
      <c r="A200" s="27"/>
      <c r="B200" s="27"/>
      <c r="C200" s="33" t="str">
        <f aca="false">IFERROR(INDEX(Customers!$C$4:$C$1003,MATCH($B200,Customers!$A$4:$A$1003,0)),"")</f>
        <v/>
      </c>
      <c r="D200" s="28"/>
      <c r="E200" s="41"/>
      <c r="F200" s="29"/>
      <c r="G200" s="27"/>
      <c r="H200" s="27"/>
      <c r="I200" s="29"/>
      <c r="J200" s="27"/>
      <c r="K200" s="30" t="str">
        <f aca="true">IF(OR($A200="",$I200=""),"",IF($J200="Paid",0,IF(TODAY()&gt;$I200,TODAY()-$I200,0)))</f>
        <v/>
      </c>
      <c r="L200" s="34" t="str">
        <f aca="false">IFERROR(INDEX(Customers!$M$4:$M$1003,MATCH($B200,Customers!$A$4:$A$1003,0)),"")</f>
        <v/>
      </c>
      <c r="M200" s="34" t="str">
        <f aca="false">IFERROR(INDEX(Customers!$N$4:$N$1003,MATCH($B200,Customers!$A$4:$A$1003,0)),"")</f>
        <v/>
      </c>
      <c r="N200" s="28"/>
      <c r="O200" s="32"/>
      <c r="Q200" s="27"/>
      <c r="R200" s="29"/>
      <c r="S200" s="28"/>
      <c r="T200" s="32"/>
      <c r="U200" s="41"/>
      <c r="V200" s="27"/>
      <c r="W200" s="28"/>
      <c r="X200" s="28"/>
    </row>
    <row r="201" customFormat="false" ht="15.75" hidden="false" customHeight="true" outlineLevel="0" collapsed="false">
      <c r="A201" s="27"/>
      <c r="B201" s="27"/>
      <c r="C201" s="33" t="str">
        <f aca="false">IFERROR(INDEX(Customers!$C$4:$C$1003,MATCH($B201,Customers!$A$4:$A$1003,0)),"")</f>
        <v/>
      </c>
      <c r="D201" s="28"/>
      <c r="E201" s="41"/>
      <c r="F201" s="29"/>
      <c r="G201" s="27"/>
      <c r="H201" s="27"/>
      <c r="I201" s="29"/>
      <c r="J201" s="27"/>
      <c r="K201" s="30" t="str">
        <f aca="true">IF(OR($A201="",$I201=""),"",IF($J201="Paid",0,IF(TODAY()&gt;$I201,TODAY()-$I201,0)))</f>
        <v/>
      </c>
      <c r="L201" s="34" t="str">
        <f aca="false">IFERROR(INDEX(Customers!$M$4:$M$1003,MATCH($B201,Customers!$A$4:$A$1003,0)),"")</f>
        <v/>
      </c>
      <c r="M201" s="34" t="str">
        <f aca="false">IFERROR(INDEX(Customers!$N$4:$N$1003,MATCH($B201,Customers!$A$4:$A$1003,0)),"")</f>
        <v/>
      </c>
      <c r="N201" s="28"/>
      <c r="O201" s="32"/>
      <c r="Q201" s="27"/>
      <c r="R201" s="29"/>
      <c r="S201" s="28"/>
      <c r="T201" s="32"/>
      <c r="U201" s="41"/>
      <c r="V201" s="27"/>
      <c r="W201" s="28"/>
      <c r="X201" s="28"/>
    </row>
    <row r="202" customFormat="false" ht="15.75" hidden="false" customHeight="true" outlineLevel="0" collapsed="false">
      <c r="A202" s="27"/>
      <c r="B202" s="27"/>
      <c r="C202" s="33" t="str">
        <f aca="false">IFERROR(INDEX(Customers!$C$4:$C$1003,MATCH($B202,Customers!$A$4:$A$1003,0)),"")</f>
        <v/>
      </c>
      <c r="D202" s="28"/>
      <c r="E202" s="41"/>
      <c r="F202" s="29"/>
      <c r="G202" s="27"/>
      <c r="H202" s="27"/>
      <c r="I202" s="29"/>
      <c r="J202" s="27"/>
      <c r="K202" s="30" t="str">
        <f aca="true">IF(OR($A202="",$I202=""),"",IF($J202="Paid",0,IF(TODAY()&gt;$I202,TODAY()-$I202,0)))</f>
        <v/>
      </c>
      <c r="L202" s="34" t="str">
        <f aca="false">IFERROR(INDEX(Customers!$M$4:$M$1003,MATCH($B202,Customers!$A$4:$A$1003,0)),"")</f>
        <v/>
      </c>
      <c r="M202" s="34" t="str">
        <f aca="false">IFERROR(INDEX(Customers!$N$4:$N$1003,MATCH($B202,Customers!$A$4:$A$1003,0)),"")</f>
        <v/>
      </c>
      <c r="N202" s="28"/>
      <c r="O202" s="32"/>
      <c r="Q202" s="27"/>
      <c r="R202" s="29"/>
      <c r="S202" s="28"/>
      <c r="T202" s="32"/>
      <c r="U202" s="41"/>
      <c r="V202" s="27"/>
      <c r="W202" s="28"/>
      <c r="X202" s="28"/>
    </row>
    <row r="203" customFormat="false" ht="15.75" hidden="false" customHeight="true" outlineLevel="0" collapsed="false">
      <c r="A203" s="27"/>
      <c r="B203" s="27"/>
      <c r="C203" s="33" t="str">
        <f aca="false">IFERROR(INDEX(Customers!$C$4:$C$1003,MATCH($B203,Customers!$A$4:$A$1003,0)),"")</f>
        <v/>
      </c>
      <c r="D203" s="28"/>
      <c r="E203" s="41"/>
      <c r="F203" s="29"/>
      <c r="G203" s="27"/>
      <c r="H203" s="27"/>
      <c r="I203" s="29"/>
      <c r="J203" s="27"/>
      <c r="K203" s="30" t="str">
        <f aca="true">IF(OR($A203="",$I203=""),"",IF($J203="Paid",0,IF(TODAY()&gt;$I203,TODAY()-$I203,0)))</f>
        <v/>
      </c>
      <c r="L203" s="34" t="str">
        <f aca="false">IFERROR(INDEX(Customers!$M$4:$M$1003,MATCH($B203,Customers!$A$4:$A$1003,0)),"")</f>
        <v/>
      </c>
      <c r="M203" s="34" t="str">
        <f aca="false">IFERROR(INDEX(Customers!$N$4:$N$1003,MATCH($B203,Customers!$A$4:$A$1003,0)),"")</f>
        <v/>
      </c>
      <c r="N203" s="28"/>
      <c r="O203" s="32"/>
      <c r="Q203" s="27"/>
      <c r="R203" s="29"/>
      <c r="S203" s="28"/>
      <c r="T203" s="32"/>
      <c r="U203" s="41"/>
      <c r="V203" s="27"/>
      <c r="W203" s="28"/>
      <c r="X203" s="28"/>
    </row>
  </sheetData>
  <autoFilter ref="A3:O203"/>
  <mergeCells count="3">
    <mergeCell ref="A1:AA1"/>
    <mergeCell ref="A2:AA2"/>
    <mergeCell ref="Z3:AA3"/>
  </mergeCells>
  <conditionalFormatting sqref="A4:O203">
    <cfRule type="expression" priority="2" aboveAverage="0" equalAverage="0" bottom="0" percent="0" rank="0" text="" dxfId="17">
      <formula>MOD(ROW(),2)=0</formula>
    </cfRule>
  </conditionalFormatting>
  <conditionalFormatting sqref="J4:J203">
    <cfRule type="cellIs" priority="3" operator="equal" aboveAverage="0" equalAverage="0" bottom="0" percent="0" rank="0" text="" dxfId="19">
      <formula>"Paid"</formula>
    </cfRule>
    <cfRule type="cellIs" priority="4" operator="equal" aboveAverage="0" equalAverage="0" bottom="0" percent="0" rank="0" text="" dxfId="20">
      <formula>"Pending"</formula>
    </cfRule>
    <cfRule type="cellIs" priority="5" operator="equal" aboveAverage="0" equalAverage="0" bottom="0" percent="0" rank="0" text="" dxfId="22">
      <formula>"Overdue"</formula>
    </cfRule>
    <cfRule type="cellIs" priority="6" operator="equal" aboveAverage="0" equalAverage="0" bottom="0" percent="0" rank="0" text="" dxfId="18">
      <formula>"Partial"</formula>
    </cfRule>
    <cfRule type="cellIs" priority="7" operator="equal" aboveAverage="0" equalAverage="0" bottom="0" percent="0" rank="0" text="" dxfId="23">
      <formula>"Cancelled"</formula>
    </cfRule>
  </conditionalFormatting>
  <conditionalFormatting sqref="K4:K203">
    <cfRule type="cellIs" priority="8" operator="greaterThan" aboveAverage="0" equalAverage="0" bottom="0" percent="0" rank="0" text="" dxfId="22">
      <formula>0</formula>
    </cfRule>
  </conditionalFormatting>
  <dataValidations count="11">
    <dataValidation allowBlank="true" error="Please choose one of the values from the drop-down list." errorStyle="stop" errorTitle="Invalid entry" operator="between" showDropDown="false" showErrorMessage="false" showInputMessage="false" sqref="D4:D203" type="list">
      <formula1>Settings!$K$32:$K$35</formula1>
      <formula2>0</formula2>
    </dataValidation>
    <dataValidation allowBlank="true" error="Please choose one of the values from the drop-down list." errorStyle="stop" errorTitle="Invalid entry" operator="between" showDropDown="false" showErrorMessage="false" showInputMessage="false" sqref="G4:G203" type="list">
      <formula1>Settings!$J$32:$J$36</formula1>
      <formula2>0</formula2>
    </dataValidation>
    <dataValidation allowBlank="true" error="Please choose one of the values from the drop-down list." errorStyle="stop" errorTitle="Invalid entry" operator="between" showDropDown="false" showErrorMessage="false" showInputMessage="false" sqref="J4:J203" type="list">
      <formula1>Settings!$I$32:$I$36</formula1>
      <formula2>0</formula2>
    </dataValidation>
    <dataValidation allowBlank="true" error="Please choose one of the values from the drop-down list." errorStyle="stop" errorTitle="Invalid entry" operator="between" showDropDown="false" showErrorMessage="false" showInputMessage="false" sqref="N4:N203" type="list">
      <formula1>'Employee Management'!$B$4:$B$43</formula1>
      <formula2>0</formula2>
    </dataValidation>
    <dataValidation allowBlank="true" error="Enter a valid date (dd/mm/yyyy)." errorStyle="stop" errorTitle="Invalid date" operator="between" showDropDown="false" showErrorMessage="false" showInputMessage="false" sqref="F4:F203" type="date">
      <formula1>DATE(2020,1,1)</formula1>
      <formula2>DATE(2100,12,31)</formula2>
    </dataValidation>
    <dataValidation allowBlank="true" error="Enter a valid date (dd/mm/yyyy)." errorStyle="stop" errorTitle="Invalid date" operator="between" showDropDown="false" showErrorMessage="false" showInputMessage="false" sqref="I4:I203" type="date">
      <formula1>DATE(2020,1,1)</formula1>
      <formula2>DATE(2100,12,31)</formula2>
    </dataValidation>
    <dataValidation allowBlank="true" error="Enter a number between 0 and 100000000." errorStyle="stop" errorTitle="Invalid number" operator="between" showDropDown="false" showErrorMessage="false" showInputMessage="false" sqref="E4:E203" type="decimal">
      <formula1>0</formula1>
      <formula2>100000000</formula2>
    </dataValidation>
    <dataValidation allowBlank="true" error="Enter a valid date (dd/mm/yyyy)." errorStyle="stop" errorTitle="Invalid date" operator="between" showDropDown="false" showErrorMessage="false" showInputMessage="false" sqref="R4:R203" type="date">
      <formula1>DATE(2020,1,1)</formula1>
      <formula2>DATE(2100,12,31)</formula2>
    </dataValidation>
    <dataValidation allowBlank="true" error="Please choose one of the values from the drop-down list." errorStyle="stop" errorTitle="Invalid entry" operator="between" showDropDown="false" showErrorMessage="false" showInputMessage="false" sqref="S4:S203" type="list">
      <formula1>Settings!$Q$32:$Q$36</formula1>
      <formula2>0</formula2>
    </dataValidation>
    <dataValidation allowBlank="true" error="Please choose one of the values from the drop-down list." errorStyle="stop" errorTitle="Invalid entry" operator="between" showDropDown="false" showErrorMessage="false" showInputMessage="false" sqref="V4:V203" type="list">
      <formula1>Settings!$J$32:$J$36</formula1>
      <formula2>0</formula2>
    </dataValidation>
    <dataValidation allowBlank="true" error="Enter a number between 0 and 100000000." errorStyle="stop" errorTitle="Invalid number" operator="between" showDropDown="false" showErrorMessage="false" showInputMessage="false" sqref="U4:U203" type="decimal">
      <formula1>0</formula1>
      <formula2>100000000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U2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2734375" defaultRowHeight="15" customHeight="false"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8"/>
    <col collapsed="false" customWidth="true" hidden="false" outlineLevel="0" max="14" min="4" style="0" width="13"/>
    <col collapsed="false" customWidth="true" hidden="false" outlineLevel="0" max="17" min="15" style="0" width="12"/>
    <col collapsed="false" customWidth="true" hidden="false" outlineLevel="0" max="18" min="18" style="0" width="17"/>
    <col collapsed="false" customWidth="true" hidden="false" outlineLevel="0" max="19" min="19" style="0" width="20"/>
    <col collapsed="false" customWidth="true" hidden="false" outlineLevel="0" max="20" min="20" style="0" width="13"/>
    <col collapsed="false" customWidth="true" hidden="false" outlineLevel="0" max="21" min="21" style="0" width="34"/>
  </cols>
  <sheetData>
    <row r="1" customFormat="false" ht="30" hidden="false" customHeight="true" outlineLevel="0" collapsed="false">
      <c r="A1" s="1" t="s">
        <v>595</v>
      </c>
      <c r="B1" s="1"/>
      <c r="C1" s="1"/>
      <c r="D1" s="1"/>
      <c r="E1" s="1"/>
      <c r="F1" s="1"/>
      <c r="G1" s="1"/>
      <c r="H1" s="1"/>
      <c r="I1" s="1"/>
      <c r="J1" s="1"/>
      <c r="K1" s="1"/>
      <c r="L1" s="1"/>
      <c r="M1" s="1"/>
      <c r="N1" s="1"/>
      <c r="O1" s="1"/>
      <c r="P1" s="1"/>
      <c r="Q1" s="1"/>
      <c r="R1" s="1"/>
      <c r="S1" s="1"/>
      <c r="T1" s="1"/>
      <c r="U1" s="1"/>
    </row>
    <row r="2" customFormat="false" ht="15.75" hidden="false" customHeight="true" outlineLevel="0" collapsed="false">
      <c r="A2" s="2" t="s">
        <v>596</v>
      </c>
      <c r="B2" s="2"/>
      <c r="C2" s="2"/>
      <c r="D2" s="2"/>
      <c r="E2" s="2"/>
      <c r="F2" s="2"/>
      <c r="G2" s="2"/>
      <c r="H2" s="2"/>
      <c r="I2" s="2"/>
      <c r="J2" s="2"/>
      <c r="K2" s="2"/>
      <c r="L2" s="2"/>
      <c r="M2" s="2"/>
      <c r="N2" s="2"/>
      <c r="O2" s="2"/>
      <c r="P2" s="2"/>
      <c r="Q2" s="2"/>
      <c r="R2" s="2"/>
      <c r="S2" s="2"/>
      <c r="T2" s="2"/>
      <c r="U2" s="2"/>
    </row>
    <row r="3" customFormat="false" ht="31.5" hidden="false" customHeight="true" outlineLevel="0" collapsed="false">
      <c r="A3" s="26" t="s">
        <v>328</v>
      </c>
      <c r="B3" s="26" t="s">
        <v>32</v>
      </c>
      <c r="C3" s="26" t="s">
        <v>329</v>
      </c>
      <c r="D3" s="26" t="s">
        <v>597</v>
      </c>
      <c r="E3" s="26" t="s">
        <v>598</v>
      </c>
      <c r="F3" s="26" t="s">
        <v>599</v>
      </c>
      <c r="G3" s="26" t="s">
        <v>600</v>
      </c>
      <c r="H3" s="26" t="s">
        <v>601</v>
      </c>
      <c r="I3" s="26" t="s">
        <v>602</v>
      </c>
      <c r="J3" s="26" t="s">
        <v>603</v>
      </c>
      <c r="K3" s="26" t="s">
        <v>604</v>
      </c>
      <c r="L3" s="26" t="s">
        <v>605</v>
      </c>
      <c r="M3" s="26" t="s">
        <v>606</v>
      </c>
      <c r="N3" s="26" t="s">
        <v>607</v>
      </c>
      <c r="O3" s="26" t="s">
        <v>608</v>
      </c>
      <c r="P3" s="26" t="s">
        <v>609</v>
      </c>
      <c r="Q3" s="26" t="s">
        <v>610</v>
      </c>
      <c r="R3" s="26" t="s">
        <v>611</v>
      </c>
      <c r="S3" s="26" t="s">
        <v>612</v>
      </c>
      <c r="T3" s="26" t="s">
        <v>613</v>
      </c>
      <c r="U3" s="26" t="s">
        <v>54</v>
      </c>
    </row>
    <row r="4" customFormat="false" ht="15.75" hidden="false" customHeight="true" outlineLevel="0" collapsed="false">
      <c r="A4" s="27" t="s">
        <v>342</v>
      </c>
      <c r="B4" s="33" t="str">
        <f aca="false">IFERROR(INDEX(Customers!$C$4:$C$1003,MATCH($A4,Customers!$A$4:$A$1003,0)),"")</f>
        <v>Firdavs Rahmonov</v>
      </c>
      <c r="C4" s="31" t="str">
        <f aca="false">IFERROR(INDEX(Customers!$F$4:$F$1003,MATCH($A4,Customers!$A$4:$A$1003,0)),"")</f>
        <v>Poland</v>
      </c>
      <c r="D4" s="27" t="s">
        <v>614</v>
      </c>
      <c r="E4" s="27" t="s">
        <v>614</v>
      </c>
      <c r="F4" s="27" t="s">
        <v>614</v>
      </c>
      <c r="G4" s="27" t="s">
        <v>614</v>
      </c>
      <c r="H4" s="27" t="s">
        <v>614</v>
      </c>
      <c r="I4" s="27" t="s">
        <v>614</v>
      </c>
      <c r="J4" s="27" t="s">
        <v>614</v>
      </c>
      <c r="K4" s="27" t="s">
        <v>614</v>
      </c>
      <c r="L4" s="27" t="s">
        <v>614</v>
      </c>
      <c r="M4" s="27" t="s">
        <v>614</v>
      </c>
      <c r="N4" s="27" t="s">
        <v>614</v>
      </c>
      <c r="O4" s="30" t="n">
        <f aca="false">IF($A4="","",COUNTIF($D4:$N4,"Yes"))</f>
        <v>11</v>
      </c>
      <c r="P4" s="30" t="n">
        <f aca="false">IF($A4="","",COUNTA($D$3:$N$3))</f>
        <v>11</v>
      </c>
      <c r="Q4" s="35" t="n">
        <f aca="false">IF($A4="","",IFERROR($O4/$P4,""))</f>
        <v>1</v>
      </c>
      <c r="R4" s="31" t="str">
        <f aca="false">IF($A4="","",IF($Q4=1,"Complete",IF($Q4&gt;=0.7,"Almost Complete",IF($Q4&gt;0,"In Progress","Not Started"))))</f>
        <v>Complete</v>
      </c>
      <c r="S4" s="28" t="s">
        <v>101</v>
      </c>
      <c r="T4" s="29" t="n">
        <v>46233</v>
      </c>
      <c r="U4" s="32"/>
    </row>
    <row r="5" customFormat="false" ht="15.75" hidden="false" customHeight="true" outlineLevel="0" collapsed="false">
      <c r="A5" s="27" t="s">
        <v>345</v>
      </c>
      <c r="B5" s="33" t="str">
        <f aca="false">IFERROR(INDEX(Customers!$C$4:$C$1003,MATCH($A5,Customers!$A$4:$A$1003,0)),"")</f>
        <v>Nilufar Sharipova</v>
      </c>
      <c r="C5" s="31" t="str">
        <f aca="false">IFERROR(INDEX(Customers!$F$4:$F$1003,MATCH($A5,Customers!$A$4:$A$1003,0)),"")</f>
        <v>Germany</v>
      </c>
      <c r="D5" s="27" t="s">
        <v>614</v>
      </c>
      <c r="E5" s="27" t="s">
        <v>614</v>
      </c>
      <c r="F5" s="27" t="s">
        <v>614</v>
      </c>
      <c r="G5" s="27" t="s">
        <v>614</v>
      </c>
      <c r="H5" s="27" t="s">
        <v>614</v>
      </c>
      <c r="I5" s="27" t="s">
        <v>614</v>
      </c>
      <c r="J5" s="27" t="s">
        <v>614</v>
      </c>
      <c r="K5" s="27" t="s">
        <v>614</v>
      </c>
      <c r="L5" s="27" t="s">
        <v>614</v>
      </c>
      <c r="M5" s="27" t="s">
        <v>614</v>
      </c>
      <c r="N5" s="27" t="s">
        <v>614</v>
      </c>
      <c r="O5" s="30" t="n">
        <f aca="false">IF($A5="","",COUNTIF($D5:$N5,"Yes"))</f>
        <v>11</v>
      </c>
      <c r="P5" s="30" t="n">
        <f aca="false">IF($A5="","",COUNTA($D$3:$N$3))</f>
        <v>11</v>
      </c>
      <c r="Q5" s="35" t="n">
        <f aca="false">IF($A5="","",IFERROR($O5/$P5,""))</f>
        <v>1</v>
      </c>
      <c r="R5" s="31" t="str">
        <f aca="false">IF($A5="","",IF($Q5=1,"Complete",IF($Q5&gt;=0.7,"Almost Complete",IF($Q5&gt;0,"In Progress","Not Started"))))</f>
        <v>Complete</v>
      </c>
      <c r="S5" s="28" t="s">
        <v>101</v>
      </c>
      <c r="T5" s="29" t="n">
        <v>46233</v>
      </c>
      <c r="U5" s="32"/>
    </row>
    <row r="6" customFormat="false" ht="15.75" hidden="false" customHeight="true" outlineLevel="0" collapsed="false">
      <c r="A6" s="27" t="s">
        <v>348</v>
      </c>
      <c r="B6" s="33" t="str">
        <f aca="false">IFERROR(INDEX(Customers!$C$4:$C$1003,MATCH($A6,Customers!$A$4:$A$1003,0)),"")</f>
        <v>Jamshed Karimov</v>
      </c>
      <c r="C6" s="31" t="str">
        <f aca="false">IFERROR(INDEX(Customers!$F$4:$F$1003,MATCH($A6,Customers!$A$4:$A$1003,0)),"")</f>
        <v>Czech Republic</v>
      </c>
      <c r="D6" s="27" t="s">
        <v>614</v>
      </c>
      <c r="E6" s="27" t="s">
        <v>614</v>
      </c>
      <c r="F6" s="27" t="s">
        <v>614</v>
      </c>
      <c r="G6" s="27" t="s">
        <v>614</v>
      </c>
      <c r="H6" s="27" t="s">
        <v>614</v>
      </c>
      <c r="I6" s="27" t="s">
        <v>614</v>
      </c>
      <c r="J6" s="27" t="s">
        <v>614</v>
      </c>
      <c r="K6" s="27" t="s">
        <v>614</v>
      </c>
      <c r="L6" s="27" t="s">
        <v>614</v>
      </c>
      <c r="M6" s="27" t="s">
        <v>614</v>
      </c>
      <c r="N6" s="27" t="s">
        <v>614</v>
      </c>
      <c r="O6" s="30" t="n">
        <f aca="false">IF($A6="","",COUNTIF($D6:$N6,"Yes"))</f>
        <v>11</v>
      </c>
      <c r="P6" s="30" t="n">
        <f aca="false">IF($A6="","",COUNTA($D$3:$N$3))</f>
        <v>11</v>
      </c>
      <c r="Q6" s="35" t="n">
        <f aca="false">IF($A6="","",IFERROR($O6/$P6,""))</f>
        <v>1</v>
      </c>
      <c r="R6" s="31" t="str">
        <f aca="false">IF($A6="","",IF($Q6=1,"Complete",IF($Q6&gt;=0.7,"Almost Complete",IF($Q6&gt;0,"In Progress","Not Started"))))</f>
        <v>Complete</v>
      </c>
      <c r="S6" s="28" t="s">
        <v>101</v>
      </c>
      <c r="T6" s="29" t="n">
        <v>46233</v>
      </c>
      <c r="U6" s="32"/>
    </row>
    <row r="7" customFormat="false" ht="15.75" hidden="false" customHeight="true" outlineLevel="0" collapsed="false">
      <c r="A7" s="27" t="s">
        <v>352</v>
      </c>
      <c r="B7" s="33" t="str">
        <f aca="false">IFERROR(INDEX(Customers!$C$4:$C$1003,MATCH($A7,Customers!$A$4:$A$1003,0)),"")</f>
        <v>Zarina Nazriyeva</v>
      </c>
      <c r="C7" s="31" t="str">
        <f aca="false">IFERROR(INDEX(Customers!$F$4:$F$1003,MATCH($A7,Customers!$A$4:$A$1003,0)),"")</f>
        <v>Poland</v>
      </c>
      <c r="D7" s="27" t="s">
        <v>614</v>
      </c>
      <c r="E7" s="27" t="s">
        <v>614</v>
      </c>
      <c r="F7" s="27" t="s">
        <v>614</v>
      </c>
      <c r="G7" s="27" t="s">
        <v>614</v>
      </c>
      <c r="H7" s="27" t="s">
        <v>614</v>
      </c>
      <c r="I7" s="27" t="s">
        <v>614</v>
      </c>
      <c r="J7" s="27" t="s">
        <v>614</v>
      </c>
      <c r="K7" s="27" t="s">
        <v>614</v>
      </c>
      <c r="L7" s="27" t="s">
        <v>614</v>
      </c>
      <c r="M7" s="27" t="s">
        <v>614</v>
      </c>
      <c r="N7" s="27" t="s">
        <v>614</v>
      </c>
      <c r="O7" s="30" t="n">
        <f aca="false">IF($A7="","",COUNTIF($D7:$N7,"Yes"))</f>
        <v>11</v>
      </c>
      <c r="P7" s="30" t="n">
        <f aca="false">IF($A7="","",COUNTA($D$3:$N$3))</f>
        <v>11</v>
      </c>
      <c r="Q7" s="35" t="n">
        <f aca="false">IF($A7="","",IFERROR($O7/$P7,""))</f>
        <v>1</v>
      </c>
      <c r="R7" s="31" t="str">
        <f aca="false">IF($A7="","",IF($Q7=1,"Complete",IF($Q7&gt;=0.7,"Almost Complete",IF($Q7&gt;0,"In Progress","Not Started"))))</f>
        <v>Complete</v>
      </c>
      <c r="S7" s="28" t="s">
        <v>101</v>
      </c>
      <c r="T7" s="29" t="n">
        <v>46233</v>
      </c>
      <c r="U7" s="32"/>
    </row>
    <row r="8" customFormat="false" ht="15.75" hidden="false" customHeight="true" outlineLevel="0" collapsed="false">
      <c r="A8" s="27" t="s">
        <v>354</v>
      </c>
      <c r="B8" s="33" t="str">
        <f aca="false">IFERROR(INDEX(Customers!$C$4:$C$1003,MATCH($A8,Customers!$A$4:$A$1003,0)),"")</f>
        <v>Bakhtiyor Umarov</v>
      </c>
      <c r="C8" s="31" t="str">
        <f aca="false">IFERROR(INDEX(Customers!$F$4:$F$1003,MATCH($A8,Customers!$A$4:$A$1003,0)),"")</f>
        <v>Slovakia</v>
      </c>
      <c r="D8" s="27" t="s">
        <v>614</v>
      </c>
      <c r="E8" s="27" t="s">
        <v>614</v>
      </c>
      <c r="F8" s="27" t="s">
        <v>614</v>
      </c>
      <c r="G8" s="27" t="s">
        <v>614</v>
      </c>
      <c r="H8" s="27" t="s">
        <v>614</v>
      </c>
      <c r="I8" s="27" t="s">
        <v>614</v>
      </c>
      <c r="J8" s="27" t="s">
        <v>614</v>
      </c>
      <c r="K8" s="27" t="s">
        <v>614</v>
      </c>
      <c r="L8" s="27" t="s">
        <v>614</v>
      </c>
      <c r="M8" s="27" t="s">
        <v>615</v>
      </c>
      <c r="N8" s="27" t="s">
        <v>614</v>
      </c>
      <c r="O8" s="30" t="n">
        <f aca="false">IF($A8="","",COUNTIF($D8:$N8,"Yes"))</f>
        <v>10</v>
      </c>
      <c r="P8" s="30" t="n">
        <f aca="false">IF($A8="","",COUNTA($D$3:$N$3))</f>
        <v>11</v>
      </c>
      <c r="Q8" s="35" t="n">
        <f aca="false">IF($A8="","",IFERROR($O8/$P8,""))</f>
        <v>0.909090909090909</v>
      </c>
      <c r="R8" s="31" t="str">
        <f aca="false">IF($A8="","",IF($Q8=1,"Complete",IF($Q8&gt;=0.7,"Almost Complete",IF($Q8&gt;0,"In Progress","Not Started"))))</f>
        <v>Almost Complete</v>
      </c>
      <c r="S8" s="28" t="s">
        <v>101</v>
      </c>
      <c r="T8" s="29" t="n">
        <v>46233</v>
      </c>
      <c r="U8" s="32"/>
    </row>
    <row r="9" customFormat="false" ht="15.75" hidden="false" customHeight="true" outlineLevel="0" collapsed="false">
      <c r="A9" s="27" t="s">
        <v>357</v>
      </c>
      <c r="B9" s="33" t="str">
        <f aca="false">IFERROR(INDEX(Customers!$C$4:$C$1003,MATCH($A9,Customers!$A$4:$A$1003,0)),"")</f>
        <v>Manizha Qodirova</v>
      </c>
      <c r="C9" s="31" t="str">
        <f aca="false">IFERROR(INDEX(Customers!$F$4:$F$1003,MATCH($A9,Customers!$A$4:$A$1003,0)),"")</f>
        <v>Germany</v>
      </c>
      <c r="D9" s="27" t="s">
        <v>614</v>
      </c>
      <c r="E9" s="27" t="s">
        <v>614</v>
      </c>
      <c r="F9" s="27" t="s">
        <v>614</v>
      </c>
      <c r="G9" s="27" t="s">
        <v>614</v>
      </c>
      <c r="H9" s="27" t="s">
        <v>614</v>
      </c>
      <c r="I9" s="27" t="s">
        <v>614</v>
      </c>
      <c r="J9" s="27" t="s">
        <v>614</v>
      </c>
      <c r="K9" s="27" t="s">
        <v>614</v>
      </c>
      <c r="L9" s="27" t="s">
        <v>615</v>
      </c>
      <c r="M9" s="27" t="s">
        <v>615</v>
      </c>
      <c r="N9" s="27" t="s">
        <v>614</v>
      </c>
      <c r="O9" s="30" t="n">
        <f aca="false">IF($A9="","",COUNTIF($D9:$N9,"Yes"))</f>
        <v>9</v>
      </c>
      <c r="P9" s="30" t="n">
        <f aca="false">IF($A9="","",COUNTA($D$3:$N$3))</f>
        <v>11</v>
      </c>
      <c r="Q9" s="35" t="n">
        <f aca="false">IF($A9="","",IFERROR($O9/$P9,""))</f>
        <v>0.818181818181818</v>
      </c>
      <c r="R9" s="31" t="str">
        <f aca="false">IF($A9="","",IF($Q9=1,"Complete",IF($Q9&gt;=0.7,"Almost Complete",IF($Q9&gt;0,"In Progress","Not Started"))))</f>
        <v>Almost Complete</v>
      </c>
      <c r="S9" s="28" t="s">
        <v>101</v>
      </c>
      <c r="T9" s="29" t="n">
        <v>46233</v>
      </c>
      <c r="U9" s="32" t="s">
        <v>616</v>
      </c>
    </row>
    <row r="10" customFormat="false" ht="15.75" hidden="false" customHeight="true" outlineLevel="0" collapsed="false">
      <c r="A10" s="27" t="s">
        <v>360</v>
      </c>
      <c r="B10" s="33" t="str">
        <f aca="false">IFERROR(INDEX(Customers!$C$4:$C$1003,MATCH($A10,Customers!$A$4:$A$1003,0)),"")</f>
        <v>Rustam Sattorov</v>
      </c>
      <c r="C10" s="31" t="str">
        <f aca="false">IFERROR(INDEX(Customers!$F$4:$F$1003,MATCH($A10,Customers!$A$4:$A$1003,0)),"")</f>
        <v>Poland</v>
      </c>
      <c r="D10" s="27" t="s">
        <v>614</v>
      </c>
      <c r="E10" s="27" t="s">
        <v>614</v>
      </c>
      <c r="F10" s="27" t="s">
        <v>614</v>
      </c>
      <c r="G10" s="27" t="s">
        <v>614</v>
      </c>
      <c r="H10" s="27" t="s">
        <v>614</v>
      </c>
      <c r="I10" s="27" t="s">
        <v>614</v>
      </c>
      <c r="J10" s="27" t="s">
        <v>614</v>
      </c>
      <c r="K10" s="27" t="s">
        <v>614</v>
      </c>
      <c r="L10" s="27" t="s">
        <v>615</v>
      </c>
      <c r="M10" s="27" t="s">
        <v>615</v>
      </c>
      <c r="N10" s="27" t="s">
        <v>614</v>
      </c>
      <c r="O10" s="30" t="n">
        <f aca="false">IF($A10="","",COUNTIF($D10:$N10,"Yes"))</f>
        <v>9</v>
      </c>
      <c r="P10" s="30" t="n">
        <f aca="false">IF($A10="","",COUNTA($D$3:$N$3))</f>
        <v>11</v>
      </c>
      <c r="Q10" s="35" t="n">
        <f aca="false">IF($A10="","",IFERROR($O10/$P10,""))</f>
        <v>0.818181818181818</v>
      </c>
      <c r="R10" s="31" t="str">
        <f aca="false">IF($A10="","",IF($Q10=1,"Complete",IF($Q10&gt;=0.7,"Almost Complete",IF($Q10&gt;0,"In Progress","Not Started"))))</f>
        <v>Almost Complete</v>
      </c>
      <c r="S10" s="28" t="s">
        <v>101</v>
      </c>
      <c r="T10" s="29" t="n">
        <v>46233</v>
      </c>
      <c r="U10" s="32"/>
    </row>
    <row r="11" customFormat="false" ht="15.75" hidden="false" customHeight="true" outlineLevel="0" collapsed="false">
      <c r="A11" s="27" t="s">
        <v>362</v>
      </c>
      <c r="B11" s="33" t="str">
        <f aca="false">IFERROR(INDEX(Customers!$C$4:$C$1003,MATCH($A11,Customers!$A$4:$A$1003,0)),"")</f>
        <v>Dilnoza Aliyeva</v>
      </c>
      <c r="C11" s="31" t="str">
        <f aca="false">IFERROR(INDEX(Customers!$F$4:$F$1003,MATCH($A11,Customers!$A$4:$A$1003,0)),"")</f>
        <v>Lithuania</v>
      </c>
      <c r="D11" s="27" t="s">
        <v>614</v>
      </c>
      <c r="E11" s="27" t="s">
        <v>614</v>
      </c>
      <c r="F11" s="27" t="s">
        <v>614</v>
      </c>
      <c r="G11" s="27" t="s">
        <v>614</v>
      </c>
      <c r="H11" s="27" t="s">
        <v>614</v>
      </c>
      <c r="I11" s="27" t="s">
        <v>614</v>
      </c>
      <c r="J11" s="27" t="s">
        <v>614</v>
      </c>
      <c r="K11" s="27" t="s">
        <v>614</v>
      </c>
      <c r="L11" s="27" t="s">
        <v>615</v>
      </c>
      <c r="M11" s="27" t="s">
        <v>615</v>
      </c>
      <c r="N11" s="27" t="s">
        <v>614</v>
      </c>
      <c r="O11" s="30" t="n">
        <f aca="false">IF($A11="","",COUNTIF($D11:$N11,"Yes"))</f>
        <v>9</v>
      </c>
      <c r="P11" s="30" t="n">
        <f aca="false">IF($A11="","",COUNTA($D$3:$N$3))</f>
        <v>11</v>
      </c>
      <c r="Q11" s="35" t="n">
        <f aca="false">IF($A11="","",IFERROR($O11/$P11,""))</f>
        <v>0.818181818181818</v>
      </c>
      <c r="R11" s="31" t="str">
        <f aca="false">IF($A11="","",IF($Q11=1,"Complete",IF($Q11&gt;=0.7,"Almost Complete",IF($Q11&gt;0,"In Progress","Not Started"))))</f>
        <v>Almost Complete</v>
      </c>
      <c r="S11" s="28" t="s">
        <v>101</v>
      </c>
      <c r="T11" s="29" t="n">
        <v>46233</v>
      </c>
      <c r="U11" s="32"/>
    </row>
    <row r="12" customFormat="false" ht="15.75" hidden="false" customHeight="true" outlineLevel="0" collapsed="false">
      <c r="A12" s="27" t="s">
        <v>365</v>
      </c>
      <c r="B12" s="33" t="str">
        <f aca="false">IFERROR(INDEX(Customers!$C$4:$C$1003,MATCH($A12,Customers!$A$4:$A$1003,0)),"")</f>
        <v>Sherali Yusupov</v>
      </c>
      <c r="C12" s="31" t="str">
        <f aca="false">IFERROR(INDEX(Customers!$F$4:$F$1003,MATCH($A12,Customers!$A$4:$A$1003,0)),"")</f>
        <v>Czech Republic</v>
      </c>
      <c r="D12" s="27" t="s">
        <v>614</v>
      </c>
      <c r="E12" s="27" t="s">
        <v>614</v>
      </c>
      <c r="F12" s="27" t="s">
        <v>614</v>
      </c>
      <c r="G12" s="27" t="s">
        <v>614</v>
      </c>
      <c r="H12" s="27" t="s">
        <v>614</v>
      </c>
      <c r="I12" s="27" t="s">
        <v>614</v>
      </c>
      <c r="J12" s="27" t="s">
        <v>614</v>
      </c>
      <c r="K12" s="27" t="s">
        <v>614</v>
      </c>
      <c r="L12" s="27" t="s">
        <v>615</v>
      </c>
      <c r="M12" s="27" t="s">
        <v>615</v>
      </c>
      <c r="N12" s="27" t="s">
        <v>614</v>
      </c>
      <c r="O12" s="30" t="n">
        <f aca="false">IF($A12="","",COUNTIF($D12:$N12,"Yes"))</f>
        <v>9</v>
      </c>
      <c r="P12" s="30" t="n">
        <f aca="false">IF($A12="","",COUNTA($D$3:$N$3))</f>
        <v>11</v>
      </c>
      <c r="Q12" s="35" t="n">
        <f aca="false">IF($A12="","",IFERROR($O12/$P12,""))</f>
        <v>0.818181818181818</v>
      </c>
      <c r="R12" s="31" t="str">
        <f aca="false">IF($A12="","",IF($Q12=1,"Complete",IF($Q12&gt;=0.7,"Almost Complete",IF($Q12&gt;0,"In Progress","Not Started"))))</f>
        <v>Almost Complete</v>
      </c>
      <c r="S12" s="28" t="s">
        <v>101</v>
      </c>
      <c r="T12" s="29" t="n">
        <v>46233</v>
      </c>
      <c r="U12" s="32"/>
    </row>
    <row r="13" customFormat="false" ht="15.75" hidden="false" customHeight="true" outlineLevel="0" collapsed="false">
      <c r="A13" s="27" t="s">
        <v>368</v>
      </c>
      <c r="B13" s="33" t="str">
        <f aca="false">IFERROR(INDEX(Customers!$C$4:$C$1003,MATCH($A13,Customers!$A$4:$A$1003,0)),"")</f>
        <v>Malika Ismoilova</v>
      </c>
      <c r="C13" s="31" t="str">
        <f aca="false">IFERROR(INDEX(Customers!$F$4:$F$1003,MATCH($A13,Customers!$A$4:$A$1003,0)),"")</f>
        <v>Poland</v>
      </c>
      <c r="D13" s="27" t="s">
        <v>614</v>
      </c>
      <c r="E13" s="27" t="s">
        <v>614</v>
      </c>
      <c r="F13" s="27" t="s">
        <v>614</v>
      </c>
      <c r="G13" s="27" t="s">
        <v>614</v>
      </c>
      <c r="H13" s="27" t="s">
        <v>614</v>
      </c>
      <c r="I13" s="27" t="s">
        <v>614</v>
      </c>
      <c r="J13" s="27" t="s">
        <v>614</v>
      </c>
      <c r="K13" s="27" t="s">
        <v>614</v>
      </c>
      <c r="L13" s="27" t="s">
        <v>615</v>
      </c>
      <c r="M13" s="27" t="s">
        <v>615</v>
      </c>
      <c r="N13" s="27" t="s">
        <v>614</v>
      </c>
      <c r="O13" s="30" t="n">
        <f aca="false">IF($A13="","",COUNTIF($D13:$N13,"Yes"))</f>
        <v>9</v>
      </c>
      <c r="P13" s="30" t="n">
        <f aca="false">IF($A13="","",COUNTA($D$3:$N$3))</f>
        <v>11</v>
      </c>
      <c r="Q13" s="35" t="n">
        <f aca="false">IF($A13="","",IFERROR($O13/$P13,""))</f>
        <v>0.818181818181818</v>
      </c>
      <c r="R13" s="31" t="str">
        <f aca="false">IF($A13="","",IF($Q13=1,"Complete",IF($Q13&gt;=0.7,"Almost Complete",IF($Q13&gt;0,"In Progress","Not Started"))))</f>
        <v>Almost Complete</v>
      </c>
      <c r="S13" s="28" t="s">
        <v>101</v>
      </c>
      <c r="T13" s="29" t="n">
        <v>46233</v>
      </c>
      <c r="U13" s="32"/>
    </row>
    <row r="14" customFormat="false" ht="15.75" hidden="false" customHeight="true" outlineLevel="0" collapsed="false">
      <c r="A14" s="27" t="s">
        <v>370</v>
      </c>
      <c r="B14" s="33" t="str">
        <f aca="false">IFERROR(INDEX(Customers!$C$4:$C$1003,MATCH($A14,Customers!$A$4:$A$1003,0)),"")</f>
        <v>Farrukh Davlatov</v>
      </c>
      <c r="C14" s="31" t="str">
        <f aca="false">IFERROR(INDEX(Customers!$F$4:$F$1003,MATCH($A14,Customers!$A$4:$A$1003,0)),"")</f>
        <v>Hungary</v>
      </c>
      <c r="D14" s="27" t="s">
        <v>614</v>
      </c>
      <c r="E14" s="27" t="s">
        <v>614</v>
      </c>
      <c r="F14" s="27" t="s">
        <v>614</v>
      </c>
      <c r="G14" s="27" t="s">
        <v>614</v>
      </c>
      <c r="H14" s="27" t="s">
        <v>614</v>
      </c>
      <c r="I14" s="27" t="s">
        <v>614</v>
      </c>
      <c r="J14" s="27" t="s">
        <v>615</v>
      </c>
      <c r="K14" s="27" t="s">
        <v>615</v>
      </c>
      <c r="L14" s="27" t="s">
        <v>615</v>
      </c>
      <c r="M14" s="27" t="s">
        <v>615</v>
      </c>
      <c r="N14" s="27" t="s">
        <v>614</v>
      </c>
      <c r="O14" s="30" t="n">
        <f aca="false">IF($A14="","",COUNTIF($D14:$N14,"Yes"))</f>
        <v>7</v>
      </c>
      <c r="P14" s="30" t="n">
        <f aca="false">IF($A14="","",COUNTA($D$3:$N$3))</f>
        <v>11</v>
      </c>
      <c r="Q14" s="35" t="n">
        <f aca="false">IF($A14="","",IFERROR($O14/$P14,""))</f>
        <v>0.636363636363636</v>
      </c>
      <c r="R14" s="31" t="str">
        <f aca="false">IF($A14="","",IF($Q14=1,"Complete",IF($Q14&gt;=0.7,"Almost Complete",IF($Q14&gt;0,"In Progress","Not Started"))))</f>
        <v>In Progress</v>
      </c>
      <c r="S14" s="28" t="s">
        <v>101</v>
      </c>
      <c r="T14" s="29" t="n">
        <v>46233</v>
      </c>
      <c r="U14" s="32"/>
    </row>
    <row r="15" customFormat="false" ht="15.75" hidden="false" customHeight="true" outlineLevel="0" collapsed="false">
      <c r="A15" s="27" t="s">
        <v>374</v>
      </c>
      <c r="B15" s="33" t="str">
        <f aca="false">IFERROR(INDEX(Customers!$C$4:$C$1003,MATCH($A15,Customers!$A$4:$A$1003,0)),"")</f>
        <v>Gulnora Safarova</v>
      </c>
      <c r="C15" s="31" t="str">
        <f aca="false">IFERROR(INDEX(Customers!$F$4:$F$1003,MATCH($A15,Customers!$A$4:$A$1003,0)),"")</f>
        <v>Romania</v>
      </c>
      <c r="D15" s="27" t="s">
        <v>614</v>
      </c>
      <c r="E15" s="27" t="s">
        <v>614</v>
      </c>
      <c r="F15" s="27" t="s">
        <v>614</v>
      </c>
      <c r="G15" s="27" t="s">
        <v>614</v>
      </c>
      <c r="H15" s="27" t="s">
        <v>615</v>
      </c>
      <c r="I15" s="27" t="s">
        <v>615</v>
      </c>
      <c r="J15" s="27" t="s">
        <v>615</v>
      </c>
      <c r="K15" s="27" t="s">
        <v>615</v>
      </c>
      <c r="L15" s="27" t="s">
        <v>615</v>
      </c>
      <c r="M15" s="27" t="s">
        <v>615</v>
      </c>
      <c r="N15" s="27" t="s">
        <v>615</v>
      </c>
      <c r="O15" s="30" t="n">
        <f aca="false">IF($A15="","",COUNTIF($D15:$N15,"Yes"))</f>
        <v>4</v>
      </c>
      <c r="P15" s="30" t="n">
        <f aca="false">IF($A15="","",COUNTA($D$3:$N$3))</f>
        <v>11</v>
      </c>
      <c r="Q15" s="35" t="n">
        <f aca="false">IF($A15="","",IFERROR($O15/$P15,""))</f>
        <v>0.363636363636364</v>
      </c>
      <c r="R15" s="31" t="str">
        <f aca="false">IF($A15="","",IF($Q15=1,"Complete",IF($Q15&gt;=0.7,"Almost Complete",IF($Q15&gt;0,"In Progress","Not Started"))))</f>
        <v>In Progress</v>
      </c>
      <c r="S15" s="28" t="s">
        <v>101</v>
      </c>
      <c r="T15" s="29" t="n">
        <v>46233</v>
      </c>
      <c r="U15" s="32"/>
    </row>
    <row r="16" customFormat="false" ht="15.75" hidden="false" customHeight="true" outlineLevel="0" collapsed="false">
      <c r="A16" s="27"/>
      <c r="B16" s="33" t="str">
        <f aca="false">IFERROR(INDEX(Customers!$C$4:$C$1003,MATCH($A16,Customers!$A$4:$A$1003,0)),"")</f>
        <v/>
      </c>
      <c r="C16" s="31" t="str">
        <f aca="false">IFERROR(INDEX(Customers!$F$4:$F$1003,MATCH($A16,Customers!$A$4:$A$1003,0)),"")</f>
        <v/>
      </c>
      <c r="D16" s="27"/>
      <c r="E16" s="27"/>
      <c r="F16" s="27"/>
      <c r="G16" s="27"/>
      <c r="H16" s="27"/>
      <c r="I16" s="27"/>
      <c r="J16" s="27"/>
      <c r="K16" s="27"/>
      <c r="L16" s="27"/>
      <c r="M16" s="27"/>
      <c r="N16" s="27"/>
      <c r="O16" s="30" t="str">
        <f aca="false">IF($A16="","",COUNTIF($D16:$N16,"Yes"))</f>
        <v/>
      </c>
      <c r="P16" s="30" t="str">
        <f aca="false">IF($A16="","",COUNTA($D$3:$N$3))</f>
        <v/>
      </c>
      <c r="Q16" s="35" t="str">
        <f aca="false">IF($A16="","",IFERROR($O16/$P16,""))</f>
        <v/>
      </c>
      <c r="R16" s="31" t="str">
        <f aca="false">IF($A16="","",IF($Q16=1,"Complete",IF($Q16&gt;=0.7,"Almost Complete",IF($Q16&gt;0,"In Progress","Not Started"))))</f>
        <v/>
      </c>
      <c r="S16" s="28"/>
      <c r="T16" s="29"/>
      <c r="U16" s="32"/>
    </row>
    <row r="17" customFormat="false" ht="15.75" hidden="false" customHeight="true" outlineLevel="0" collapsed="false">
      <c r="A17" s="27"/>
      <c r="B17" s="33" t="str">
        <f aca="false">IFERROR(INDEX(Customers!$C$4:$C$1003,MATCH($A17,Customers!$A$4:$A$1003,0)),"")</f>
        <v/>
      </c>
      <c r="C17" s="31" t="str">
        <f aca="false">IFERROR(INDEX(Customers!$F$4:$F$1003,MATCH($A17,Customers!$A$4:$A$1003,0)),"")</f>
        <v/>
      </c>
      <c r="D17" s="27"/>
      <c r="E17" s="27"/>
      <c r="F17" s="27"/>
      <c r="G17" s="27"/>
      <c r="H17" s="27"/>
      <c r="I17" s="27"/>
      <c r="J17" s="27"/>
      <c r="K17" s="27"/>
      <c r="L17" s="27"/>
      <c r="M17" s="27"/>
      <c r="N17" s="27"/>
      <c r="O17" s="30" t="str">
        <f aca="false">IF($A17="","",COUNTIF($D17:$N17,"Yes"))</f>
        <v/>
      </c>
      <c r="P17" s="30" t="str">
        <f aca="false">IF($A17="","",COUNTA($D$3:$N$3))</f>
        <v/>
      </c>
      <c r="Q17" s="35" t="str">
        <f aca="false">IF($A17="","",IFERROR($O17/$P17,""))</f>
        <v/>
      </c>
      <c r="R17" s="31" t="str">
        <f aca="false">IF($A17="","",IF($Q17=1,"Complete",IF($Q17&gt;=0.7,"Almost Complete",IF($Q17&gt;0,"In Progress","Not Started"))))</f>
        <v/>
      </c>
      <c r="S17" s="28"/>
      <c r="T17" s="29"/>
      <c r="U17" s="32"/>
    </row>
    <row r="18" customFormat="false" ht="15.75" hidden="false" customHeight="true" outlineLevel="0" collapsed="false">
      <c r="A18" s="27"/>
      <c r="B18" s="33" t="str">
        <f aca="false">IFERROR(INDEX(Customers!$C$4:$C$1003,MATCH($A18,Customers!$A$4:$A$1003,0)),"")</f>
        <v/>
      </c>
      <c r="C18" s="31" t="str">
        <f aca="false">IFERROR(INDEX(Customers!$F$4:$F$1003,MATCH($A18,Customers!$A$4:$A$1003,0)),"")</f>
        <v/>
      </c>
      <c r="D18" s="27"/>
      <c r="E18" s="27"/>
      <c r="F18" s="27"/>
      <c r="G18" s="27"/>
      <c r="H18" s="27"/>
      <c r="I18" s="27"/>
      <c r="J18" s="27"/>
      <c r="K18" s="27"/>
      <c r="L18" s="27"/>
      <c r="M18" s="27"/>
      <c r="N18" s="27"/>
      <c r="O18" s="30" t="str">
        <f aca="false">IF($A18="","",COUNTIF($D18:$N18,"Yes"))</f>
        <v/>
      </c>
      <c r="P18" s="30" t="str">
        <f aca="false">IF($A18="","",COUNTA($D$3:$N$3))</f>
        <v/>
      </c>
      <c r="Q18" s="35" t="str">
        <f aca="false">IF($A18="","",IFERROR($O18/$P18,""))</f>
        <v/>
      </c>
      <c r="R18" s="31" t="str">
        <f aca="false">IF($A18="","",IF($Q18=1,"Complete",IF($Q18&gt;=0.7,"Almost Complete",IF($Q18&gt;0,"In Progress","Not Started"))))</f>
        <v/>
      </c>
      <c r="S18" s="28"/>
      <c r="T18" s="29"/>
      <c r="U18" s="32"/>
    </row>
    <row r="19" customFormat="false" ht="15.75" hidden="false" customHeight="true" outlineLevel="0" collapsed="false">
      <c r="A19" s="27"/>
      <c r="B19" s="33" t="str">
        <f aca="false">IFERROR(INDEX(Customers!$C$4:$C$1003,MATCH($A19,Customers!$A$4:$A$1003,0)),"")</f>
        <v/>
      </c>
      <c r="C19" s="31" t="str">
        <f aca="false">IFERROR(INDEX(Customers!$F$4:$F$1003,MATCH($A19,Customers!$A$4:$A$1003,0)),"")</f>
        <v/>
      </c>
      <c r="D19" s="27"/>
      <c r="E19" s="27"/>
      <c r="F19" s="27"/>
      <c r="G19" s="27"/>
      <c r="H19" s="27"/>
      <c r="I19" s="27"/>
      <c r="J19" s="27"/>
      <c r="K19" s="27"/>
      <c r="L19" s="27"/>
      <c r="M19" s="27"/>
      <c r="N19" s="27"/>
      <c r="O19" s="30" t="str">
        <f aca="false">IF($A19="","",COUNTIF($D19:$N19,"Yes"))</f>
        <v/>
      </c>
      <c r="P19" s="30" t="str">
        <f aca="false">IF($A19="","",COUNTA($D$3:$N$3))</f>
        <v/>
      </c>
      <c r="Q19" s="35" t="str">
        <f aca="false">IF($A19="","",IFERROR($O19/$P19,""))</f>
        <v/>
      </c>
      <c r="R19" s="31" t="str">
        <f aca="false">IF($A19="","",IF($Q19=1,"Complete",IF($Q19&gt;=0.7,"Almost Complete",IF($Q19&gt;0,"In Progress","Not Started"))))</f>
        <v/>
      </c>
      <c r="S19" s="28"/>
      <c r="T19" s="29"/>
      <c r="U19" s="32"/>
    </row>
    <row r="20" customFormat="false" ht="15.75" hidden="false" customHeight="true" outlineLevel="0" collapsed="false">
      <c r="A20" s="27"/>
      <c r="B20" s="33" t="str">
        <f aca="false">IFERROR(INDEX(Customers!$C$4:$C$1003,MATCH($A20,Customers!$A$4:$A$1003,0)),"")</f>
        <v/>
      </c>
      <c r="C20" s="31" t="str">
        <f aca="false">IFERROR(INDEX(Customers!$F$4:$F$1003,MATCH($A20,Customers!$A$4:$A$1003,0)),"")</f>
        <v/>
      </c>
      <c r="D20" s="27"/>
      <c r="E20" s="27"/>
      <c r="F20" s="27"/>
      <c r="G20" s="27"/>
      <c r="H20" s="27"/>
      <c r="I20" s="27"/>
      <c r="J20" s="27"/>
      <c r="K20" s="27"/>
      <c r="L20" s="27"/>
      <c r="M20" s="27"/>
      <c r="N20" s="27"/>
      <c r="O20" s="30" t="str">
        <f aca="false">IF($A20="","",COUNTIF($D20:$N20,"Yes"))</f>
        <v/>
      </c>
      <c r="P20" s="30" t="str">
        <f aca="false">IF($A20="","",COUNTA($D$3:$N$3))</f>
        <v/>
      </c>
      <c r="Q20" s="35" t="str">
        <f aca="false">IF($A20="","",IFERROR($O20/$P20,""))</f>
        <v/>
      </c>
      <c r="R20" s="31" t="str">
        <f aca="false">IF($A20="","",IF($Q20=1,"Complete",IF($Q20&gt;=0.7,"Almost Complete",IF($Q20&gt;0,"In Progress","Not Started"))))</f>
        <v/>
      </c>
      <c r="S20" s="28"/>
      <c r="T20" s="29"/>
      <c r="U20" s="32"/>
    </row>
    <row r="21" customFormat="false" ht="15.75" hidden="false" customHeight="true" outlineLevel="0" collapsed="false">
      <c r="A21" s="27"/>
      <c r="B21" s="33" t="str">
        <f aca="false">IFERROR(INDEX(Customers!$C$4:$C$1003,MATCH($A21,Customers!$A$4:$A$1003,0)),"")</f>
        <v/>
      </c>
      <c r="C21" s="31" t="str">
        <f aca="false">IFERROR(INDEX(Customers!$F$4:$F$1003,MATCH($A21,Customers!$A$4:$A$1003,0)),"")</f>
        <v/>
      </c>
      <c r="D21" s="27"/>
      <c r="E21" s="27"/>
      <c r="F21" s="27"/>
      <c r="G21" s="27"/>
      <c r="H21" s="27"/>
      <c r="I21" s="27"/>
      <c r="J21" s="27"/>
      <c r="K21" s="27"/>
      <c r="L21" s="27"/>
      <c r="M21" s="27"/>
      <c r="N21" s="27"/>
      <c r="O21" s="30" t="str">
        <f aca="false">IF($A21="","",COUNTIF($D21:$N21,"Yes"))</f>
        <v/>
      </c>
      <c r="P21" s="30" t="str">
        <f aca="false">IF($A21="","",COUNTA($D$3:$N$3))</f>
        <v/>
      </c>
      <c r="Q21" s="35" t="str">
        <f aca="false">IF($A21="","",IFERROR($O21/$P21,""))</f>
        <v/>
      </c>
      <c r="R21" s="31" t="str">
        <f aca="false">IF($A21="","",IF($Q21=1,"Complete",IF($Q21&gt;=0.7,"Almost Complete",IF($Q21&gt;0,"In Progress","Not Started"))))</f>
        <v/>
      </c>
      <c r="S21" s="28"/>
      <c r="T21" s="29"/>
      <c r="U21" s="32"/>
    </row>
    <row r="22" customFormat="false" ht="15.75" hidden="false" customHeight="true" outlineLevel="0" collapsed="false">
      <c r="A22" s="27"/>
      <c r="B22" s="33" t="str">
        <f aca="false">IFERROR(INDEX(Customers!$C$4:$C$1003,MATCH($A22,Customers!$A$4:$A$1003,0)),"")</f>
        <v/>
      </c>
      <c r="C22" s="31" t="str">
        <f aca="false">IFERROR(INDEX(Customers!$F$4:$F$1003,MATCH($A22,Customers!$A$4:$A$1003,0)),"")</f>
        <v/>
      </c>
      <c r="D22" s="27"/>
      <c r="E22" s="27"/>
      <c r="F22" s="27"/>
      <c r="G22" s="27"/>
      <c r="H22" s="27"/>
      <c r="I22" s="27"/>
      <c r="J22" s="27"/>
      <c r="K22" s="27"/>
      <c r="L22" s="27"/>
      <c r="M22" s="27"/>
      <c r="N22" s="27"/>
      <c r="O22" s="30" t="str">
        <f aca="false">IF($A22="","",COUNTIF($D22:$N22,"Yes"))</f>
        <v/>
      </c>
      <c r="P22" s="30" t="str">
        <f aca="false">IF($A22="","",COUNTA($D$3:$N$3))</f>
        <v/>
      </c>
      <c r="Q22" s="35" t="str">
        <f aca="false">IF($A22="","",IFERROR($O22/$P22,""))</f>
        <v/>
      </c>
      <c r="R22" s="31" t="str">
        <f aca="false">IF($A22="","",IF($Q22=1,"Complete",IF($Q22&gt;=0.7,"Almost Complete",IF($Q22&gt;0,"In Progress","Not Started"))))</f>
        <v/>
      </c>
      <c r="S22" s="28"/>
      <c r="T22" s="29"/>
      <c r="U22" s="32"/>
    </row>
    <row r="23" customFormat="false" ht="15.75" hidden="false" customHeight="true" outlineLevel="0" collapsed="false">
      <c r="A23" s="27"/>
      <c r="B23" s="33" t="str">
        <f aca="false">IFERROR(INDEX(Customers!$C$4:$C$1003,MATCH($A23,Customers!$A$4:$A$1003,0)),"")</f>
        <v/>
      </c>
      <c r="C23" s="31" t="str">
        <f aca="false">IFERROR(INDEX(Customers!$F$4:$F$1003,MATCH($A23,Customers!$A$4:$A$1003,0)),"")</f>
        <v/>
      </c>
      <c r="D23" s="27"/>
      <c r="E23" s="27"/>
      <c r="F23" s="27"/>
      <c r="G23" s="27"/>
      <c r="H23" s="27"/>
      <c r="I23" s="27"/>
      <c r="J23" s="27"/>
      <c r="K23" s="27"/>
      <c r="L23" s="27"/>
      <c r="M23" s="27"/>
      <c r="N23" s="27"/>
      <c r="O23" s="30" t="str">
        <f aca="false">IF($A23="","",COUNTIF($D23:$N23,"Yes"))</f>
        <v/>
      </c>
      <c r="P23" s="30" t="str">
        <f aca="false">IF($A23="","",COUNTA($D$3:$N$3))</f>
        <v/>
      </c>
      <c r="Q23" s="35" t="str">
        <f aca="false">IF($A23="","",IFERROR($O23/$P23,""))</f>
        <v/>
      </c>
      <c r="R23" s="31" t="str">
        <f aca="false">IF($A23="","",IF($Q23=1,"Complete",IF($Q23&gt;=0.7,"Almost Complete",IF($Q23&gt;0,"In Progress","Not Started"))))</f>
        <v/>
      </c>
      <c r="S23" s="28"/>
      <c r="T23" s="29"/>
      <c r="U23" s="32"/>
    </row>
    <row r="24" customFormat="false" ht="15.75" hidden="false" customHeight="true" outlineLevel="0" collapsed="false">
      <c r="A24" s="27"/>
      <c r="B24" s="33" t="str">
        <f aca="false">IFERROR(INDEX(Customers!$C$4:$C$1003,MATCH($A24,Customers!$A$4:$A$1003,0)),"")</f>
        <v/>
      </c>
      <c r="C24" s="31" t="str">
        <f aca="false">IFERROR(INDEX(Customers!$F$4:$F$1003,MATCH($A24,Customers!$A$4:$A$1003,0)),"")</f>
        <v/>
      </c>
      <c r="D24" s="27"/>
      <c r="E24" s="27"/>
      <c r="F24" s="27"/>
      <c r="G24" s="27"/>
      <c r="H24" s="27"/>
      <c r="I24" s="27"/>
      <c r="J24" s="27"/>
      <c r="K24" s="27"/>
      <c r="L24" s="27"/>
      <c r="M24" s="27"/>
      <c r="N24" s="27"/>
      <c r="O24" s="30" t="str">
        <f aca="false">IF($A24="","",COUNTIF($D24:$N24,"Yes"))</f>
        <v/>
      </c>
      <c r="P24" s="30" t="str">
        <f aca="false">IF($A24="","",COUNTA($D$3:$N$3))</f>
        <v/>
      </c>
      <c r="Q24" s="35" t="str">
        <f aca="false">IF($A24="","",IFERROR($O24/$P24,""))</f>
        <v/>
      </c>
      <c r="R24" s="31" t="str">
        <f aca="false">IF($A24="","",IF($Q24=1,"Complete",IF($Q24&gt;=0.7,"Almost Complete",IF($Q24&gt;0,"In Progress","Not Started"))))</f>
        <v/>
      </c>
      <c r="S24" s="28"/>
      <c r="T24" s="29"/>
      <c r="U24" s="32"/>
    </row>
    <row r="25" customFormat="false" ht="15.75" hidden="false" customHeight="true" outlineLevel="0" collapsed="false">
      <c r="A25" s="27"/>
      <c r="B25" s="33" t="str">
        <f aca="false">IFERROR(INDEX(Customers!$C$4:$C$1003,MATCH($A25,Customers!$A$4:$A$1003,0)),"")</f>
        <v/>
      </c>
      <c r="C25" s="31" t="str">
        <f aca="false">IFERROR(INDEX(Customers!$F$4:$F$1003,MATCH($A25,Customers!$A$4:$A$1003,0)),"")</f>
        <v/>
      </c>
      <c r="D25" s="27"/>
      <c r="E25" s="27"/>
      <c r="F25" s="27"/>
      <c r="G25" s="27"/>
      <c r="H25" s="27"/>
      <c r="I25" s="27"/>
      <c r="J25" s="27"/>
      <c r="K25" s="27"/>
      <c r="L25" s="27"/>
      <c r="M25" s="27"/>
      <c r="N25" s="27"/>
      <c r="O25" s="30" t="str">
        <f aca="false">IF($A25="","",COUNTIF($D25:$N25,"Yes"))</f>
        <v/>
      </c>
      <c r="P25" s="30" t="str">
        <f aca="false">IF($A25="","",COUNTA($D$3:$N$3))</f>
        <v/>
      </c>
      <c r="Q25" s="35" t="str">
        <f aca="false">IF($A25="","",IFERROR($O25/$P25,""))</f>
        <v/>
      </c>
      <c r="R25" s="31" t="str">
        <f aca="false">IF($A25="","",IF($Q25=1,"Complete",IF($Q25&gt;=0.7,"Almost Complete",IF($Q25&gt;0,"In Progress","Not Started"))))</f>
        <v/>
      </c>
      <c r="S25" s="28"/>
      <c r="T25" s="29"/>
      <c r="U25" s="32"/>
    </row>
    <row r="26" customFormat="false" ht="15.75" hidden="false" customHeight="true" outlineLevel="0" collapsed="false">
      <c r="A26" s="27"/>
      <c r="B26" s="33" t="str">
        <f aca="false">IFERROR(INDEX(Customers!$C$4:$C$1003,MATCH($A26,Customers!$A$4:$A$1003,0)),"")</f>
        <v/>
      </c>
      <c r="C26" s="31" t="str">
        <f aca="false">IFERROR(INDEX(Customers!$F$4:$F$1003,MATCH($A26,Customers!$A$4:$A$1003,0)),"")</f>
        <v/>
      </c>
      <c r="D26" s="27"/>
      <c r="E26" s="27"/>
      <c r="F26" s="27"/>
      <c r="G26" s="27"/>
      <c r="H26" s="27"/>
      <c r="I26" s="27"/>
      <c r="J26" s="27"/>
      <c r="K26" s="27"/>
      <c r="L26" s="27"/>
      <c r="M26" s="27"/>
      <c r="N26" s="27"/>
      <c r="O26" s="30" t="str">
        <f aca="false">IF($A26="","",COUNTIF($D26:$N26,"Yes"))</f>
        <v/>
      </c>
      <c r="P26" s="30" t="str">
        <f aca="false">IF($A26="","",COUNTA($D$3:$N$3))</f>
        <v/>
      </c>
      <c r="Q26" s="35" t="str">
        <f aca="false">IF($A26="","",IFERROR($O26/$P26,""))</f>
        <v/>
      </c>
      <c r="R26" s="31" t="str">
        <f aca="false">IF($A26="","",IF($Q26=1,"Complete",IF($Q26&gt;=0.7,"Almost Complete",IF($Q26&gt;0,"In Progress","Not Started"))))</f>
        <v/>
      </c>
      <c r="S26" s="28"/>
      <c r="T26" s="29"/>
      <c r="U26" s="32"/>
    </row>
    <row r="27" customFormat="false" ht="15.75" hidden="false" customHeight="true" outlineLevel="0" collapsed="false">
      <c r="A27" s="27"/>
      <c r="B27" s="33" t="str">
        <f aca="false">IFERROR(INDEX(Customers!$C$4:$C$1003,MATCH($A27,Customers!$A$4:$A$1003,0)),"")</f>
        <v/>
      </c>
      <c r="C27" s="31" t="str">
        <f aca="false">IFERROR(INDEX(Customers!$F$4:$F$1003,MATCH($A27,Customers!$A$4:$A$1003,0)),"")</f>
        <v/>
      </c>
      <c r="D27" s="27"/>
      <c r="E27" s="27"/>
      <c r="F27" s="27"/>
      <c r="G27" s="27"/>
      <c r="H27" s="27"/>
      <c r="I27" s="27"/>
      <c r="J27" s="27"/>
      <c r="K27" s="27"/>
      <c r="L27" s="27"/>
      <c r="M27" s="27"/>
      <c r="N27" s="27"/>
      <c r="O27" s="30" t="str">
        <f aca="false">IF($A27="","",COUNTIF($D27:$N27,"Yes"))</f>
        <v/>
      </c>
      <c r="P27" s="30" t="str">
        <f aca="false">IF($A27="","",COUNTA($D$3:$N$3))</f>
        <v/>
      </c>
      <c r="Q27" s="35" t="str">
        <f aca="false">IF($A27="","",IFERROR($O27/$P27,""))</f>
        <v/>
      </c>
      <c r="R27" s="31" t="str">
        <f aca="false">IF($A27="","",IF($Q27=1,"Complete",IF($Q27&gt;=0.7,"Almost Complete",IF($Q27&gt;0,"In Progress","Not Started"))))</f>
        <v/>
      </c>
      <c r="S27" s="28"/>
      <c r="T27" s="29"/>
      <c r="U27" s="32"/>
    </row>
    <row r="28" customFormat="false" ht="15.75" hidden="false" customHeight="true" outlineLevel="0" collapsed="false">
      <c r="A28" s="27"/>
      <c r="B28" s="33" t="str">
        <f aca="false">IFERROR(INDEX(Customers!$C$4:$C$1003,MATCH($A28,Customers!$A$4:$A$1003,0)),"")</f>
        <v/>
      </c>
      <c r="C28" s="31" t="str">
        <f aca="false">IFERROR(INDEX(Customers!$F$4:$F$1003,MATCH($A28,Customers!$A$4:$A$1003,0)),"")</f>
        <v/>
      </c>
      <c r="D28" s="27"/>
      <c r="E28" s="27"/>
      <c r="F28" s="27"/>
      <c r="G28" s="27"/>
      <c r="H28" s="27"/>
      <c r="I28" s="27"/>
      <c r="J28" s="27"/>
      <c r="K28" s="27"/>
      <c r="L28" s="27"/>
      <c r="M28" s="27"/>
      <c r="N28" s="27"/>
      <c r="O28" s="30" t="str">
        <f aca="false">IF($A28="","",COUNTIF($D28:$N28,"Yes"))</f>
        <v/>
      </c>
      <c r="P28" s="30" t="str">
        <f aca="false">IF($A28="","",COUNTA($D$3:$N$3))</f>
        <v/>
      </c>
      <c r="Q28" s="35" t="str">
        <f aca="false">IF($A28="","",IFERROR($O28/$P28,""))</f>
        <v/>
      </c>
      <c r="R28" s="31" t="str">
        <f aca="false">IF($A28="","",IF($Q28=1,"Complete",IF($Q28&gt;=0.7,"Almost Complete",IF($Q28&gt;0,"In Progress","Not Started"))))</f>
        <v/>
      </c>
      <c r="S28" s="28"/>
      <c r="T28" s="29"/>
      <c r="U28" s="32"/>
    </row>
    <row r="29" customFormat="false" ht="15.75" hidden="false" customHeight="true" outlineLevel="0" collapsed="false">
      <c r="A29" s="27"/>
      <c r="B29" s="33" t="str">
        <f aca="false">IFERROR(INDEX(Customers!$C$4:$C$1003,MATCH($A29,Customers!$A$4:$A$1003,0)),"")</f>
        <v/>
      </c>
      <c r="C29" s="31" t="str">
        <f aca="false">IFERROR(INDEX(Customers!$F$4:$F$1003,MATCH($A29,Customers!$A$4:$A$1003,0)),"")</f>
        <v/>
      </c>
      <c r="D29" s="27"/>
      <c r="E29" s="27"/>
      <c r="F29" s="27"/>
      <c r="G29" s="27"/>
      <c r="H29" s="27"/>
      <c r="I29" s="27"/>
      <c r="J29" s="27"/>
      <c r="K29" s="27"/>
      <c r="L29" s="27"/>
      <c r="M29" s="27"/>
      <c r="N29" s="27"/>
      <c r="O29" s="30" t="str">
        <f aca="false">IF($A29="","",COUNTIF($D29:$N29,"Yes"))</f>
        <v/>
      </c>
      <c r="P29" s="30" t="str">
        <f aca="false">IF($A29="","",COUNTA($D$3:$N$3))</f>
        <v/>
      </c>
      <c r="Q29" s="35" t="str">
        <f aca="false">IF($A29="","",IFERROR($O29/$P29,""))</f>
        <v/>
      </c>
      <c r="R29" s="31" t="str">
        <f aca="false">IF($A29="","",IF($Q29=1,"Complete",IF($Q29&gt;=0.7,"Almost Complete",IF($Q29&gt;0,"In Progress","Not Started"))))</f>
        <v/>
      </c>
      <c r="S29" s="28"/>
      <c r="T29" s="29"/>
      <c r="U29" s="32"/>
    </row>
    <row r="30" customFormat="false" ht="15.75" hidden="false" customHeight="true" outlineLevel="0" collapsed="false">
      <c r="A30" s="27"/>
      <c r="B30" s="33" t="str">
        <f aca="false">IFERROR(INDEX(Customers!$C$4:$C$1003,MATCH($A30,Customers!$A$4:$A$1003,0)),"")</f>
        <v/>
      </c>
      <c r="C30" s="31" t="str">
        <f aca="false">IFERROR(INDEX(Customers!$F$4:$F$1003,MATCH($A30,Customers!$A$4:$A$1003,0)),"")</f>
        <v/>
      </c>
      <c r="D30" s="27"/>
      <c r="E30" s="27"/>
      <c r="F30" s="27"/>
      <c r="G30" s="27"/>
      <c r="H30" s="27"/>
      <c r="I30" s="27"/>
      <c r="J30" s="27"/>
      <c r="K30" s="27"/>
      <c r="L30" s="27"/>
      <c r="M30" s="27"/>
      <c r="N30" s="27"/>
      <c r="O30" s="30" t="str">
        <f aca="false">IF($A30="","",COUNTIF($D30:$N30,"Yes"))</f>
        <v/>
      </c>
      <c r="P30" s="30" t="str">
        <f aca="false">IF($A30="","",COUNTA($D$3:$N$3))</f>
        <v/>
      </c>
      <c r="Q30" s="35" t="str">
        <f aca="false">IF($A30="","",IFERROR($O30/$P30,""))</f>
        <v/>
      </c>
      <c r="R30" s="31" t="str">
        <f aca="false">IF($A30="","",IF($Q30=1,"Complete",IF($Q30&gt;=0.7,"Almost Complete",IF($Q30&gt;0,"In Progress","Not Started"))))</f>
        <v/>
      </c>
      <c r="S30" s="28"/>
      <c r="T30" s="29"/>
      <c r="U30" s="32"/>
    </row>
    <row r="31" customFormat="false" ht="15.75" hidden="false" customHeight="true" outlineLevel="0" collapsed="false">
      <c r="A31" s="27"/>
      <c r="B31" s="33" t="str">
        <f aca="false">IFERROR(INDEX(Customers!$C$4:$C$1003,MATCH($A31,Customers!$A$4:$A$1003,0)),"")</f>
        <v/>
      </c>
      <c r="C31" s="31" t="str">
        <f aca="false">IFERROR(INDEX(Customers!$F$4:$F$1003,MATCH($A31,Customers!$A$4:$A$1003,0)),"")</f>
        <v/>
      </c>
      <c r="D31" s="27"/>
      <c r="E31" s="27"/>
      <c r="F31" s="27"/>
      <c r="G31" s="27"/>
      <c r="H31" s="27"/>
      <c r="I31" s="27"/>
      <c r="J31" s="27"/>
      <c r="K31" s="27"/>
      <c r="L31" s="27"/>
      <c r="M31" s="27"/>
      <c r="N31" s="27"/>
      <c r="O31" s="30" t="str">
        <f aca="false">IF($A31="","",COUNTIF($D31:$N31,"Yes"))</f>
        <v/>
      </c>
      <c r="P31" s="30" t="str">
        <f aca="false">IF($A31="","",COUNTA($D$3:$N$3))</f>
        <v/>
      </c>
      <c r="Q31" s="35" t="str">
        <f aca="false">IF($A31="","",IFERROR($O31/$P31,""))</f>
        <v/>
      </c>
      <c r="R31" s="31" t="str">
        <f aca="false">IF($A31="","",IF($Q31=1,"Complete",IF($Q31&gt;=0.7,"Almost Complete",IF($Q31&gt;0,"In Progress","Not Started"))))</f>
        <v/>
      </c>
      <c r="S31" s="28"/>
      <c r="T31" s="29"/>
      <c r="U31" s="32"/>
    </row>
    <row r="32" customFormat="false" ht="15.75" hidden="false" customHeight="true" outlineLevel="0" collapsed="false">
      <c r="A32" s="27"/>
      <c r="B32" s="33" t="str">
        <f aca="false">IFERROR(INDEX(Customers!$C$4:$C$1003,MATCH($A32,Customers!$A$4:$A$1003,0)),"")</f>
        <v/>
      </c>
      <c r="C32" s="31" t="str">
        <f aca="false">IFERROR(INDEX(Customers!$F$4:$F$1003,MATCH($A32,Customers!$A$4:$A$1003,0)),"")</f>
        <v/>
      </c>
      <c r="D32" s="27"/>
      <c r="E32" s="27"/>
      <c r="F32" s="27"/>
      <c r="G32" s="27"/>
      <c r="H32" s="27"/>
      <c r="I32" s="27"/>
      <c r="J32" s="27"/>
      <c r="K32" s="27"/>
      <c r="L32" s="27"/>
      <c r="M32" s="27"/>
      <c r="N32" s="27"/>
      <c r="O32" s="30" t="str">
        <f aca="false">IF($A32="","",COUNTIF($D32:$N32,"Yes"))</f>
        <v/>
      </c>
      <c r="P32" s="30" t="str">
        <f aca="false">IF($A32="","",COUNTA($D$3:$N$3))</f>
        <v/>
      </c>
      <c r="Q32" s="35" t="str">
        <f aca="false">IF($A32="","",IFERROR($O32/$P32,""))</f>
        <v/>
      </c>
      <c r="R32" s="31" t="str">
        <f aca="false">IF($A32="","",IF($Q32=1,"Complete",IF($Q32&gt;=0.7,"Almost Complete",IF($Q32&gt;0,"In Progress","Not Started"))))</f>
        <v/>
      </c>
      <c r="S32" s="28"/>
      <c r="T32" s="29"/>
      <c r="U32" s="32"/>
    </row>
    <row r="33" customFormat="false" ht="15.75" hidden="false" customHeight="true" outlineLevel="0" collapsed="false">
      <c r="A33" s="27"/>
      <c r="B33" s="33" t="str">
        <f aca="false">IFERROR(INDEX(Customers!$C$4:$C$1003,MATCH($A33,Customers!$A$4:$A$1003,0)),"")</f>
        <v/>
      </c>
      <c r="C33" s="31" t="str">
        <f aca="false">IFERROR(INDEX(Customers!$F$4:$F$1003,MATCH($A33,Customers!$A$4:$A$1003,0)),"")</f>
        <v/>
      </c>
      <c r="D33" s="27"/>
      <c r="E33" s="27"/>
      <c r="F33" s="27"/>
      <c r="G33" s="27"/>
      <c r="H33" s="27"/>
      <c r="I33" s="27"/>
      <c r="J33" s="27"/>
      <c r="K33" s="27"/>
      <c r="L33" s="27"/>
      <c r="M33" s="27"/>
      <c r="N33" s="27"/>
      <c r="O33" s="30" t="str">
        <f aca="false">IF($A33="","",COUNTIF($D33:$N33,"Yes"))</f>
        <v/>
      </c>
      <c r="P33" s="30" t="str">
        <f aca="false">IF($A33="","",COUNTA($D$3:$N$3))</f>
        <v/>
      </c>
      <c r="Q33" s="35" t="str">
        <f aca="false">IF($A33="","",IFERROR($O33/$P33,""))</f>
        <v/>
      </c>
      <c r="R33" s="31" t="str">
        <f aca="false">IF($A33="","",IF($Q33=1,"Complete",IF($Q33&gt;=0.7,"Almost Complete",IF($Q33&gt;0,"In Progress","Not Started"))))</f>
        <v/>
      </c>
      <c r="S33" s="28"/>
      <c r="T33" s="29"/>
      <c r="U33" s="32"/>
    </row>
    <row r="34" customFormat="false" ht="15.75" hidden="false" customHeight="true" outlineLevel="0" collapsed="false">
      <c r="A34" s="27"/>
      <c r="B34" s="33" t="str">
        <f aca="false">IFERROR(INDEX(Customers!$C$4:$C$1003,MATCH($A34,Customers!$A$4:$A$1003,0)),"")</f>
        <v/>
      </c>
      <c r="C34" s="31" t="str">
        <f aca="false">IFERROR(INDEX(Customers!$F$4:$F$1003,MATCH($A34,Customers!$A$4:$A$1003,0)),"")</f>
        <v/>
      </c>
      <c r="D34" s="27"/>
      <c r="E34" s="27"/>
      <c r="F34" s="27"/>
      <c r="G34" s="27"/>
      <c r="H34" s="27"/>
      <c r="I34" s="27"/>
      <c r="J34" s="27"/>
      <c r="K34" s="27"/>
      <c r="L34" s="27"/>
      <c r="M34" s="27"/>
      <c r="N34" s="27"/>
      <c r="O34" s="30" t="str">
        <f aca="false">IF($A34="","",COUNTIF($D34:$N34,"Yes"))</f>
        <v/>
      </c>
      <c r="P34" s="30" t="str">
        <f aca="false">IF($A34="","",COUNTA($D$3:$N$3))</f>
        <v/>
      </c>
      <c r="Q34" s="35" t="str">
        <f aca="false">IF($A34="","",IFERROR($O34/$P34,""))</f>
        <v/>
      </c>
      <c r="R34" s="31" t="str">
        <f aca="false">IF($A34="","",IF($Q34=1,"Complete",IF($Q34&gt;=0.7,"Almost Complete",IF($Q34&gt;0,"In Progress","Not Started"))))</f>
        <v/>
      </c>
      <c r="S34" s="28"/>
      <c r="T34" s="29"/>
      <c r="U34" s="32"/>
    </row>
    <row r="35" customFormat="false" ht="15.75" hidden="false" customHeight="true" outlineLevel="0" collapsed="false">
      <c r="A35" s="27"/>
      <c r="B35" s="33" t="str">
        <f aca="false">IFERROR(INDEX(Customers!$C$4:$C$1003,MATCH($A35,Customers!$A$4:$A$1003,0)),"")</f>
        <v/>
      </c>
      <c r="C35" s="31" t="str">
        <f aca="false">IFERROR(INDEX(Customers!$F$4:$F$1003,MATCH($A35,Customers!$A$4:$A$1003,0)),"")</f>
        <v/>
      </c>
      <c r="D35" s="27"/>
      <c r="E35" s="27"/>
      <c r="F35" s="27"/>
      <c r="G35" s="27"/>
      <c r="H35" s="27"/>
      <c r="I35" s="27"/>
      <c r="J35" s="27"/>
      <c r="K35" s="27"/>
      <c r="L35" s="27"/>
      <c r="M35" s="27"/>
      <c r="N35" s="27"/>
      <c r="O35" s="30" t="str">
        <f aca="false">IF($A35="","",COUNTIF($D35:$N35,"Yes"))</f>
        <v/>
      </c>
      <c r="P35" s="30" t="str">
        <f aca="false">IF($A35="","",COUNTA($D$3:$N$3))</f>
        <v/>
      </c>
      <c r="Q35" s="35" t="str">
        <f aca="false">IF($A35="","",IFERROR($O35/$P35,""))</f>
        <v/>
      </c>
      <c r="R35" s="31" t="str">
        <f aca="false">IF($A35="","",IF($Q35=1,"Complete",IF($Q35&gt;=0.7,"Almost Complete",IF($Q35&gt;0,"In Progress","Not Started"))))</f>
        <v/>
      </c>
      <c r="S35" s="28"/>
      <c r="T35" s="29"/>
      <c r="U35" s="32"/>
    </row>
    <row r="36" customFormat="false" ht="15.75" hidden="false" customHeight="true" outlineLevel="0" collapsed="false">
      <c r="A36" s="27"/>
      <c r="B36" s="33" t="str">
        <f aca="false">IFERROR(INDEX(Customers!$C$4:$C$1003,MATCH($A36,Customers!$A$4:$A$1003,0)),"")</f>
        <v/>
      </c>
      <c r="C36" s="31" t="str">
        <f aca="false">IFERROR(INDEX(Customers!$F$4:$F$1003,MATCH($A36,Customers!$A$4:$A$1003,0)),"")</f>
        <v/>
      </c>
      <c r="D36" s="27"/>
      <c r="E36" s="27"/>
      <c r="F36" s="27"/>
      <c r="G36" s="27"/>
      <c r="H36" s="27"/>
      <c r="I36" s="27"/>
      <c r="J36" s="27"/>
      <c r="K36" s="27"/>
      <c r="L36" s="27"/>
      <c r="M36" s="27"/>
      <c r="N36" s="27"/>
      <c r="O36" s="30" t="str">
        <f aca="false">IF($A36="","",COUNTIF($D36:$N36,"Yes"))</f>
        <v/>
      </c>
      <c r="P36" s="30" t="str">
        <f aca="false">IF($A36="","",COUNTA($D$3:$N$3))</f>
        <v/>
      </c>
      <c r="Q36" s="35" t="str">
        <f aca="false">IF($A36="","",IFERROR($O36/$P36,""))</f>
        <v/>
      </c>
      <c r="R36" s="31" t="str">
        <f aca="false">IF($A36="","",IF($Q36=1,"Complete",IF($Q36&gt;=0.7,"Almost Complete",IF($Q36&gt;0,"In Progress","Not Started"))))</f>
        <v/>
      </c>
      <c r="S36" s="28"/>
      <c r="T36" s="29"/>
      <c r="U36" s="32"/>
    </row>
    <row r="37" customFormat="false" ht="15.75" hidden="false" customHeight="true" outlineLevel="0" collapsed="false">
      <c r="A37" s="27"/>
      <c r="B37" s="33" t="str">
        <f aca="false">IFERROR(INDEX(Customers!$C$4:$C$1003,MATCH($A37,Customers!$A$4:$A$1003,0)),"")</f>
        <v/>
      </c>
      <c r="C37" s="31" t="str">
        <f aca="false">IFERROR(INDEX(Customers!$F$4:$F$1003,MATCH($A37,Customers!$A$4:$A$1003,0)),"")</f>
        <v/>
      </c>
      <c r="D37" s="27"/>
      <c r="E37" s="27"/>
      <c r="F37" s="27"/>
      <c r="G37" s="27"/>
      <c r="H37" s="27"/>
      <c r="I37" s="27"/>
      <c r="J37" s="27"/>
      <c r="K37" s="27"/>
      <c r="L37" s="27"/>
      <c r="M37" s="27"/>
      <c r="N37" s="27"/>
      <c r="O37" s="30" t="str">
        <f aca="false">IF($A37="","",COUNTIF($D37:$N37,"Yes"))</f>
        <v/>
      </c>
      <c r="P37" s="30" t="str">
        <f aca="false">IF($A37="","",COUNTA($D$3:$N$3))</f>
        <v/>
      </c>
      <c r="Q37" s="35" t="str">
        <f aca="false">IF($A37="","",IFERROR($O37/$P37,""))</f>
        <v/>
      </c>
      <c r="R37" s="31" t="str">
        <f aca="false">IF($A37="","",IF($Q37=1,"Complete",IF($Q37&gt;=0.7,"Almost Complete",IF($Q37&gt;0,"In Progress","Not Started"))))</f>
        <v/>
      </c>
      <c r="S37" s="28"/>
      <c r="T37" s="29"/>
      <c r="U37" s="32"/>
    </row>
    <row r="38" customFormat="false" ht="15.75" hidden="false" customHeight="true" outlineLevel="0" collapsed="false">
      <c r="A38" s="27"/>
      <c r="B38" s="33" t="str">
        <f aca="false">IFERROR(INDEX(Customers!$C$4:$C$1003,MATCH($A38,Customers!$A$4:$A$1003,0)),"")</f>
        <v/>
      </c>
      <c r="C38" s="31" t="str">
        <f aca="false">IFERROR(INDEX(Customers!$F$4:$F$1003,MATCH($A38,Customers!$A$4:$A$1003,0)),"")</f>
        <v/>
      </c>
      <c r="D38" s="27"/>
      <c r="E38" s="27"/>
      <c r="F38" s="27"/>
      <c r="G38" s="27"/>
      <c r="H38" s="27"/>
      <c r="I38" s="27"/>
      <c r="J38" s="27"/>
      <c r="K38" s="27"/>
      <c r="L38" s="27"/>
      <c r="M38" s="27"/>
      <c r="N38" s="27"/>
      <c r="O38" s="30" t="str">
        <f aca="false">IF($A38="","",COUNTIF($D38:$N38,"Yes"))</f>
        <v/>
      </c>
      <c r="P38" s="30" t="str">
        <f aca="false">IF($A38="","",COUNTA($D$3:$N$3))</f>
        <v/>
      </c>
      <c r="Q38" s="35" t="str">
        <f aca="false">IF($A38="","",IFERROR($O38/$P38,""))</f>
        <v/>
      </c>
      <c r="R38" s="31" t="str">
        <f aca="false">IF($A38="","",IF($Q38=1,"Complete",IF($Q38&gt;=0.7,"Almost Complete",IF($Q38&gt;0,"In Progress","Not Started"))))</f>
        <v/>
      </c>
      <c r="S38" s="28"/>
      <c r="T38" s="29"/>
      <c r="U38" s="32"/>
    </row>
    <row r="39" customFormat="false" ht="15.75" hidden="false" customHeight="true" outlineLevel="0" collapsed="false">
      <c r="A39" s="27"/>
      <c r="B39" s="33" t="str">
        <f aca="false">IFERROR(INDEX(Customers!$C$4:$C$1003,MATCH($A39,Customers!$A$4:$A$1003,0)),"")</f>
        <v/>
      </c>
      <c r="C39" s="31" t="str">
        <f aca="false">IFERROR(INDEX(Customers!$F$4:$F$1003,MATCH($A39,Customers!$A$4:$A$1003,0)),"")</f>
        <v/>
      </c>
      <c r="D39" s="27"/>
      <c r="E39" s="27"/>
      <c r="F39" s="27"/>
      <c r="G39" s="27"/>
      <c r="H39" s="27"/>
      <c r="I39" s="27"/>
      <c r="J39" s="27"/>
      <c r="K39" s="27"/>
      <c r="L39" s="27"/>
      <c r="M39" s="27"/>
      <c r="N39" s="27"/>
      <c r="O39" s="30" t="str">
        <f aca="false">IF($A39="","",COUNTIF($D39:$N39,"Yes"))</f>
        <v/>
      </c>
      <c r="P39" s="30" t="str">
        <f aca="false">IF($A39="","",COUNTA($D$3:$N$3))</f>
        <v/>
      </c>
      <c r="Q39" s="35" t="str">
        <f aca="false">IF($A39="","",IFERROR($O39/$P39,""))</f>
        <v/>
      </c>
      <c r="R39" s="31" t="str">
        <f aca="false">IF($A39="","",IF($Q39=1,"Complete",IF($Q39&gt;=0.7,"Almost Complete",IF($Q39&gt;0,"In Progress","Not Started"))))</f>
        <v/>
      </c>
      <c r="S39" s="28"/>
      <c r="T39" s="29"/>
      <c r="U39" s="32"/>
    </row>
    <row r="40" customFormat="false" ht="15.75" hidden="false" customHeight="true" outlineLevel="0" collapsed="false">
      <c r="A40" s="27"/>
      <c r="B40" s="33" t="str">
        <f aca="false">IFERROR(INDEX(Customers!$C$4:$C$1003,MATCH($A40,Customers!$A$4:$A$1003,0)),"")</f>
        <v/>
      </c>
      <c r="C40" s="31" t="str">
        <f aca="false">IFERROR(INDEX(Customers!$F$4:$F$1003,MATCH($A40,Customers!$A$4:$A$1003,0)),"")</f>
        <v/>
      </c>
      <c r="D40" s="27"/>
      <c r="E40" s="27"/>
      <c r="F40" s="27"/>
      <c r="G40" s="27"/>
      <c r="H40" s="27"/>
      <c r="I40" s="27"/>
      <c r="J40" s="27"/>
      <c r="K40" s="27"/>
      <c r="L40" s="27"/>
      <c r="M40" s="27"/>
      <c r="N40" s="27"/>
      <c r="O40" s="30" t="str">
        <f aca="false">IF($A40="","",COUNTIF($D40:$N40,"Yes"))</f>
        <v/>
      </c>
      <c r="P40" s="30" t="str">
        <f aca="false">IF($A40="","",COUNTA($D$3:$N$3))</f>
        <v/>
      </c>
      <c r="Q40" s="35" t="str">
        <f aca="false">IF($A40="","",IFERROR($O40/$P40,""))</f>
        <v/>
      </c>
      <c r="R40" s="31" t="str">
        <f aca="false">IF($A40="","",IF($Q40=1,"Complete",IF($Q40&gt;=0.7,"Almost Complete",IF($Q40&gt;0,"In Progress","Not Started"))))</f>
        <v/>
      </c>
      <c r="S40" s="28"/>
      <c r="T40" s="29"/>
      <c r="U40" s="32"/>
    </row>
    <row r="41" customFormat="false" ht="15.75" hidden="false" customHeight="true" outlineLevel="0" collapsed="false">
      <c r="A41" s="27"/>
      <c r="B41" s="33" t="str">
        <f aca="false">IFERROR(INDEX(Customers!$C$4:$C$1003,MATCH($A41,Customers!$A$4:$A$1003,0)),"")</f>
        <v/>
      </c>
      <c r="C41" s="31" t="str">
        <f aca="false">IFERROR(INDEX(Customers!$F$4:$F$1003,MATCH($A41,Customers!$A$4:$A$1003,0)),"")</f>
        <v/>
      </c>
      <c r="D41" s="27"/>
      <c r="E41" s="27"/>
      <c r="F41" s="27"/>
      <c r="G41" s="27"/>
      <c r="H41" s="27"/>
      <c r="I41" s="27"/>
      <c r="J41" s="27"/>
      <c r="K41" s="27"/>
      <c r="L41" s="27"/>
      <c r="M41" s="27"/>
      <c r="N41" s="27"/>
      <c r="O41" s="30" t="str">
        <f aca="false">IF($A41="","",COUNTIF($D41:$N41,"Yes"))</f>
        <v/>
      </c>
      <c r="P41" s="30" t="str">
        <f aca="false">IF($A41="","",COUNTA($D$3:$N$3))</f>
        <v/>
      </c>
      <c r="Q41" s="35" t="str">
        <f aca="false">IF($A41="","",IFERROR($O41/$P41,""))</f>
        <v/>
      </c>
      <c r="R41" s="31" t="str">
        <f aca="false">IF($A41="","",IF($Q41=1,"Complete",IF($Q41&gt;=0.7,"Almost Complete",IF($Q41&gt;0,"In Progress","Not Started"))))</f>
        <v/>
      </c>
      <c r="S41" s="28"/>
      <c r="T41" s="29"/>
      <c r="U41" s="32"/>
    </row>
    <row r="42" customFormat="false" ht="15.75" hidden="false" customHeight="true" outlineLevel="0" collapsed="false">
      <c r="A42" s="27"/>
      <c r="B42" s="33" t="str">
        <f aca="false">IFERROR(INDEX(Customers!$C$4:$C$1003,MATCH($A42,Customers!$A$4:$A$1003,0)),"")</f>
        <v/>
      </c>
      <c r="C42" s="31" t="str">
        <f aca="false">IFERROR(INDEX(Customers!$F$4:$F$1003,MATCH($A42,Customers!$A$4:$A$1003,0)),"")</f>
        <v/>
      </c>
      <c r="D42" s="27"/>
      <c r="E42" s="27"/>
      <c r="F42" s="27"/>
      <c r="G42" s="27"/>
      <c r="H42" s="27"/>
      <c r="I42" s="27"/>
      <c r="J42" s="27"/>
      <c r="K42" s="27"/>
      <c r="L42" s="27"/>
      <c r="M42" s="27"/>
      <c r="N42" s="27"/>
      <c r="O42" s="30" t="str">
        <f aca="false">IF($A42="","",COUNTIF($D42:$N42,"Yes"))</f>
        <v/>
      </c>
      <c r="P42" s="30" t="str">
        <f aca="false">IF($A42="","",COUNTA($D$3:$N$3))</f>
        <v/>
      </c>
      <c r="Q42" s="35" t="str">
        <f aca="false">IF($A42="","",IFERROR($O42/$P42,""))</f>
        <v/>
      </c>
      <c r="R42" s="31" t="str">
        <f aca="false">IF($A42="","",IF($Q42=1,"Complete",IF($Q42&gt;=0.7,"Almost Complete",IF($Q42&gt;0,"In Progress","Not Started"))))</f>
        <v/>
      </c>
      <c r="S42" s="28"/>
      <c r="T42" s="29"/>
      <c r="U42" s="32"/>
    </row>
    <row r="43" customFormat="false" ht="15.75" hidden="false" customHeight="true" outlineLevel="0" collapsed="false">
      <c r="A43" s="27"/>
      <c r="B43" s="33" t="str">
        <f aca="false">IFERROR(INDEX(Customers!$C$4:$C$1003,MATCH($A43,Customers!$A$4:$A$1003,0)),"")</f>
        <v/>
      </c>
      <c r="C43" s="31" t="str">
        <f aca="false">IFERROR(INDEX(Customers!$F$4:$F$1003,MATCH($A43,Customers!$A$4:$A$1003,0)),"")</f>
        <v/>
      </c>
      <c r="D43" s="27"/>
      <c r="E43" s="27"/>
      <c r="F43" s="27"/>
      <c r="G43" s="27"/>
      <c r="H43" s="27"/>
      <c r="I43" s="27"/>
      <c r="J43" s="27"/>
      <c r="K43" s="27"/>
      <c r="L43" s="27"/>
      <c r="M43" s="27"/>
      <c r="N43" s="27"/>
      <c r="O43" s="30" t="str">
        <f aca="false">IF($A43="","",COUNTIF($D43:$N43,"Yes"))</f>
        <v/>
      </c>
      <c r="P43" s="30" t="str">
        <f aca="false">IF($A43="","",COUNTA($D$3:$N$3))</f>
        <v/>
      </c>
      <c r="Q43" s="35" t="str">
        <f aca="false">IF($A43="","",IFERROR($O43/$P43,""))</f>
        <v/>
      </c>
      <c r="R43" s="31" t="str">
        <f aca="false">IF($A43="","",IF($Q43=1,"Complete",IF($Q43&gt;=0.7,"Almost Complete",IF($Q43&gt;0,"In Progress","Not Started"))))</f>
        <v/>
      </c>
      <c r="S43" s="28"/>
      <c r="T43" s="29"/>
      <c r="U43" s="32"/>
    </row>
    <row r="44" customFormat="false" ht="15.75" hidden="false" customHeight="true" outlineLevel="0" collapsed="false">
      <c r="A44" s="27"/>
      <c r="B44" s="33" t="str">
        <f aca="false">IFERROR(INDEX(Customers!$C$4:$C$1003,MATCH($A44,Customers!$A$4:$A$1003,0)),"")</f>
        <v/>
      </c>
      <c r="C44" s="31" t="str">
        <f aca="false">IFERROR(INDEX(Customers!$F$4:$F$1003,MATCH($A44,Customers!$A$4:$A$1003,0)),"")</f>
        <v/>
      </c>
      <c r="D44" s="27"/>
      <c r="E44" s="27"/>
      <c r="F44" s="27"/>
      <c r="G44" s="27"/>
      <c r="H44" s="27"/>
      <c r="I44" s="27"/>
      <c r="J44" s="27"/>
      <c r="K44" s="27"/>
      <c r="L44" s="27"/>
      <c r="M44" s="27"/>
      <c r="N44" s="27"/>
      <c r="O44" s="30" t="str">
        <f aca="false">IF($A44="","",COUNTIF($D44:$N44,"Yes"))</f>
        <v/>
      </c>
      <c r="P44" s="30" t="str">
        <f aca="false">IF($A44="","",COUNTA($D$3:$N$3))</f>
        <v/>
      </c>
      <c r="Q44" s="35" t="str">
        <f aca="false">IF($A44="","",IFERROR($O44/$P44,""))</f>
        <v/>
      </c>
      <c r="R44" s="31" t="str">
        <f aca="false">IF($A44="","",IF($Q44=1,"Complete",IF($Q44&gt;=0.7,"Almost Complete",IF($Q44&gt;0,"In Progress","Not Started"))))</f>
        <v/>
      </c>
      <c r="S44" s="28"/>
      <c r="T44" s="29"/>
      <c r="U44" s="32"/>
    </row>
    <row r="45" customFormat="false" ht="15.75" hidden="false" customHeight="true" outlineLevel="0" collapsed="false">
      <c r="A45" s="27"/>
      <c r="B45" s="33" t="str">
        <f aca="false">IFERROR(INDEX(Customers!$C$4:$C$1003,MATCH($A45,Customers!$A$4:$A$1003,0)),"")</f>
        <v/>
      </c>
      <c r="C45" s="31" t="str">
        <f aca="false">IFERROR(INDEX(Customers!$F$4:$F$1003,MATCH($A45,Customers!$A$4:$A$1003,0)),"")</f>
        <v/>
      </c>
      <c r="D45" s="27"/>
      <c r="E45" s="27"/>
      <c r="F45" s="27"/>
      <c r="G45" s="27"/>
      <c r="H45" s="27"/>
      <c r="I45" s="27"/>
      <c r="J45" s="27"/>
      <c r="K45" s="27"/>
      <c r="L45" s="27"/>
      <c r="M45" s="27"/>
      <c r="N45" s="27"/>
      <c r="O45" s="30" t="str">
        <f aca="false">IF($A45="","",COUNTIF($D45:$N45,"Yes"))</f>
        <v/>
      </c>
      <c r="P45" s="30" t="str">
        <f aca="false">IF($A45="","",COUNTA($D$3:$N$3))</f>
        <v/>
      </c>
      <c r="Q45" s="35" t="str">
        <f aca="false">IF($A45="","",IFERROR($O45/$P45,""))</f>
        <v/>
      </c>
      <c r="R45" s="31" t="str">
        <f aca="false">IF($A45="","",IF($Q45=1,"Complete",IF($Q45&gt;=0.7,"Almost Complete",IF($Q45&gt;0,"In Progress","Not Started"))))</f>
        <v/>
      </c>
      <c r="S45" s="28"/>
      <c r="T45" s="29"/>
      <c r="U45" s="32"/>
    </row>
    <row r="46" customFormat="false" ht="15.75" hidden="false" customHeight="true" outlineLevel="0" collapsed="false">
      <c r="A46" s="27"/>
      <c r="B46" s="33" t="str">
        <f aca="false">IFERROR(INDEX(Customers!$C$4:$C$1003,MATCH($A46,Customers!$A$4:$A$1003,0)),"")</f>
        <v/>
      </c>
      <c r="C46" s="31" t="str">
        <f aca="false">IFERROR(INDEX(Customers!$F$4:$F$1003,MATCH($A46,Customers!$A$4:$A$1003,0)),"")</f>
        <v/>
      </c>
      <c r="D46" s="27"/>
      <c r="E46" s="27"/>
      <c r="F46" s="27"/>
      <c r="G46" s="27"/>
      <c r="H46" s="27"/>
      <c r="I46" s="27"/>
      <c r="J46" s="27"/>
      <c r="K46" s="27"/>
      <c r="L46" s="27"/>
      <c r="M46" s="27"/>
      <c r="N46" s="27"/>
      <c r="O46" s="30" t="str">
        <f aca="false">IF($A46="","",COUNTIF($D46:$N46,"Yes"))</f>
        <v/>
      </c>
      <c r="P46" s="30" t="str">
        <f aca="false">IF($A46="","",COUNTA($D$3:$N$3))</f>
        <v/>
      </c>
      <c r="Q46" s="35" t="str">
        <f aca="false">IF($A46="","",IFERROR($O46/$P46,""))</f>
        <v/>
      </c>
      <c r="R46" s="31" t="str">
        <f aca="false">IF($A46="","",IF($Q46=1,"Complete",IF($Q46&gt;=0.7,"Almost Complete",IF($Q46&gt;0,"In Progress","Not Started"))))</f>
        <v/>
      </c>
      <c r="S46" s="28"/>
      <c r="T46" s="29"/>
      <c r="U46" s="32"/>
    </row>
    <row r="47" customFormat="false" ht="15.75" hidden="false" customHeight="true" outlineLevel="0" collapsed="false">
      <c r="A47" s="27"/>
      <c r="B47" s="33" t="str">
        <f aca="false">IFERROR(INDEX(Customers!$C$4:$C$1003,MATCH($A47,Customers!$A$4:$A$1003,0)),"")</f>
        <v/>
      </c>
      <c r="C47" s="31" t="str">
        <f aca="false">IFERROR(INDEX(Customers!$F$4:$F$1003,MATCH($A47,Customers!$A$4:$A$1003,0)),"")</f>
        <v/>
      </c>
      <c r="D47" s="27"/>
      <c r="E47" s="27"/>
      <c r="F47" s="27"/>
      <c r="G47" s="27"/>
      <c r="H47" s="27"/>
      <c r="I47" s="27"/>
      <c r="J47" s="27"/>
      <c r="K47" s="27"/>
      <c r="L47" s="27"/>
      <c r="M47" s="27"/>
      <c r="N47" s="27"/>
      <c r="O47" s="30" t="str">
        <f aca="false">IF($A47="","",COUNTIF($D47:$N47,"Yes"))</f>
        <v/>
      </c>
      <c r="P47" s="30" t="str">
        <f aca="false">IF($A47="","",COUNTA($D$3:$N$3))</f>
        <v/>
      </c>
      <c r="Q47" s="35" t="str">
        <f aca="false">IF($A47="","",IFERROR($O47/$P47,""))</f>
        <v/>
      </c>
      <c r="R47" s="31" t="str">
        <f aca="false">IF($A47="","",IF($Q47=1,"Complete",IF($Q47&gt;=0.7,"Almost Complete",IF($Q47&gt;0,"In Progress","Not Started"))))</f>
        <v/>
      </c>
      <c r="S47" s="28"/>
      <c r="T47" s="29"/>
      <c r="U47" s="32"/>
    </row>
    <row r="48" customFormat="false" ht="15.75" hidden="false" customHeight="true" outlineLevel="0" collapsed="false">
      <c r="A48" s="27"/>
      <c r="B48" s="33" t="str">
        <f aca="false">IFERROR(INDEX(Customers!$C$4:$C$1003,MATCH($A48,Customers!$A$4:$A$1003,0)),"")</f>
        <v/>
      </c>
      <c r="C48" s="31" t="str">
        <f aca="false">IFERROR(INDEX(Customers!$F$4:$F$1003,MATCH($A48,Customers!$A$4:$A$1003,0)),"")</f>
        <v/>
      </c>
      <c r="D48" s="27"/>
      <c r="E48" s="27"/>
      <c r="F48" s="27"/>
      <c r="G48" s="27"/>
      <c r="H48" s="27"/>
      <c r="I48" s="27"/>
      <c r="J48" s="27"/>
      <c r="K48" s="27"/>
      <c r="L48" s="27"/>
      <c r="M48" s="27"/>
      <c r="N48" s="27"/>
      <c r="O48" s="30" t="str">
        <f aca="false">IF($A48="","",COUNTIF($D48:$N48,"Yes"))</f>
        <v/>
      </c>
      <c r="P48" s="30" t="str">
        <f aca="false">IF($A48="","",COUNTA($D$3:$N$3))</f>
        <v/>
      </c>
      <c r="Q48" s="35" t="str">
        <f aca="false">IF($A48="","",IFERROR($O48/$P48,""))</f>
        <v/>
      </c>
      <c r="R48" s="31" t="str">
        <f aca="false">IF($A48="","",IF($Q48=1,"Complete",IF($Q48&gt;=0.7,"Almost Complete",IF($Q48&gt;0,"In Progress","Not Started"))))</f>
        <v/>
      </c>
      <c r="S48" s="28"/>
      <c r="T48" s="29"/>
      <c r="U48" s="32"/>
    </row>
    <row r="49" customFormat="false" ht="15.75" hidden="false" customHeight="true" outlineLevel="0" collapsed="false">
      <c r="A49" s="27"/>
      <c r="B49" s="33" t="str">
        <f aca="false">IFERROR(INDEX(Customers!$C$4:$C$1003,MATCH($A49,Customers!$A$4:$A$1003,0)),"")</f>
        <v/>
      </c>
      <c r="C49" s="31" t="str">
        <f aca="false">IFERROR(INDEX(Customers!$F$4:$F$1003,MATCH($A49,Customers!$A$4:$A$1003,0)),"")</f>
        <v/>
      </c>
      <c r="D49" s="27"/>
      <c r="E49" s="27"/>
      <c r="F49" s="27"/>
      <c r="G49" s="27"/>
      <c r="H49" s="27"/>
      <c r="I49" s="27"/>
      <c r="J49" s="27"/>
      <c r="K49" s="27"/>
      <c r="L49" s="27"/>
      <c r="M49" s="27"/>
      <c r="N49" s="27"/>
      <c r="O49" s="30" t="str">
        <f aca="false">IF($A49="","",COUNTIF($D49:$N49,"Yes"))</f>
        <v/>
      </c>
      <c r="P49" s="30" t="str">
        <f aca="false">IF($A49="","",COUNTA($D$3:$N$3))</f>
        <v/>
      </c>
      <c r="Q49" s="35" t="str">
        <f aca="false">IF($A49="","",IFERROR($O49/$P49,""))</f>
        <v/>
      </c>
      <c r="R49" s="31" t="str">
        <f aca="false">IF($A49="","",IF($Q49=1,"Complete",IF($Q49&gt;=0.7,"Almost Complete",IF($Q49&gt;0,"In Progress","Not Started"))))</f>
        <v/>
      </c>
      <c r="S49" s="28"/>
      <c r="T49" s="29"/>
      <c r="U49" s="32"/>
    </row>
    <row r="50" customFormat="false" ht="15.75" hidden="false" customHeight="true" outlineLevel="0" collapsed="false">
      <c r="A50" s="27"/>
      <c r="B50" s="33" t="str">
        <f aca="false">IFERROR(INDEX(Customers!$C$4:$C$1003,MATCH($A50,Customers!$A$4:$A$1003,0)),"")</f>
        <v/>
      </c>
      <c r="C50" s="31" t="str">
        <f aca="false">IFERROR(INDEX(Customers!$F$4:$F$1003,MATCH($A50,Customers!$A$4:$A$1003,0)),"")</f>
        <v/>
      </c>
      <c r="D50" s="27"/>
      <c r="E50" s="27"/>
      <c r="F50" s="27"/>
      <c r="G50" s="27"/>
      <c r="H50" s="27"/>
      <c r="I50" s="27"/>
      <c r="J50" s="27"/>
      <c r="K50" s="27"/>
      <c r="L50" s="27"/>
      <c r="M50" s="27"/>
      <c r="N50" s="27"/>
      <c r="O50" s="30" t="str">
        <f aca="false">IF($A50="","",COUNTIF($D50:$N50,"Yes"))</f>
        <v/>
      </c>
      <c r="P50" s="30" t="str">
        <f aca="false">IF($A50="","",COUNTA($D$3:$N$3))</f>
        <v/>
      </c>
      <c r="Q50" s="35" t="str">
        <f aca="false">IF($A50="","",IFERROR($O50/$P50,""))</f>
        <v/>
      </c>
      <c r="R50" s="31" t="str">
        <f aca="false">IF($A50="","",IF($Q50=1,"Complete",IF($Q50&gt;=0.7,"Almost Complete",IF($Q50&gt;0,"In Progress","Not Started"))))</f>
        <v/>
      </c>
      <c r="S50" s="28"/>
      <c r="T50" s="29"/>
      <c r="U50" s="32"/>
    </row>
    <row r="51" customFormat="false" ht="15.75" hidden="false" customHeight="true" outlineLevel="0" collapsed="false">
      <c r="A51" s="27"/>
      <c r="B51" s="33" t="str">
        <f aca="false">IFERROR(INDEX(Customers!$C$4:$C$1003,MATCH($A51,Customers!$A$4:$A$1003,0)),"")</f>
        <v/>
      </c>
      <c r="C51" s="31" t="str">
        <f aca="false">IFERROR(INDEX(Customers!$F$4:$F$1003,MATCH($A51,Customers!$A$4:$A$1003,0)),"")</f>
        <v/>
      </c>
      <c r="D51" s="27"/>
      <c r="E51" s="27"/>
      <c r="F51" s="27"/>
      <c r="G51" s="27"/>
      <c r="H51" s="27"/>
      <c r="I51" s="27"/>
      <c r="J51" s="27"/>
      <c r="K51" s="27"/>
      <c r="L51" s="27"/>
      <c r="M51" s="27"/>
      <c r="N51" s="27"/>
      <c r="O51" s="30" t="str">
        <f aca="false">IF($A51="","",COUNTIF($D51:$N51,"Yes"))</f>
        <v/>
      </c>
      <c r="P51" s="30" t="str">
        <f aca="false">IF($A51="","",COUNTA($D$3:$N$3))</f>
        <v/>
      </c>
      <c r="Q51" s="35" t="str">
        <f aca="false">IF($A51="","",IFERROR($O51/$P51,""))</f>
        <v/>
      </c>
      <c r="R51" s="31" t="str">
        <f aca="false">IF($A51="","",IF($Q51=1,"Complete",IF($Q51&gt;=0.7,"Almost Complete",IF($Q51&gt;0,"In Progress","Not Started"))))</f>
        <v/>
      </c>
      <c r="S51" s="28"/>
      <c r="T51" s="29"/>
      <c r="U51" s="32"/>
    </row>
    <row r="52" customFormat="false" ht="15.75" hidden="false" customHeight="true" outlineLevel="0" collapsed="false">
      <c r="A52" s="27"/>
      <c r="B52" s="33" t="str">
        <f aca="false">IFERROR(INDEX(Customers!$C$4:$C$1003,MATCH($A52,Customers!$A$4:$A$1003,0)),"")</f>
        <v/>
      </c>
      <c r="C52" s="31" t="str">
        <f aca="false">IFERROR(INDEX(Customers!$F$4:$F$1003,MATCH($A52,Customers!$A$4:$A$1003,0)),"")</f>
        <v/>
      </c>
      <c r="D52" s="27"/>
      <c r="E52" s="27"/>
      <c r="F52" s="27"/>
      <c r="G52" s="27"/>
      <c r="H52" s="27"/>
      <c r="I52" s="27"/>
      <c r="J52" s="27"/>
      <c r="K52" s="27"/>
      <c r="L52" s="27"/>
      <c r="M52" s="27"/>
      <c r="N52" s="27"/>
      <c r="O52" s="30" t="str">
        <f aca="false">IF($A52="","",COUNTIF($D52:$N52,"Yes"))</f>
        <v/>
      </c>
      <c r="P52" s="30" t="str">
        <f aca="false">IF($A52="","",COUNTA($D$3:$N$3))</f>
        <v/>
      </c>
      <c r="Q52" s="35" t="str">
        <f aca="false">IF($A52="","",IFERROR($O52/$P52,""))</f>
        <v/>
      </c>
      <c r="R52" s="31" t="str">
        <f aca="false">IF($A52="","",IF($Q52=1,"Complete",IF($Q52&gt;=0.7,"Almost Complete",IF($Q52&gt;0,"In Progress","Not Started"))))</f>
        <v/>
      </c>
      <c r="S52" s="28"/>
      <c r="T52" s="29"/>
      <c r="U52" s="32"/>
    </row>
    <row r="53" customFormat="false" ht="15.75" hidden="false" customHeight="true" outlineLevel="0" collapsed="false">
      <c r="A53" s="27"/>
      <c r="B53" s="33" t="str">
        <f aca="false">IFERROR(INDEX(Customers!$C$4:$C$1003,MATCH($A53,Customers!$A$4:$A$1003,0)),"")</f>
        <v/>
      </c>
      <c r="C53" s="31" t="str">
        <f aca="false">IFERROR(INDEX(Customers!$F$4:$F$1003,MATCH($A53,Customers!$A$4:$A$1003,0)),"")</f>
        <v/>
      </c>
      <c r="D53" s="27"/>
      <c r="E53" s="27"/>
      <c r="F53" s="27"/>
      <c r="G53" s="27"/>
      <c r="H53" s="27"/>
      <c r="I53" s="27"/>
      <c r="J53" s="27"/>
      <c r="K53" s="27"/>
      <c r="L53" s="27"/>
      <c r="M53" s="27"/>
      <c r="N53" s="27"/>
      <c r="O53" s="30" t="str">
        <f aca="false">IF($A53="","",COUNTIF($D53:$N53,"Yes"))</f>
        <v/>
      </c>
      <c r="P53" s="30" t="str">
        <f aca="false">IF($A53="","",COUNTA($D$3:$N$3))</f>
        <v/>
      </c>
      <c r="Q53" s="35" t="str">
        <f aca="false">IF($A53="","",IFERROR($O53/$P53,""))</f>
        <v/>
      </c>
      <c r="R53" s="31" t="str">
        <f aca="false">IF($A53="","",IF($Q53=1,"Complete",IF($Q53&gt;=0.7,"Almost Complete",IF($Q53&gt;0,"In Progress","Not Started"))))</f>
        <v/>
      </c>
      <c r="S53" s="28"/>
      <c r="T53" s="29"/>
      <c r="U53" s="32"/>
    </row>
    <row r="54" customFormat="false" ht="15.75" hidden="false" customHeight="true" outlineLevel="0" collapsed="false">
      <c r="A54" s="27"/>
      <c r="B54" s="33" t="str">
        <f aca="false">IFERROR(INDEX(Customers!$C$4:$C$1003,MATCH($A54,Customers!$A$4:$A$1003,0)),"")</f>
        <v/>
      </c>
      <c r="C54" s="31" t="str">
        <f aca="false">IFERROR(INDEX(Customers!$F$4:$F$1003,MATCH($A54,Customers!$A$4:$A$1003,0)),"")</f>
        <v/>
      </c>
      <c r="D54" s="27"/>
      <c r="E54" s="27"/>
      <c r="F54" s="27"/>
      <c r="G54" s="27"/>
      <c r="H54" s="27"/>
      <c r="I54" s="27"/>
      <c r="J54" s="27"/>
      <c r="K54" s="27"/>
      <c r="L54" s="27"/>
      <c r="M54" s="27"/>
      <c r="N54" s="27"/>
      <c r="O54" s="30" t="str">
        <f aca="false">IF($A54="","",COUNTIF($D54:$N54,"Yes"))</f>
        <v/>
      </c>
      <c r="P54" s="30" t="str">
        <f aca="false">IF($A54="","",COUNTA($D$3:$N$3))</f>
        <v/>
      </c>
      <c r="Q54" s="35" t="str">
        <f aca="false">IF($A54="","",IFERROR($O54/$P54,""))</f>
        <v/>
      </c>
      <c r="R54" s="31" t="str">
        <f aca="false">IF($A54="","",IF($Q54=1,"Complete",IF($Q54&gt;=0.7,"Almost Complete",IF($Q54&gt;0,"In Progress","Not Started"))))</f>
        <v/>
      </c>
      <c r="S54" s="28"/>
      <c r="T54" s="29"/>
      <c r="U54" s="32"/>
    </row>
    <row r="55" customFormat="false" ht="15.75" hidden="false" customHeight="true" outlineLevel="0" collapsed="false">
      <c r="A55" s="27"/>
      <c r="B55" s="33" t="str">
        <f aca="false">IFERROR(INDEX(Customers!$C$4:$C$1003,MATCH($A55,Customers!$A$4:$A$1003,0)),"")</f>
        <v/>
      </c>
      <c r="C55" s="31" t="str">
        <f aca="false">IFERROR(INDEX(Customers!$F$4:$F$1003,MATCH($A55,Customers!$A$4:$A$1003,0)),"")</f>
        <v/>
      </c>
      <c r="D55" s="27"/>
      <c r="E55" s="27"/>
      <c r="F55" s="27"/>
      <c r="G55" s="27"/>
      <c r="H55" s="27"/>
      <c r="I55" s="27"/>
      <c r="J55" s="27"/>
      <c r="K55" s="27"/>
      <c r="L55" s="27"/>
      <c r="M55" s="27"/>
      <c r="N55" s="27"/>
      <c r="O55" s="30" t="str">
        <f aca="false">IF($A55="","",COUNTIF($D55:$N55,"Yes"))</f>
        <v/>
      </c>
      <c r="P55" s="30" t="str">
        <f aca="false">IF($A55="","",COUNTA($D$3:$N$3))</f>
        <v/>
      </c>
      <c r="Q55" s="35" t="str">
        <f aca="false">IF($A55="","",IFERROR($O55/$P55,""))</f>
        <v/>
      </c>
      <c r="R55" s="31" t="str">
        <f aca="false">IF($A55="","",IF($Q55=1,"Complete",IF($Q55&gt;=0.7,"Almost Complete",IF($Q55&gt;0,"In Progress","Not Started"))))</f>
        <v/>
      </c>
      <c r="S55" s="28"/>
      <c r="T55" s="29"/>
      <c r="U55" s="32"/>
    </row>
    <row r="56" customFormat="false" ht="15.75" hidden="false" customHeight="true" outlineLevel="0" collapsed="false">
      <c r="A56" s="27"/>
      <c r="B56" s="33" t="str">
        <f aca="false">IFERROR(INDEX(Customers!$C$4:$C$1003,MATCH($A56,Customers!$A$4:$A$1003,0)),"")</f>
        <v/>
      </c>
      <c r="C56" s="31" t="str">
        <f aca="false">IFERROR(INDEX(Customers!$F$4:$F$1003,MATCH($A56,Customers!$A$4:$A$1003,0)),"")</f>
        <v/>
      </c>
      <c r="D56" s="27"/>
      <c r="E56" s="27"/>
      <c r="F56" s="27"/>
      <c r="G56" s="27"/>
      <c r="H56" s="27"/>
      <c r="I56" s="27"/>
      <c r="J56" s="27"/>
      <c r="K56" s="27"/>
      <c r="L56" s="27"/>
      <c r="M56" s="27"/>
      <c r="N56" s="27"/>
      <c r="O56" s="30" t="str">
        <f aca="false">IF($A56="","",COUNTIF($D56:$N56,"Yes"))</f>
        <v/>
      </c>
      <c r="P56" s="30" t="str">
        <f aca="false">IF($A56="","",COUNTA($D$3:$N$3))</f>
        <v/>
      </c>
      <c r="Q56" s="35" t="str">
        <f aca="false">IF($A56="","",IFERROR($O56/$P56,""))</f>
        <v/>
      </c>
      <c r="R56" s="31" t="str">
        <f aca="false">IF($A56="","",IF($Q56=1,"Complete",IF($Q56&gt;=0.7,"Almost Complete",IF($Q56&gt;0,"In Progress","Not Started"))))</f>
        <v/>
      </c>
      <c r="S56" s="28"/>
      <c r="T56" s="29"/>
      <c r="U56" s="32"/>
    </row>
    <row r="57" customFormat="false" ht="15.75" hidden="false" customHeight="true" outlineLevel="0" collapsed="false">
      <c r="A57" s="27"/>
      <c r="B57" s="33" t="str">
        <f aca="false">IFERROR(INDEX(Customers!$C$4:$C$1003,MATCH($A57,Customers!$A$4:$A$1003,0)),"")</f>
        <v/>
      </c>
      <c r="C57" s="31" t="str">
        <f aca="false">IFERROR(INDEX(Customers!$F$4:$F$1003,MATCH($A57,Customers!$A$4:$A$1003,0)),"")</f>
        <v/>
      </c>
      <c r="D57" s="27"/>
      <c r="E57" s="27"/>
      <c r="F57" s="27"/>
      <c r="G57" s="27"/>
      <c r="H57" s="27"/>
      <c r="I57" s="27"/>
      <c r="J57" s="27"/>
      <c r="K57" s="27"/>
      <c r="L57" s="27"/>
      <c r="M57" s="27"/>
      <c r="N57" s="27"/>
      <c r="O57" s="30" t="str">
        <f aca="false">IF($A57="","",COUNTIF($D57:$N57,"Yes"))</f>
        <v/>
      </c>
      <c r="P57" s="30" t="str">
        <f aca="false">IF($A57="","",COUNTA($D$3:$N$3))</f>
        <v/>
      </c>
      <c r="Q57" s="35" t="str">
        <f aca="false">IF($A57="","",IFERROR($O57/$P57,""))</f>
        <v/>
      </c>
      <c r="R57" s="31" t="str">
        <f aca="false">IF($A57="","",IF($Q57=1,"Complete",IF($Q57&gt;=0.7,"Almost Complete",IF($Q57&gt;0,"In Progress","Not Started"))))</f>
        <v/>
      </c>
      <c r="S57" s="28"/>
      <c r="T57" s="29"/>
      <c r="U57" s="32"/>
    </row>
    <row r="58" customFormat="false" ht="15.75" hidden="false" customHeight="true" outlineLevel="0" collapsed="false">
      <c r="A58" s="27"/>
      <c r="B58" s="33" t="str">
        <f aca="false">IFERROR(INDEX(Customers!$C$4:$C$1003,MATCH($A58,Customers!$A$4:$A$1003,0)),"")</f>
        <v/>
      </c>
      <c r="C58" s="31" t="str">
        <f aca="false">IFERROR(INDEX(Customers!$F$4:$F$1003,MATCH($A58,Customers!$A$4:$A$1003,0)),"")</f>
        <v/>
      </c>
      <c r="D58" s="27"/>
      <c r="E58" s="27"/>
      <c r="F58" s="27"/>
      <c r="G58" s="27"/>
      <c r="H58" s="27"/>
      <c r="I58" s="27"/>
      <c r="J58" s="27"/>
      <c r="K58" s="27"/>
      <c r="L58" s="27"/>
      <c r="M58" s="27"/>
      <c r="N58" s="27"/>
      <c r="O58" s="30" t="str">
        <f aca="false">IF($A58="","",COUNTIF($D58:$N58,"Yes"))</f>
        <v/>
      </c>
      <c r="P58" s="30" t="str">
        <f aca="false">IF($A58="","",COUNTA($D$3:$N$3))</f>
        <v/>
      </c>
      <c r="Q58" s="35" t="str">
        <f aca="false">IF($A58="","",IFERROR($O58/$P58,""))</f>
        <v/>
      </c>
      <c r="R58" s="31" t="str">
        <f aca="false">IF($A58="","",IF($Q58=1,"Complete",IF($Q58&gt;=0.7,"Almost Complete",IF($Q58&gt;0,"In Progress","Not Started"))))</f>
        <v/>
      </c>
      <c r="S58" s="28"/>
      <c r="T58" s="29"/>
      <c r="U58" s="32"/>
    </row>
    <row r="59" customFormat="false" ht="15.75" hidden="false" customHeight="true" outlineLevel="0" collapsed="false">
      <c r="A59" s="27"/>
      <c r="B59" s="33" t="str">
        <f aca="false">IFERROR(INDEX(Customers!$C$4:$C$1003,MATCH($A59,Customers!$A$4:$A$1003,0)),"")</f>
        <v/>
      </c>
      <c r="C59" s="31" t="str">
        <f aca="false">IFERROR(INDEX(Customers!$F$4:$F$1003,MATCH($A59,Customers!$A$4:$A$1003,0)),"")</f>
        <v/>
      </c>
      <c r="D59" s="27"/>
      <c r="E59" s="27"/>
      <c r="F59" s="27"/>
      <c r="G59" s="27"/>
      <c r="H59" s="27"/>
      <c r="I59" s="27"/>
      <c r="J59" s="27"/>
      <c r="K59" s="27"/>
      <c r="L59" s="27"/>
      <c r="M59" s="27"/>
      <c r="N59" s="27"/>
      <c r="O59" s="30" t="str">
        <f aca="false">IF($A59="","",COUNTIF($D59:$N59,"Yes"))</f>
        <v/>
      </c>
      <c r="P59" s="30" t="str">
        <f aca="false">IF($A59="","",COUNTA($D$3:$N$3))</f>
        <v/>
      </c>
      <c r="Q59" s="35" t="str">
        <f aca="false">IF($A59="","",IFERROR($O59/$P59,""))</f>
        <v/>
      </c>
      <c r="R59" s="31" t="str">
        <f aca="false">IF($A59="","",IF($Q59=1,"Complete",IF($Q59&gt;=0.7,"Almost Complete",IF($Q59&gt;0,"In Progress","Not Started"))))</f>
        <v/>
      </c>
      <c r="S59" s="28"/>
      <c r="T59" s="29"/>
      <c r="U59" s="32"/>
    </row>
    <row r="60" customFormat="false" ht="15.75" hidden="false" customHeight="true" outlineLevel="0" collapsed="false">
      <c r="A60" s="27"/>
      <c r="B60" s="33" t="str">
        <f aca="false">IFERROR(INDEX(Customers!$C$4:$C$1003,MATCH($A60,Customers!$A$4:$A$1003,0)),"")</f>
        <v/>
      </c>
      <c r="C60" s="31" t="str">
        <f aca="false">IFERROR(INDEX(Customers!$F$4:$F$1003,MATCH($A60,Customers!$A$4:$A$1003,0)),"")</f>
        <v/>
      </c>
      <c r="D60" s="27"/>
      <c r="E60" s="27"/>
      <c r="F60" s="27"/>
      <c r="G60" s="27"/>
      <c r="H60" s="27"/>
      <c r="I60" s="27"/>
      <c r="J60" s="27"/>
      <c r="K60" s="27"/>
      <c r="L60" s="27"/>
      <c r="M60" s="27"/>
      <c r="N60" s="27"/>
      <c r="O60" s="30" t="str">
        <f aca="false">IF($A60="","",COUNTIF($D60:$N60,"Yes"))</f>
        <v/>
      </c>
      <c r="P60" s="30" t="str">
        <f aca="false">IF($A60="","",COUNTA($D$3:$N$3))</f>
        <v/>
      </c>
      <c r="Q60" s="35" t="str">
        <f aca="false">IF($A60="","",IFERROR($O60/$P60,""))</f>
        <v/>
      </c>
      <c r="R60" s="31" t="str">
        <f aca="false">IF($A60="","",IF($Q60=1,"Complete",IF($Q60&gt;=0.7,"Almost Complete",IF($Q60&gt;0,"In Progress","Not Started"))))</f>
        <v/>
      </c>
      <c r="S60" s="28"/>
      <c r="T60" s="29"/>
      <c r="U60" s="32"/>
    </row>
    <row r="61" customFormat="false" ht="15.75" hidden="false" customHeight="true" outlineLevel="0" collapsed="false">
      <c r="A61" s="27"/>
      <c r="B61" s="33" t="str">
        <f aca="false">IFERROR(INDEX(Customers!$C$4:$C$1003,MATCH($A61,Customers!$A$4:$A$1003,0)),"")</f>
        <v/>
      </c>
      <c r="C61" s="31" t="str">
        <f aca="false">IFERROR(INDEX(Customers!$F$4:$F$1003,MATCH($A61,Customers!$A$4:$A$1003,0)),"")</f>
        <v/>
      </c>
      <c r="D61" s="27"/>
      <c r="E61" s="27"/>
      <c r="F61" s="27"/>
      <c r="G61" s="27"/>
      <c r="H61" s="27"/>
      <c r="I61" s="27"/>
      <c r="J61" s="27"/>
      <c r="K61" s="27"/>
      <c r="L61" s="27"/>
      <c r="M61" s="27"/>
      <c r="N61" s="27"/>
      <c r="O61" s="30" t="str">
        <f aca="false">IF($A61="","",COUNTIF($D61:$N61,"Yes"))</f>
        <v/>
      </c>
      <c r="P61" s="30" t="str">
        <f aca="false">IF($A61="","",COUNTA($D$3:$N$3))</f>
        <v/>
      </c>
      <c r="Q61" s="35" t="str">
        <f aca="false">IF($A61="","",IFERROR($O61/$P61,""))</f>
        <v/>
      </c>
      <c r="R61" s="31" t="str">
        <f aca="false">IF($A61="","",IF($Q61=1,"Complete",IF($Q61&gt;=0.7,"Almost Complete",IF($Q61&gt;0,"In Progress","Not Started"))))</f>
        <v/>
      </c>
      <c r="S61" s="28"/>
      <c r="T61" s="29"/>
      <c r="U61" s="32"/>
    </row>
    <row r="62" customFormat="false" ht="15.75" hidden="false" customHeight="true" outlineLevel="0" collapsed="false">
      <c r="A62" s="27"/>
      <c r="B62" s="33" t="str">
        <f aca="false">IFERROR(INDEX(Customers!$C$4:$C$1003,MATCH($A62,Customers!$A$4:$A$1003,0)),"")</f>
        <v/>
      </c>
      <c r="C62" s="31" t="str">
        <f aca="false">IFERROR(INDEX(Customers!$F$4:$F$1003,MATCH($A62,Customers!$A$4:$A$1003,0)),"")</f>
        <v/>
      </c>
      <c r="D62" s="27"/>
      <c r="E62" s="27"/>
      <c r="F62" s="27"/>
      <c r="G62" s="27"/>
      <c r="H62" s="27"/>
      <c r="I62" s="27"/>
      <c r="J62" s="27"/>
      <c r="K62" s="27"/>
      <c r="L62" s="27"/>
      <c r="M62" s="27"/>
      <c r="N62" s="27"/>
      <c r="O62" s="30" t="str">
        <f aca="false">IF($A62="","",COUNTIF($D62:$N62,"Yes"))</f>
        <v/>
      </c>
      <c r="P62" s="30" t="str">
        <f aca="false">IF($A62="","",COUNTA($D$3:$N$3))</f>
        <v/>
      </c>
      <c r="Q62" s="35" t="str">
        <f aca="false">IF($A62="","",IFERROR($O62/$P62,""))</f>
        <v/>
      </c>
      <c r="R62" s="31" t="str">
        <f aca="false">IF($A62="","",IF($Q62=1,"Complete",IF($Q62&gt;=0.7,"Almost Complete",IF($Q62&gt;0,"In Progress","Not Started"))))</f>
        <v/>
      </c>
      <c r="S62" s="28"/>
      <c r="T62" s="29"/>
      <c r="U62" s="32"/>
    </row>
    <row r="63" customFormat="false" ht="15.75" hidden="false" customHeight="true" outlineLevel="0" collapsed="false">
      <c r="A63" s="27"/>
      <c r="B63" s="33" t="str">
        <f aca="false">IFERROR(INDEX(Customers!$C$4:$C$1003,MATCH($A63,Customers!$A$4:$A$1003,0)),"")</f>
        <v/>
      </c>
      <c r="C63" s="31" t="str">
        <f aca="false">IFERROR(INDEX(Customers!$F$4:$F$1003,MATCH($A63,Customers!$A$4:$A$1003,0)),"")</f>
        <v/>
      </c>
      <c r="D63" s="27"/>
      <c r="E63" s="27"/>
      <c r="F63" s="27"/>
      <c r="G63" s="27"/>
      <c r="H63" s="27"/>
      <c r="I63" s="27"/>
      <c r="J63" s="27"/>
      <c r="K63" s="27"/>
      <c r="L63" s="27"/>
      <c r="M63" s="27"/>
      <c r="N63" s="27"/>
      <c r="O63" s="30" t="str">
        <f aca="false">IF($A63="","",COUNTIF($D63:$N63,"Yes"))</f>
        <v/>
      </c>
      <c r="P63" s="30" t="str">
        <f aca="false">IF($A63="","",COUNTA($D$3:$N$3))</f>
        <v/>
      </c>
      <c r="Q63" s="35" t="str">
        <f aca="false">IF($A63="","",IFERROR($O63/$P63,""))</f>
        <v/>
      </c>
      <c r="R63" s="31" t="str">
        <f aca="false">IF($A63="","",IF($Q63=1,"Complete",IF($Q63&gt;=0.7,"Almost Complete",IF($Q63&gt;0,"In Progress","Not Started"))))</f>
        <v/>
      </c>
      <c r="S63" s="28"/>
      <c r="T63" s="29"/>
      <c r="U63" s="32"/>
    </row>
    <row r="64" customFormat="false" ht="15.75" hidden="false" customHeight="true" outlineLevel="0" collapsed="false">
      <c r="A64" s="27"/>
      <c r="B64" s="33" t="str">
        <f aca="false">IFERROR(INDEX(Customers!$C$4:$C$1003,MATCH($A64,Customers!$A$4:$A$1003,0)),"")</f>
        <v/>
      </c>
      <c r="C64" s="31" t="str">
        <f aca="false">IFERROR(INDEX(Customers!$F$4:$F$1003,MATCH($A64,Customers!$A$4:$A$1003,0)),"")</f>
        <v/>
      </c>
      <c r="D64" s="27"/>
      <c r="E64" s="27"/>
      <c r="F64" s="27"/>
      <c r="G64" s="27"/>
      <c r="H64" s="27"/>
      <c r="I64" s="27"/>
      <c r="J64" s="27"/>
      <c r="K64" s="27"/>
      <c r="L64" s="27"/>
      <c r="M64" s="27"/>
      <c r="N64" s="27"/>
      <c r="O64" s="30" t="str">
        <f aca="false">IF($A64="","",COUNTIF($D64:$N64,"Yes"))</f>
        <v/>
      </c>
      <c r="P64" s="30" t="str">
        <f aca="false">IF($A64="","",COUNTA($D$3:$N$3))</f>
        <v/>
      </c>
      <c r="Q64" s="35" t="str">
        <f aca="false">IF($A64="","",IFERROR($O64/$P64,""))</f>
        <v/>
      </c>
      <c r="R64" s="31" t="str">
        <f aca="false">IF($A64="","",IF($Q64=1,"Complete",IF($Q64&gt;=0.7,"Almost Complete",IF($Q64&gt;0,"In Progress","Not Started"))))</f>
        <v/>
      </c>
      <c r="S64" s="28"/>
      <c r="T64" s="29"/>
      <c r="U64" s="32"/>
    </row>
    <row r="65" customFormat="false" ht="15.75" hidden="false" customHeight="true" outlineLevel="0" collapsed="false">
      <c r="A65" s="27"/>
      <c r="B65" s="33" t="str">
        <f aca="false">IFERROR(INDEX(Customers!$C$4:$C$1003,MATCH($A65,Customers!$A$4:$A$1003,0)),"")</f>
        <v/>
      </c>
      <c r="C65" s="31" t="str">
        <f aca="false">IFERROR(INDEX(Customers!$F$4:$F$1003,MATCH($A65,Customers!$A$4:$A$1003,0)),"")</f>
        <v/>
      </c>
      <c r="D65" s="27"/>
      <c r="E65" s="27"/>
      <c r="F65" s="27"/>
      <c r="G65" s="27"/>
      <c r="H65" s="27"/>
      <c r="I65" s="27"/>
      <c r="J65" s="27"/>
      <c r="K65" s="27"/>
      <c r="L65" s="27"/>
      <c r="M65" s="27"/>
      <c r="N65" s="27"/>
      <c r="O65" s="30" t="str">
        <f aca="false">IF($A65="","",COUNTIF($D65:$N65,"Yes"))</f>
        <v/>
      </c>
      <c r="P65" s="30" t="str">
        <f aca="false">IF($A65="","",COUNTA($D$3:$N$3))</f>
        <v/>
      </c>
      <c r="Q65" s="35" t="str">
        <f aca="false">IF($A65="","",IFERROR($O65/$P65,""))</f>
        <v/>
      </c>
      <c r="R65" s="31" t="str">
        <f aca="false">IF($A65="","",IF($Q65=1,"Complete",IF($Q65&gt;=0.7,"Almost Complete",IF($Q65&gt;0,"In Progress","Not Started"))))</f>
        <v/>
      </c>
      <c r="S65" s="28"/>
      <c r="T65" s="29"/>
      <c r="U65" s="32"/>
    </row>
    <row r="66" customFormat="false" ht="15.75" hidden="false" customHeight="true" outlineLevel="0" collapsed="false">
      <c r="A66" s="27"/>
      <c r="B66" s="33" t="str">
        <f aca="false">IFERROR(INDEX(Customers!$C$4:$C$1003,MATCH($A66,Customers!$A$4:$A$1003,0)),"")</f>
        <v/>
      </c>
      <c r="C66" s="31" t="str">
        <f aca="false">IFERROR(INDEX(Customers!$F$4:$F$1003,MATCH($A66,Customers!$A$4:$A$1003,0)),"")</f>
        <v/>
      </c>
      <c r="D66" s="27"/>
      <c r="E66" s="27"/>
      <c r="F66" s="27"/>
      <c r="G66" s="27"/>
      <c r="H66" s="27"/>
      <c r="I66" s="27"/>
      <c r="J66" s="27"/>
      <c r="K66" s="27"/>
      <c r="L66" s="27"/>
      <c r="M66" s="27"/>
      <c r="N66" s="27"/>
      <c r="O66" s="30" t="str">
        <f aca="false">IF($A66="","",COUNTIF($D66:$N66,"Yes"))</f>
        <v/>
      </c>
      <c r="P66" s="30" t="str">
        <f aca="false">IF($A66="","",COUNTA($D$3:$N$3))</f>
        <v/>
      </c>
      <c r="Q66" s="35" t="str">
        <f aca="false">IF($A66="","",IFERROR($O66/$P66,""))</f>
        <v/>
      </c>
      <c r="R66" s="31" t="str">
        <f aca="false">IF($A66="","",IF($Q66=1,"Complete",IF($Q66&gt;=0.7,"Almost Complete",IF($Q66&gt;0,"In Progress","Not Started"))))</f>
        <v/>
      </c>
      <c r="S66" s="28"/>
      <c r="T66" s="29"/>
      <c r="U66" s="32"/>
    </row>
    <row r="67" customFormat="false" ht="15.75" hidden="false" customHeight="true" outlineLevel="0" collapsed="false">
      <c r="A67" s="27"/>
      <c r="B67" s="33" t="str">
        <f aca="false">IFERROR(INDEX(Customers!$C$4:$C$1003,MATCH($A67,Customers!$A$4:$A$1003,0)),"")</f>
        <v/>
      </c>
      <c r="C67" s="31" t="str">
        <f aca="false">IFERROR(INDEX(Customers!$F$4:$F$1003,MATCH($A67,Customers!$A$4:$A$1003,0)),"")</f>
        <v/>
      </c>
      <c r="D67" s="27"/>
      <c r="E67" s="27"/>
      <c r="F67" s="27"/>
      <c r="G67" s="27"/>
      <c r="H67" s="27"/>
      <c r="I67" s="27"/>
      <c r="J67" s="27"/>
      <c r="K67" s="27"/>
      <c r="L67" s="27"/>
      <c r="M67" s="27"/>
      <c r="N67" s="27"/>
      <c r="O67" s="30" t="str">
        <f aca="false">IF($A67="","",COUNTIF($D67:$N67,"Yes"))</f>
        <v/>
      </c>
      <c r="P67" s="30" t="str">
        <f aca="false">IF($A67="","",COUNTA($D$3:$N$3))</f>
        <v/>
      </c>
      <c r="Q67" s="35" t="str">
        <f aca="false">IF($A67="","",IFERROR($O67/$P67,""))</f>
        <v/>
      </c>
      <c r="R67" s="31" t="str">
        <f aca="false">IF($A67="","",IF($Q67=1,"Complete",IF($Q67&gt;=0.7,"Almost Complete",IF($Q67&gt;0,"In Progress","Not Started"))))</f>
        <v/>
      </c>
      <c r="S67" s="28"/>
      <c r="T67" s="29"/>
      <c r="U67" s="32"/>
    </row>
    <row r="68" customFormat="false" ht="15.75" hidden="false" customHeight="true" outlineLevel="0" collapsed="false">
      <c r="A68" s="27"/>
      <c r="B68" s="33" t="str">
        <f aca="false">IFERROR(INDEX(Customers!$C$4:$C$1003,MATCH($A68,Customers!$A$4:$A$1003,0)),"")</f>
        <v/>
      </c>
      <c r="C68" s="31" t="str">
        <f aca="false">IFERROR(INDEX(Customers!$F$4:$F$1003,MATCH($A68,Customers!$A$4:$A$1003,0)),"")</f>
        <v/>
      </c>
      <c r="D68" s="27"/>
      <c r="E68" s="27"/>
      <c r="F68" s="27"/>
      <c r="G68" s="27"/>
      <c r="H68" s="27"/>
      <c r="I68" s="27"/>
      <c r="J68" s="27"/>
      <c r="K68" s="27"/>
      <c r="L68" s="27"/>
      <c r="M68" s="27"/>
      <c r="N68" s="27"/>
      <c r="O68" s="30" t="str">
        <f aca="false">IF($A68="","",COUNTIF($D68:$N68,"Yes"))</f>
        <v/>
      </c>
      <c r="P68" s="30" t="str">
        <f aca="false">IF($A68="","",COUNTA($D$3:$N$3))</f>
        <v/>
      </c>
      <c r="Q68" s="35" t="str">
        <f aca="false">IF($A68="","",IFERROR($O68/$P68,""))</f>
        <v/>
      </c>
      <c r="R68" s="31" t="str">
        <f aca="false">IF($A68="","",IF($Q68=1,"Complete",IF($Q68&gt;=0.7,"Almost Complete",IF($Q68&gt;0,"In Progress","Not Started"))))</f>
        <v/>
      </c>
      <c r="S68" s="28"/>
      <c r="T68" s="29"/>
      <c r="U68" s="32"/>
    </row>
    <row r="69" customFormat="false" ht="15.75" hidden="false" customHeight="true" outlineLevel="0" collapsed="false">
      <c r="A69" s="27"/>
      <c r="B69" s="33" t="str">
        <f aca="false">IFERROR(INDEX(Customers!$C$4:$C$1003,MATCH($A69,Customers!$A$4:$A$1003,0)),"")</f>
        <v/>
      </c>
      <c r="C69" s="31" t="str">
        <f aca="false">IFERROR(INDEX(Customers!$F$4:$F$1003,MATCH($A69,Customers!$A$4:$A$1003,0)),"")</f>
        <v/>
      </c>
      <c r="D69" s="27"/>
      <c r="E69" s="27"/>
      <c r="F69" s="27"/>
      <c r="G69" s="27"/>
      <c r="H69" s="27"/>
      <c r="I69" s="27"/>
      <c r="J69" s="27"/>
      <c r="K69" s="27"/>
      <c r="L69" s="27"/>
      <c r="M69" s="27"/>
      <c r="N69" s="27"/>
      <c r="O69" s="30" t="str">
        <f aca="false">IF($A69="","",COUNTIF($D69:$N69,"Yes"))</f>
        <v/>
      </c>
      <c r="P69" s="30" t="str">
        <f aca="false">IF($A69="","",COUNTA($D$3:$N$3))</f>
        <v/>
      </c>
      <c r="Q69" s="35" t="str">
        <f aca="false">IF($A69="","",IFERROR($O69/$P69,""))</f>
        <v/>
      </c>
      <c r="R69" s="31" t="str">
        <f aca="false">IF($A69="","",IF($Q69=1,"Complete",IF($Q69&gt;=0.7,"Almost Complete",IF($Q69&gt;0,"In Progress","Not Started"))))</f>
        <v/>
      </c>
      <c r="S69" s="28"/>
      <c r="T69" s="29"/>
      <c r="U69" s="32"/>
    </row>
    <row r="70" customFormat="false" ht="15.75" hidden="false" customHeight="true" outlineLevel="0" collapsed="false">
      <c r="A70" s="27"/>
      <c r="B70" s="33" t="str">
        <f aca="false">IFERROR(INDEX(Customers!$C$4:$C$1003,MATCH($A70,Customers!$A$4:$A$1003,0)),"")</f>
        <v/>
      </c>
      <c r="C70" s="31" t="str">
        <f aca="false">IFERROR(INDEX(Customers!$F$4:$F$1003,MATCH($A70,Customers!$A$4:$A$1003,0)),"")</f>
        <v/>
      </c>
      <c r="D70" s="27"/>
      <c r="E70" s="27"/>
      <c r="F70" s="27"/>
      <c r="G70" s="27"/>
      <c r="H70" s="27"/>
      <c r="I70" s="27"/>
      <c r="J70" s="27"/>
      <c r="K70" s="27"/>
      <c r="L70" s="27"/>
      <c r="M70" s="27"/>
      <c r="N70" s="27"/>
      <c r="O70" s="30" t="str">
        <f aca="false">IF($A70="","",COUNTIF($D70:$N70,"Yes"))</f>
        <v/>
      </c>
      <c r="P70" s="30" t="str">
        <f aca="false">IF($A70="","",COUNTA($D$3:$N$3))</f>
        <v/>
      </c>
      <c r="Q70" s="35" t="str">
        <f aca="false">IF($A70="","",IFERROR($O70/$P70,""))</f>
        <v/>
      </c>
      <c r="R70" s="31" t="str">
        <f aca="false">IF($A70="","",IF($Q70=1,"Complete",IF($Q70&gt;=0.7,"Almost Complete",IF($Q70&gt;0,"In Progress","Not Started"))))</f>
        <v/>
      </c>
      <c r="S70" s="28"/>
      <c r="T70" s="29"/>
      <c r="U70" s="32"/>
    </row>
    <row r="71" customFormat="false" ht="15.75" hidden="false" customHeight="true" outlineLevel="0" collapsed="false">
      <c r="A71" s="27"/>
      <c r="B71" s="33" t="str">
        <f aca="false">IFERROR(INDEX(Customers!$C$4:$C$1003,MATCH($A71,Customers!$A$4:$A$1003,0)),"")</f>
        <v/>
      </c>
      <c r="C71" s="31" t="str">
        <f aca="false">IFERROR(INDEX(Customers!$F$4:$F$1003,MATCH($A71,Customers!$A$4:$A$1003,0)),"")</f>
        <v/>
      </c>
      <c r="D71" s="27"/>
      <c r="E71" s="27"/>
      <c r="F71" s="27"/>
      <c r="G71" s="27"/>
      <c r="H71" s="27"/>
      <c r="I71" s="27"/>
      <c r="J71" s="27"/>
      <c r="K71" s="27"/>
      <c r="L71" s="27"/>
      <c r="M71" s="27"/>
      <c r="N71" s="27"/>
      <c r="O71" s="30" t="str">
        <f aca="false">IF($A71="","",COUNTIF($D71:$N71,"Yes"))</f>
        <v/>
      </c>
      <c r="P71" s="30" t="str">
        <f aca="false">IF($A71="","",COUNTA($D$3:$N$3))</f>
        <v/>
      </c>
      <c r="Q71" s="35" t="str">
        <f aca="false">IF($A71="","",IFERROR($O71/$P71,""))</f>
        <v/>
      </c>
      <c r="R71" s="31" t="str">
        <f aca="false">IF($A71="","",IF($Q71=1,"Complete",IF($Q71&gt;=0.7,"Almost Complete",IF($Q71&gt;0,"In Progress","Not Started"))))</f>
        <v/>
      </c>
      <c r="S71" s="28"/>
      <c r="T71" s="29"/>
      <c r="U71" s="32"/>
    </row>
    <row r="72" customFormat="false" ht="15.75" hidden="false" customHeight="true" outlineLevel="0" collapsed="false">
      <c r="A72" s="27"/>
      <c r="B72" s="33" t="str">
        <f aca="false">IFERROR(INDEX(Customers!$C$4:$C$1003,MATCH($A72,Customers!$A$4:$A$1003,0)),"")</f>
        <v/>
      </c>
      <c r="C72" s="31" t="str">
        <f aca="false">IFERROR(INDEX(Customers!$F$4:$F$1003,MATCH($A72,Customers!$A$4:$A$1003,0)),"")</f>
        <v/>
      </c>
      <c r="D72" s="27"/>
      <c r="E72" s="27"/>
      <c r="F72" s="27"/>
      <c r="G72" s="27"/>
      <c r="H72" s="27"/>
      <c r="I72" s="27"/>
      <c r="J72" s="27"/>
      <c r="K72" s="27"/>
      <c r="L72" s="27"/>
      <c r="M72" s="27"/>
      <c r="N72" s="27"/>
      <c r="O72" s="30" t="str">
        <f aca="false">IF($A72="","",COUNTIF($D72:$N72,"Yes"))</f>
        <v/>
      </c>
      <c r="P72" s="30" t="str">
        <f aca="false">IF($A72="","",COUNTA($D$3:$N$3))</f>
        <v/>
      </c>
      <c r="Q72" s="35" t="str">
        <f aca="false">IF($A72="","",IFERROR($O72/$P72,""))</f>
        <v/>
      </c>
      <c r="R72" s="31" t="str">
        <f aca="false">IF($A72="","",IF($Q72=1,"Complete",IF($Q72&gt;=0.7,"Almost Complete",IF($Q72&gt;0,"In Progress","Not Started"))))</f>
        <v/>
      </c>
      <c r="S72" s="28"/>
      <c r="T72" s="29"/>
      <c r="U72" s="32"/>
    </row>
    <row r="73" customFormat="false" ht="15.75" hidden="false" customHeight="true" outlineLevel="0" collapsed="false">
      <c r="A73" s="27"/>
      <c r="B73" s="33" t="str">
        <f aca="false">IFERROR(INDEX(Customers!$C$4:$C$1003,MATCH($A73,Customers!$A$4:$A$1003,0)),"")</f>
        <v/>
      </c>
      <c r="C73" s="31" t="str">
        <f aca="false">IFERROR(INDEX(Customers!$F$4:$F$1003,MATCH($A73,Customers!$A$4:$A$1003,0)),"")</f>
        <v/>
      </c>
      <c r="D73" s="27"/>
      <c r="E73" s="27"/>
      <c r="F73" s="27"/>
      <c r="G73" s="27"/>
      <c r="H73" s="27"/>
      <c r="I73" s="27"/>
      <c r="J73" s="27"/>
      <c r="K73" s="27"/>
      <c r="L73" s="27"/>
      <c r="M73" s="27"/>
      <c r="N73" s="27"/>
      <c r="O73" s="30" t="str">
        <f aca="false">IF($A73="","",COUNTIF($D73:$N73,"Yes"))</f>
        <v/>
      </c>
      <c r="P73" s="30" t="str">
        <f aca="false">IF($A73="","",COUNTA($D$3:$N$3))</f>
        <v/>
      </c>
      <c r="Q73" s="35" t="str">
        <f aca="false">IF($A73="","",IFERROR($O73/$P73,""))</f>
        <v/>
      </c>
      <c r="R73" s="31" t="str">
        <f aca="false">IF($A73="","",IF($Q73=1,"Complete",IF($Q73&gt;=0.7,"Almost Complete",IF($Q73&gt;0,"In Progress","Not Started"))))</f>
        <v/>
      </c>
      <c r="S73" s="28"/>
      <c r="T73" s="29"/>
      <c r="U73" s="32"/>
    </row>
    <row r="74" customFormat="false" ht="15.75" hidden="false" customHeight="true" outlineLevel="0" collapsed="false">
      <c r="A74" s="27"/>
      <c r="B74" s="33" t="str">
        <f aca="false">IFERROR(INDEX(Customers!$C$4:$C$1003,MATCH($A74,Customers!$A$4:$A$1003,0)),"")</f>
        <v/>
      </c>
      <c r="C74" s="31" t="str">
        <f aca="false">IFERROR(INDEX(Customers!$F$4:$F$1003,MATCH($A74,Customers!$A$4:$A$1003,0)),"")</f>
        <v/>
      </c>
      <c r="D74" s="27"/>
      <c r="E74" s="27"/>
      <c r="F74" s="27"/>
      <c r="G74" s="27"/>
      <c r="H74" s="27"/>
      <c r="I74" s="27"/>
      <c r="J74" s="27"/>
      <c r="K74" s="27"/>
      <c r="L74" s="27"/>
      <c r="M74" s="27"/>
      <c r="N74" s="27"/>
      <c r="O74" s="30" t="str">
        <f aca="false">IF($A74="","",COUNTIF($D74:$N74,"Yes"))</f>
        <v/>
      </c>
      <c r="P74" s="30" t="str">
        <f aca="false">IF($A74="","",COUNTA($D$3:$N$3))</f>
        <v/>
      </c>
      <c r="Q74" s="35" t="str">
        <f aca="false">IF($A74="","",IFERROR($O74/$P74,""))</f>
        <v/>
      </c>
      <c r="R74" s="31" t="str">
        <f aca="false">IF($A74="","",IF($Q74=1,"Complete",IF($Q74&gt;=0.7,"Almost Complete",IF($Q74&gt;0,"In Progress","Not Started"))))</f>
        <v/>
      </c>
      <c r="S74" s="28"/>
      <c r="T74" s="29"/>
      <c r="U74" s="32"/>
    </row>
    <row r="75" customFormat="false" ht="15.75" hidden="false" customHeight="true" outlineLevel="0" collapsed="false">
      <c r="A75" s="27"/>
      <c r="B75" s="33" t="str">
        <f aca="false">IFERROR(INDEX(Customers!$C$4:$C$1003,MATCH($A75,Customers!$A$4:$A$1003,0)),"")</f>
        <v/>
      </c>
      <c r="C75" s="31" t="str">
        <f aca="false">IFERROR(INDEX(Customers!$F$4:$F$1003,MATCH($A75,Customers!$A$4:$A$1003,0)),"")</f>
        <v/>
      </c>
      <c r="D75" s="27"/>
      <c r="E75" s="27"/>
      <c r="F75" s="27"/>
      <c r="G75" s="27"/>
      <c r="H75" s="27"/>
      <c r="I75" s="27"/>
      <c r="J75" s="27"/>
      <c r="K75" s="27"/>
      <c r="L75" s="27"/>
      <c r="M75" s="27"/>
      <c r="N75" s="27"/>
      <c r="O75" s="30" t="str">
        <f aca="false">IF($A75="","",COUNTIF($D75:$N75,"Yes"))</f>
        <v/>
      </c>
      <c r="P75" s="30" t="str">
        <f aca="false">IF($A75="","",COUNTA($D$3:$N$3))</f>
        <v/>
      </c>
      <c r="Q75" s="35" t="str">
        <f aca="false">IF($A75="","",IFERROR($O75/$P75,""))</f>
        <v/>
      </c>
      <c r="R75" s="31" t="str">
        <f aca="false">IF($A75="","",IF($Q75=1,"Complete",IF($Q75&gt;=0.7,"Almost Complete",IF($Q75&gt;0,"In Progress","Not Started"))))</f>
        <v/>
      </c>
      <c r="S75" s="28"/>
      <c r="T75" s="29"/>
      <c r="U75" s="32"/>
    </row>
    <row r="76" customFormat="false" ht="15.75" hidden="false" customHeight="true" outlineLevel="0" collapsed="false">
      <c r="A76" s="27"/>
      <c r="B76" s="33" t="str">
        <f aca="false">IFERROR(INDEX(Customers!$C$4:$C$1003,MATCH($A76,Customers!$A$4:$A$1003,0)),"")</f>
        <v/>
      </c>
      <c r="C76" s="31" t="str">
        <f aca="false">IFERROR(INDEX(Customers!$F$4:$F$1003,MATCH($A76,Customers!$A$4:$A$1003,0)),"")</f>
        <v/>
      </c>
      <c r="D76" s="27"/>
      <c r="E76" s="27"/>
      <c r="F76" s="27"/>
      <c r="G76" s="27"/>
      <c r="H76" s="27"/>
      <c r="I76" s="27"/>
      <c r="J76" s="27"/>
      <c r="K76" s="27"/>
      <c r="L76" s="27"/>
      <c r="M76" s="27"/>
      <c r="N76" s="27"/>
      <c r="O76" s="30" t="str">
        <f aca="false">IF($A76="","",COUNTIF($D76:$N76,"Yes"))</f>
        <v/>
      </c>
      <c r="P76" s="30" t="str">
        <f aca="false">IF($A76="","",COUNTA($D$3:$N$3))</f>
        <v/>
      </c>
      <c r="Q76" s="35" t="str">
        <f aca="false">IF($A76="","",IFERROR($O76/$P76,""))</f>
        <v/>
      </c>
      <c r="R76" s="31" t="str">
        <f aca="false">IF($A76="","",IF($Q76=1,"Complete",IF($Q76&gt;=0.7,"Almost Complete",IF($Q76&gt;0,"In Progress","Not Started"))))</f>
        <v/>
      </c>
      <c r="S76" s="28"/>
      <c r="T76" s="29"/>
      <c r="U76" s="32"/>
    </row>
    <row r="77" customFormat="false" ht="15.75" hidden="false" customHeight="true" outlineLevel="0" collapsed="false">
      <c r="A77" s="27"/>
      <c r="B77" s="33" t="str">
        <f aca="false">IFERROR(INDEX(Customers!$C$4:$C$1003,MATCH($A77,Customers!$A$4:$A$1003,0)),"")</f>
        <v/>
      </c>
      <c r="C77" s="31" t="str">
        <f aca="false">IFERROR(INDEX(Customers!$F$4:$F$1003,MATCH($A77,Customers!$A$4:$A$1003,0)),"")</f>
        <v/>
      </c>
      <c r="D77" s="27"/>
      <c r="E77" s="27"/>
      <c r="F77" s="27"/>
      <c r="G77" s="27"/>
      <c r="H77" s="27"/>
      <c r="I77" s="27"/>
      <c r="J77" s="27"/>
      <c r="K77" s="27"/>
      <c r="L77" s="27"/>
      <c r="M77" s="27"/>
      <c r="N77" s="27"/>
      <c r="O77" s="30" t="str">
        <f aca="false">IF($A77="","",COUNTIF($D77:$N77,"Yes"))</f>
        <v/>
      </c>
      <c r="P77" s="30" t="str">
        <f aca="false">IF($A77="","",COUNTA($D$3:$N$3))</f>
        <v/>
      </c>
      <c r="Q77" s="35" t="str">
        <f aca="false">IF($A77="","",IFERROR($O77/$P77,""))</f>
        <v/>
      </c>
      <c r="R77" s="31" t="str">
        <f aca="false">IF($A77="","",IF($Q77=1,"Complete",IF($Q77&gt;=0.7,"Almost Complete",IF($Q77&gt;0,"In Progress","Not Started"))))</f>
        <v/>
      </c>
      <c r="S77" s="28"/>
      <c r="T77" s="29"/>
      <c r="U77" s="32"/>
    </row>
    <row r="78" customFormat="false" ht="15.75" hidden="false" customHeight="true" outlineLevel="0" collapsed="false">
      <c r="A78" s="27"/>
      <c r="B78" s="33" t="str">
        <f aca="false">IFERROR(INDEX(Customers!$C$4:$C$1003,MATCH($A78,Customers!$A$4:$A$1003,0)),"")</f>
        <v/>
      </c>
      <c r="C78" s="31" t="str">
        <f aca="false">IFERROR(INDEX(Customers!$F$4:$F$1003,MATCH($A78,Customers!$A$4:$A$1003,0)),"")</f>
        <v/>
      </c>
      <c r="D78" s="27"/>
      <c r="E78" s="27"/>
      <c r="F78" s="27"/>
      <c r="G78" s="27"/>
      <c r="H78" s="27"/>
      <c r="I78" s="27"/>
      <c r="J78" s="27"/>
      <c r="K78" s="27"/>
      <c r="L78" s="27"/>
      <c r="M78" s="27"/>
      <c r="N78" s="27"/>
      <c r="O78" s="30" t="str">
        <f aca="false">IF($A78="","",COUNTIF($D78:$N78,"Yes"))</f>
        <v/>
      </c>
      <c r="P78" s="30" t="str">
        <f aca="false">IF($A78="","",COUNTA($D$3:$N$3))</f>
        <v/>
      </c>
      <c r="Q78" s="35" t="str">
        <f aca="false">IF($A78="","",IFERROR($O78/$P78,""))</f>
        <v/>
      </c>
      <c r="R78" s="31" t="str">
        <f aca="false">IF($A78="","",IF($Q78=1,"Complete",IF($Q78&gt;=0.7,"Almost Complete",IF($Q78&gt;0,"In Progress","Not Started"))))</f>
        <v/>
      </c>
      <c r="S78" s="28"/>
      <c r="T78" s="29"/>
      <c r="U78" s="32"/>
    </row>
    <row r="79" customFormat="false" ht="15.75" hidden="false" customHeight="true" outlineLevel="0" collapsed="false">
      <c r="A79" s="27"/>
      <c r="B79" s="33" t="str">
        <f aca="false">IFERROR(INDEX(Customers!$C$4:$C$1003,MATCH($A79,Customers!$A$4:$A$1003,0)),"")</f>
        <v/>
      </c>
      <c r="C79" s="31" t="str">
        <f aca="false">IFERROR(INDEX(Customers!$F$4:$F$1003,MATCH($A79,Customers!$A$4:$A$1003,0)),"")</f>
        <v/>
      </c>
      <c r="D79" s="27"/>
      <c r="E79" s="27"/>
      <c r="F79" s="27"/>
      <c r="G79" s="27"/>
      <c r="H79" s="27"/>
      <c r="I79" s="27"/>
      <c r="J79" s="27"/>
      <c r="K79" s="27"/>
      <c r="L79" s="27"/>
      <c r="M79" s="27"/>
      <c r="N79" s="27"/>
      <c r="O79" s="30" t="str">
        <f aca="false">IF($A79="","",COUNTIF($D79:$N79,"Yes"))</f>
        <v/>
      </c>
      <c r="P79" s="30" t="str">
        <f aca="false">IF($A79="","",COUNTA($D$3:$N$3))</f>
        <v/>
      </c>
      <c r="Q79" s="35" t="str">
        <f aca="false">IF($A79="","",IFERROR($O79/$P79,""))</f>
        <v/>
      </c>
      <c r="R79" s="31" t="str">
        <f aca="false">IF($A79="","",IF($Q79=1,"Complete",IF($Q79&gt;=0.7,"Almost Complete",IF($Q79&gt;0,"In Progress","Not Started"))))</f>
        <v/>
      </c>
      <c r="S79" s="28"/>
      <c r="T79" s="29"/>
      <c r="U79" s="32"/>
    </row>
    <row r="80" customFormat="false" ht="15.75" hidden="false" customHeight="true" outlineLevel="0" collapsed="false">
      <c r="A80" s="27"/>
      <c r="B80" s="33" t="str">
        <f aca="false">IFERROR(INDEX(Customers!$C$4:$C$1003,MATCH($A80,Customers!$A$4:$A$1003,0)),"")</f>
        <v/>
      </c>
      <c r="C80" s="31" t="str">
        <f aca="false">IFERROR(INDEX(Customers!$F$4:$F$1003,MATCH($A80,Customers!$A$4:$A$1003,0)),"")</f>
        <v/>
      </c>
      <c r="D80" s="27"/>
      <c r="E80" s="27"/>
      <c r="F80" s="27"/>
      <c r="G80" s="27"/>
      <c r="H80" s="27"/>
      <c r="I80" s="27"/>
      <c r="J80" s="27"/>
      <c r="K80" s="27"/>
      <c r="L80" s="27"/>
      <c r="M80" s="27"/>
      <c r="N80" s="27"/>
      <c r="O80" s="30" t="str">
        <f aca="false">IF($A80="","",COUNTIF($D80:$N80,"Yes"))</f>
        <v/>
      </c>
      <c r="P80" s="30" t="str">
        <f aca="false">IF($A80="","",COUNTA($D$3:$N$3))</f>
        <v/>
      </c>
      <c r="Q80" s="35" t="str">
        <f aca="false">IF($A80="","",IFERROR($O80/$P80,""))</f>
        <v/>
      </c>
      <c r="R80" s="31" t="str">
        <f aca="false">IF($A80="","",IF($Q80=1,"Complete",IF($Q80&gt;=0.7,"Almost Complete",IF($Q80&gt;0,"In Progress","Not Started"))))</f>
        <v/>
      </c>
      <c r="S80" s="28"/>
      <c r="T80" s="29"/>
      <c r="U80" s="32"/>
    </row>
    <row r="81" customFormat="false" ht="15.75" hidden="false" customHeight="true" outlineLevel="0" collapsed="false">
      <c r="A81" s="27"/>
      <c r="B81" s="33" t="str">
        <f aca="false">IFERROR(INDEX(Customers!$C$4:$C$1003,MATCH($A81,Customers!$A$4:$A$1003,0)),"")</f>
        <v/>
      </c>
      <c r="C81" s="31" t="str">
        <f aca="false">IFERROR(INDEX(Customers!$F$4:$F$1003,MATCH($A81,Customers!$A$4:$A$1003,0)),"")</f>
        <v/>
      </c>
      <c r="D81" s="27"/>
      <c r="E81" s="27"/>
      <c r="F81" s="27"/>
      <c r="G81" s="27"/>
      <c r="H81" s="27"/>
      <c r="I81" s="27"/>
      <c r="J81" s="27"/>
      <c r="K81" s="27"/>
      <c r="L81" s="27"/>
      <c r="M81" s="27"/>
      <c r="N81" s="27"/>
      <c r="O81" s="30" t="str">
        <f aca="false">IF($A81="","",COUNTIF($D81:$N81,"Yes"))</f>
        <v/>
      </c>
      <c r="P81" s="30" t="str">
        <f aca="false">IF($A81="","",COUNTA($D$3:$N$3))</f>
        <v/>
      </c>
      <c r="Q81" s="35" t="str">
        <f aca="false">IF($A81="","",IFERROR($O81/$P81,""))</f>
        <v/>
      </c>
      <c r="R81" s="31" t="str">
        <f aca="false">IF($A81="","",IF($Q81=1,"Complete",IF($Q81&gt;=0.7,"Almost Complete",IF($Q81&gt;0,"In Progress","Not Started"))))</f>
        <v/>
      </c>
      <c r="S81" s="28"/>
      <c r="T81" s="29"/>
      <c r="U81" s="32"/>
    </row>
    <row r="82" customFormat="false" ht="15.75" hidden="false" customHeight="true" outlineLevel="0" collapsed="false">
      <c r="A82" s="27"/>
      <c r="B82" s="33" t="str">
        <f aca="false">IFERROR(INDEX(Customers!$C$4:$C$1003,MATCH($A82,Customers!$A$4:$A$1003,0)),"")</f>
        <v/>
      </c>
      <c r="C82" s="31" t="str">
        <f aca="false">IFERROR(INDEX(Customers!$F$4:$F$1003,MATCH($A82,Customers!$A$4:$A$1003,0)),"")</f>
        <v/>
      </c>
      <c r="D82" s="27"/>
      <c r="E82" s="27"/>
      <c r="F82" s="27"/>
      <c r="G82" s="27"/>
      <c r="H82" s="27"/>
      <c r="I82" s="27"/>
      <c r="J82" s="27"/>
      <c r="K82" s="27"/>
      <c r="L82" s="27"/>
      <c r="M82" s="27"/>
      <c r="N82" s="27"/>
      <c r="O82" s="30" t="str">
        <f aca="false">IF($A82="","",COUNTIF($D82:$N82,"Yes"))</f>
        <v/>
      </c>
      <c r="P82" s="30" t="str">
        <f aca="false">IF($A82="","",COUNTA($D$3:$N$3))</f>
        <v/>
      </c>
      <c r="Q82" s="35" t="str">
        <f aca="false">IF($A82="","",IFERROR($O82/$P82,""))</f>
        <v/>
      </c>
      <c r="R82" s="31" t="str">
        <f aca="false">IF($A82="","",IF($Q82=1,"Complete",IF($Q82&gt;=0.7,"Almost Complete",IF($Q82&gt;0,"In Progress","Not Started"))))</f>
        <v/>
      </c>
      <c r="S82" s="28"/>
      <c r="T82" s="29"/>
      <c r="U82" s="32"/>
    </row>
    <row r="83" customFormat="false" ht="15.75" hidden="false" customHeight="true" outlineLevel="0" collapsed="false">
      <c r="A83" s="27"/>
      <c r="B83" s="33" t="str">
        <f aca="false">IFERROR(INDEX(Customers!$C$4:$C$1003,MATCH($A83,Customers!$A$4:$A$1003,0)),"")</f>
        <v/>
      </c>
      <c r="C83" s="31" t="str">
        <f aca="false">IFERROR(INDEX(Customers!$F$4:$F$1003,MATCH($A83,Customers!$A$4:$A$1003,0)),"")</f>
        <v/>
      </c>
      <c r="D83" s="27"/>
      <c r="E83" s="27"/>
      <c r="F83" s="27"/>
      <c r="G83" s="27"/>
      <c r="H83" s="27"/>
      <c r="I83" s="27"/>
      <c r="J83" s="27"/>
      <c r="K83" s="27"/>
      <c r="L83" s="27"/>
      <c r="M83" s="27"/>
      <c r="N83" s="27"/>
      <c r="O83" s="30" t="str">
        <f aca="false">IF($A83="","",COUNTIF($D83:$N83,"Yes"))</f>
        <v/>
      </c>
      <c r="P83" s="30" t="str">
        <f aca="false">IF($A83="","",COUNTA($D$3:$N$3))</f>
        <v/>
      </c>
      <c r="Q83" s="35" t="str">
        <f aca="false">IF($A83="","",IFERROR($O83/$P83,""))</f>
        <v/>
      </c>
      <c r="R83" s="31" t="str">
        <f aca="false">IF($A83="","",IF($Q83=1,"Complete",IF($Q83&gt;=0.7,"Almost Complete",IF($Q83&gt;0,"In Progress","Not Started"))))</f>
        <v/>
      </c>
      <c r="S83" s="28"/>
      <c r="T83" s="29"/>
      <c r="U83" s="32"/>
    </row>
    <row r="84" customFormat="false" ht="15.75" hidden="false" customHeight="true" outlineLevel="0" collapsed="false">
      <c r="A84" s="27"/>
      <c r="B84" s="33" t="str">
        <f aca="false">IFERROR(INDEX(Customers!$C$4:$C$1003,MATCH($A84,Customers!$A$4:$A$1003,0)),"")</f>
        <v/>
      </c>
      <c r="C84" s="31" t="str">
        <f aca="false">IFERROR(INDEX(Customers!$F$4:$F$1003,MATCH($A84,Customers!$A$4:$A$1003,0)),"")</f>
        <v/>
      </c>
      <c r="D84" s="27"/>
      <c r="E84" s="27"/>
      <c r="F84" s="27"/>
      <c r="G84" s="27"/>
      <c r="H84" s="27"/>
      <c r="I84" s="27"/>
      <c r="J84" s="27"/>
      <c r="K84" s="27"/>
      <c r="L84" s="27"/>
      <c r="M84" s="27"/>
      <c r="N84" s="27"/>
      <c r="O84" s="30" t="str">
        <f aca="false">IF($A84="","",COUNTIF($D84:$N84,"Yes"))</f>
        <v/>
      </c>
      <c r="P84" s="30" t="str">
        <f aca="false">IF($A84="","",COUNTA($D$3:$N$3))</f>
        <v/>
      </c>
      <c r="Q84" s="35" t="str">
        <f aca="false">IF($A84="","",IFERROR($O84/$P84,""))</f>
        <v/>
      </c>
      <c r="R84" s="31" t="str">
        <f aca="false">IF($A84="","",IF($Q84=1,"Complete",IF($Q84&gt;=0.7,"Almost Complete",IF($Q84&gt;0,"In Progress","Not Started"))))</f>
        <v/>
      </c>
      <c r="S84" s="28"/>
      <c r="T84" s="29"/>
      <c r="U84" s="32"/>
    </row>
    <row r="85" customFormat="false" ht="15.75" hidden="false" customHeight="true" outlineLevel="0" collapsed="false">
      <c r="A85" s="27"/>
      <c r="B85" s="33" t="str">
        <f aca="false">IFERROR(INDEX(Customers!$C$4:$C$1003,MATCH($A85,Customers!$A$4:$A$1003,0)),"")</f>
        <v/>
      </c>
      <c r="C85" s="31" t="str">
        <f aca="false">IFERROR(INDEX(Customers!$F$4:$F$1003,MATCH($A85,Customers!$A$4:$A$1003,0)),"")</f>
        <v/>
      </c>
      <c r="D85" s="27"/>
      <c r="E85" s="27"/>
      <c r="F85" s="27"/>
      <c r="G85" s="27"/>
      <c r="H85" s="27"/>
      <c r="I85" s="27"/>
      <c r="J85" s="27"/>
      <c r="K85" s="27"/>
      <c r="L85" s="27"/>
      <c r="M85" s="27"/>
      <c r="N85" s="27"/>
      <c r="O85" s="30" t="str">
        <f aca="false">IF($A85="","",COUNTIF($D85:$N85,"Yes"))</f>
        <v/>
      </c>
      <c r="P85" s="30" t="str">
        <f aca="false">IF($A85="","",COUNTA($D$3:$N$3))</f>
        <v/>
      </c>
      <c r="Q85" s="35" t="str">
        <f aca="false">IF($A85="","",IFERROR($O85/$P85,""))</f>
        <v/>
      </c>
      <c r="R85" s="31" t="str">
        <f aca="false">IF($A85="","",IF($Q85=1,"Complete",IF($Q85&gt;=0.7,"Almost Complete",IF($Q85&gt;0,"In Progress","Not Started"))))</f>
        <v/>
      </c>
      <c r="S85" s="28"/>
      <c r="T85" s="29"/>
      <c r="U85" s="32"/>
    </row>
    <row r="86" customFormat="false" ht="15.75" hidden="false" customHeight="true" outlineLevel="0" collapsed="false">
      <c r="A86" s="27"/>
      <c r="B86" s="33" t="str">
        <f aca="false">IFERROR(INDEX(Customers!$C$4:$C$1003,MATCH($A86,Customers!$A$4:$A$1003,0)),"")</f>
        <v/>
      </c>
      <c r="C86" s="31" t="str">
        <f aca="false">IFERROR(INDEX(Customers!$F$4:$F$1003,MATCH($A86,Customers!$A$4:$A$1003,0)),"")</f>
        <v/>
      </c>
      <c r="D86" s="27"/>
      <c r="E86" s="27"/>
      <c r="F86" s="27"/>
      <c r="G86" s="27"/>
      <c r="H86" s="27"/>
      <c r="I86" s="27"/>
      <c r="J86" s="27"/>
      <c r="K86" s="27"/>
      <c r="L86" s="27"/>
      <c r="M86" s="27"/>
      <c r="N86" s="27"/>
      <c r="O86" s="30" t="str">
        <f aca="false">IF($A86="","",COUNTIF($D86:$N86,"Yes"))</f>
        <v/>
      </c>
      <c r="P86" s="30" t="str">
        <f aca="false">IF($A86="","",COUNTA($D$3:$N$3))</f>
        <v/>
      </c>
      <c r="Q86" s="35" t="str">
        <f aca="false">IF($A86="","",IFERROR($O86/$P86,""))</f>
        <v/>
      </c>
      <c r="R86" s="31" t="str">
        <f aca="false">IF($A86="","",IF($Q86=1,"Complete",IF($Q86&gt;=0.7,"Almost Complete",IF($Q86&gt;0,"In Progress","Not Started"))))</f>
        <v/>
      </c>
      <c r="S86" s="28"/>
      <c r="T86" s="29"/>
      <c r="U86" s="32"/>
    </row>
    <row r="87" customFormat="false" ht="15.75" hidden="false" customHeight="true" outlineLevel="0" collapsed="false">
      <c r="A87" s="27"/>
      <c r="B87" s="33" t="str">
        <f aca="false">IFERROR(INDEX(Customers!$C$4:$C$1003,MATCH($A87,Customers!$A$4:$A$1003,0)),"")</f>
        <v/>
      </c>
      <c r="C87" s="31" t="str">
        <f aca="false">IFERROR(INDEX(Customers!$F$4:$F$1003,MATCH($A87,Customers!$A$4:$A$1003,0)),"")</f>
        <v/>
      </c>
      <c r="D87" s="27"/>
      <c r="E87" s="27"/>
      <c r="F87" s="27"/>
      <c r="G87" s="27"/>
      <c r="H87" s="27"/>
      <c r="I87" s="27"/>
      <c r="J87" s="27"/>
      <c r="K87" s="27"/>
      <c r="L87" s="27"/>
      <c r="M87" s="27"/>
      <c r="N87" s="27"/>
      <c r="O87" s="30" t="str">
        <f aca="false">IF($A87="","",COUNTIF($D87:$N87,"Yes"))</f>
        <v/>
      </c>
      <c r="P87" s="30" t="str">
        <f aca="false">IF($A87="","",COUNTA($D$3:$N$3))</f>
        <v/>
      </c>
      <c r="Q87" s="35" t="str">
        <f aca="false">IF($A87="","",IFERROR($O87/$P87,""))</f>
        <v/>
      </c>
      <c r="R87" s="31" t="str">
        <f aca="false">IF($A87="","",IF($Q87=1,"Complete",IF($Q87&gt;=0.7,"Almost Complete",IF($Q87&gt;0,"In Progress","Not Started"))))</f>
        <v/>
      </c>
      <c r="S87" s="28"/>
      <c r="T87" s="29"/>
      <c r="U87" s="32"/>
    </row>
    <row r="88" customFormat="false" ht="15.75" hidden="false" customHeight="true" outlineLevel="0" collapsed="false">
      <c r="A88" s="27"/>
      <c r="B88" s="33" t="str">
        <f aca="false">IFERROR(INDEX(Customers!$C$4:$C$1003,MATCH($A88,Customers!$A$4:$A$1003,0)),"")</f>
        <v/>
      </c>
      <c r="C88" s="31" t="str">
        <f aca="false">IFERROR(INDEX(Customers!$F$4:$F$1003,MATCH($A88,Customers!$A$4:$A$1003,0)),"")</f>
        <v/>
      </c>
      <c r="D88" s="27"/>
      <c r="E88" s="27"/>
      <c r="F88" s="27"/>
      <c r="G88" s="27"/>
      <c r="H88" s="27"/>
      <c r="I88" s="27"/>
      <c r="J88" s="27"/>
      <c r="K88" s="27"/>
      <c r="L88" s="27"/>
      <c r="M88" s="27"/>
      <c r="N88" s="27"/>
      <c r="O88" s="30" t="str">
        <f aca="false">IF($A88="","",COUNTIF($D88:$N88,"Yes"))</f>
        <v/>
      </c>
      <c r="P88" s="30" t="str">
        <f aca="false">IF($A88="","",COUNTA($D$3:$N$3))</f>
        <v/>
      </c>
      <c r="Q88" s="35" t="str">
        <f aca="false">IF($A88="","",IFERROR($O88/$P88,""))</f>
        <v/>
      </c>
      <c r="R88" s="31" t="str">
        <f aca="false">IF($A88="","",IF($Q88=1,"Complete",IF($Q88&gt;=0.7,"Almost Complete",IF($Q88&gt;0,"In Progress","Not Started"))))</f>
        <v/>
      </c>
      <c r="S88" s="28"/>
      <c r="T88" s="29"/>
      <c r="U88" s="32"/>
    </row>
    <row r="89" customFormat="false" ht="15.75" hidden="false" customHeight="true" outlineLevel="0" collapsed="false">
      <c r="A89" s="27"/>
      <c r="B89" s="33" t="str">
        <f aca="false">IFERROR(INDEX(Customers!$C$4:$C$1003,MATCH($A89,Customers!$A$4:$A$1003,0)),"")</f>
        <v/>
      </c>
      <c r="C89" s="31" t="str">
        <f aca="false">IFERROR(INDEX(Customers!$F$4:$F$1003,MATCH($A89,Customers!$A$4:$A$1003,0)),"")</f>
        <v/>
      </c>
      <c r="D89" s="27"/>
      <c r="E89" s="27"/>
      <c r="F89" s="27"/>
      <c r="G89" s="27"/>
      <c r="H89" s="27"/>
      <c r="I89" s="27"/>
      <c r="J89" s="27"/>
      <c r="K89" s="27"/>
      <c r="L89" s="27"/>
      <c r="M89" s="27"/>
      <c r="N89" s="27"/>
      <c r="O89" s="30" t="str">
        <f aca="false">IF($A89="","",COUNTIF($D89:$N89,"Yes"))</f>
        <v/>
      </c>
      <c r="P89" s="30" t="str">
        <f aca="false">IF($A89="","",COUNTA($D$3:$N$3))</f>
        <v/>
      </c>
      <c r="Q89" s="35" t="str">
        <f aca="false">IF($A89="","",IFERROR($O89/$P89,""))</f>
        <v/>
      </c>
      <c r="R89" s="31" t="str">
        <f aca="false">IF($A89="","",IF($Q89=1,"Complete",IF($Q89&gt;=0.7,"Almost Complete",IF($Q89&gt;0,"In Progress","Not Started"))))</f>
        <v/>
      </c>
      <c r="S89" s="28"/>
      <c r="T89" s="29"/>
      <c r="U89" s="32"/>
    </row>
    <row r="90" customFormat="false" ht="15.75" hidden="false" customHeight="true" outlineLevel="0" collapsed="false">
      <c r="A90" s="27"/>
      <c r="B90" s="33" t="str">
        <f aca="false">IFERROR(INDEX(Customers!$C$4:$C$1003,MATCH($A90,Customers!$A$4:$A$1003,0)),"")</f>
        <v/>
      </c>
      <c r="C90" s="31" t="str">
        <f aca="false">IFERROR(INDEX(Customers!$F$4:$F$1003,MATCH($A90,Customers!$A$4:$A$1003,0)),"")</f>
        <v/>
      </c>
      <c r="D90" s="27"/>
      <c r="E90" s="27"/>
      <c r="F90" s="27"/>
      <c r="G90" s="27"/>
      <c r="H90" s="27"/>
      <c r="I90" s="27"/>
      <c r="J90" s="27"/>
      <c r="K90" s="27"/>
      <c r="L90" s="27"/>
      <c r="M90" s="27"/>
      <c r="N90" s="27"/>
      <c r="O90" s="30" t="str">
        <f aca="false">IF($A90="","",COUNTIF($D90:$N90,"Yes"))</f>
        <v/>
      </c>
      <c r="P90" s="30" t="str">
        <f aca="false">IF($A90="","",COUNTA($D$3:$N$3))</f>
        <v/>
      </c>
      <c r="Q90" s="35" t="str">
        <f aca="false">IF($A90="","",IFERROR($O90/$P90,""))</f>
        <v/>
      </c>
      <c r="R90" s="31" t="str">
        <f aca="false">IF($A90="","",IF($Q90=1,"Complete",IF($Q90&gt;=0.7,"Almost Complete",IF($Q90&gt;0,"In Progress","Not Started"))))</f>
        <v/>
      </c>
      <c r="S90" s="28"/>
      <c r="T90" s="29"/>
      <c r="U90" s="32"/>
    </row>
    <row r="91" customFormat="false" ht="15.75" hidden="false" customHeight="true" outlineLevel="0" collapsed="false">
      <c r="A91" s="27"/>
      <c r="B91" s="33" t="str">
        <f aca="false">IFERROR(INDEX(Customers!$C$4:$C$1003,MATCH($A91,Customers!$A$4:$A$1003,0)),"")</f>
        <v/>
      </c>
      <c r="C91" s="31" t="str">
        <f aca="false">IFERROR(INDEX(Customers!$F$4:$F$1003,MATCH($A91,Customers!$A$4:$A$1003,0)),"")</f>
        <v/>
      </c>
      <c r="D91" s="27"/>
      <c r="E91" s="27"/>
      <c r="F91" s="27"/>
      <c r="G91" s="27"/>
      <c r="H91" s="27"/>
      <c r="I91" s="27"/>
      <c r="J91" s="27"/>
      <c r="K91" s="27"/>
      <c r="L91" s="27"/>
      <c r="M91" s="27"/>
      <c r="N91" s="27"/>
      <c r="O91" s="30" t="str">
        <f aca="false">IF($A91="","",COUNTIF($D91:$N91,"Yes"))</f>
        <v/>
      </c>
      <c r="P91" s="30" t="str">
        <f aca="false">IF($A91="","",COUNTA($D$3:$N$3))</f>
        <v/>
      </c>
      <c r="Q91" s="35" t="str">
        <f aca="false">IF($A91="","",IFERROR($O91/$P91,""))</f>
        <v/>
      </c>
      <c r="R91" s="31" t="str">
        <f aca="false">IF($A91="","",IF($Q91=1,"Complete",IF($Q91&gt;=0.7,"Almost Complete",IF($Q91&gt;0,"In Progress","Not Started"))))</f>
        <v/>
      </c>
      <c r="S91" s="28"/>
      <c r="T91" s="29"/>
      <c r="U91" s="32"/>
    </row>
    <row r="92" customFormat="false" ht="15.75" hidden="false" customHeight="true" outlineLevel="0" collapsed="false">
      <c r="A92" s="27"/>
      <c r="B92" s="33" t="str">
        <f aca="false">IFERROR(INDEX(Customers!$C$4:$C$1003,MATCH($A92,Customers!$A$4:$A$1003,0)),"")</f>
        <v/>
      </c>
      <c r="C92" s="31" t="str">
        <f aca="false">IFERROR(INDEX(Customers!$F$4:$F$1003,MATCH($A92,Customers!$A$4:$A$1003,0)),"")</f>
        <v/>
      </c>
      <c r="D92" s="27"/>
      <c r="E92" s="27"/>
      <c r="F92" s="27"/>
      <c r="G92" s="27"/>
      <c r="H92" s="27"/>
      <c r="I92" s="27"/>
      <c r="J92" s="27"/>
      <c r="K92" s="27"/>
      <c r="L92" s="27"/>
      <c r="M92" s="27"/>
      <c r="N92" s="27"/>
      <c r="O92" s="30" t="str">
        <f aca="false">IF($A92="","",COUNTIF($D92:$N92,"Yes"))</f>
        <v/>
      </c>
      <c r="P92" s="30" t="str">
        <f aca="false">IF($A92="","",COUNTA($D$3:$N$3))</f>
        <v/>
      </c>
      <c r="Q92" s="35" t="str">
        <f aca="false">IF($A92="","",IFERROR($O92/$P92,""))</f>
        <v/>
      </c>
      <c r="R92" s="31" t="str">
        <f aca="false">IF($A92="","",IF($Q92=1,"Complete",IF($Q92&gt;=0.7,"Almost Complete",IF($Q92&gt;0,"In Progress","Not Started"))))</f>
        <v/>
      </c>
      <c r="S92" s="28"/>
      <c r="T92" s="29"/>
      <c r="U92" s="32"/>
    </row>
    <row r="93" customFormat="false" ht="15.75" hidden="false" customHeight="true" outlineLevel="0" collapsed="false">
      <c r="A93" s="27"/>
      <c r="B93" s="33" t="str">
        <f aca="false">IFERROR(INDEX(Customers!$C$4:$C$1003,MATCH($A93,Customers!$A$4:$A$1003,0)),"")</f>
        <v/>
      </c>
      <c r="C93" s="31" t="str">
        <f aca="false">IFERROR(INDEX(Customers!$F$4:$F$1003,MATCH($A93,Customers!$A$4:$A$1003,0)),"")</f>
        <v/>
      </c>
      <c r="D93" s="27"/>
      <c r="E93" s="27"/>
      <c r="F93" s="27"/>
      <c r="G93" s="27"/>
      <c r="H93" s="27"/>
      <c r="I93" s="27"/>
      <c r="J93" s="27"/>
      <c r="K93" s="27"/>
      <c r="L93" s="27"/>
      <c r="M93" s="27"/>
      <c r="N93" s="27"/>
      <c r="O93" s="30" t="str">
        <f aca="false">IF($A93="","",COUNTIF($D93:$N93,"Yes"))</f>
        <v/>
      </c>
      <c r="P93" s="30" t="str">
        <f aca="false">IF($A93="","",COUNTA($D$3:$N$3))</f>
        <v/>
      </c>
      <c r="Q93" s="35" t="str">
        <f aca="false">IF($A93="","",IFERROR($O93/$P93,""))</f>
        <v/>
      </c>
      <c r="R93" s="31" t="str">
        <f aca="false">IF($A93="","",IF($Q93=1,"Complete",IF($Q93&gt;=0.7,"Almost Complete",IF($Q93&gt;0,"In Progress","Not Started"))))</f>
        <v/>
      </c>
      <c r="S93" s="28"/>
      <c r="T93" s="29"/>
      <c r="U93" s="32"/>
    </row>
    <row r="94" customFormat="false" ht="15.75" hidden="false" customHeight="true" outlineLevel="0" collapsed="false">
      <c r="A94" s="27"/>
      <c r="B94" s="33" t="str">
        <f aca="false">IFERROR(INDEX(Customers!$C$4:$C$1003,MATCH($A94,Customers!$A$4:$A$1003,0)),"")</f>
        <v/>
      </c>
      <c r="C94" s="31" t="str">
        <f aca="false">IFERROR(INDEX(Customers!$F$4:$F$1003,MATCH($A94,Customers!$A$4:$A$1003,0)),"")</f>
        <v/>
      </c>
      <c r="D94" s="27"/>
      <c r="E94" s="27"/>
      <c r="F94" s="27"/>
      <c r="G94" s="27"/>
      <c r="H94" s="27"/>
      <c r="I94" s="27"/>
      <c r="J94" s="27"/>
      <c r="K94" s="27"/>
      <c r="L94" s="27"/>
      <c r="M94" s="27"/>
      <c r="N94" s="27"/>
      <c r="O94" s="30" t="str">
        <f aca="false">IF($A94="","",COUNTIF($D94:$N94,"Yes"))</f>
        <v/>
      </c>
      <c r="P94" s="30" t="str">
        <f aca="false">IF($A94="","",COUNTA($D$3:$N$3))</f>
        <v/>
      </c>
      <c r="Q94" s="35" t="str">
        <f aca="false">IF($A94="","",IFERROR($O94/$P94,""))</f>
        <v/>
      </c>
      <c r="R94" s="31" t="str">
        <f aca="false">IF($A94="","",IF($Q94=1,"Complete",IF($Q94&gt;=0.7,"Almost Complete",IF($Q94&gt;0,"In Progress","Not Started"))))</f>
        <v/>
      </c>
      <c r="S94" s="28"/>
      <c r="T94" s="29"/>
      <c r="U94" s="32"/>
    </row>
    <row r="95" customFormat="false" ht="15.75" hidden="false" customHeight="true" outlineLevel="0" collapsed="false">
      <c r="A95" s="27"/>
      <c r="B95" s="33" t="str">
        <f aca="false">IFERROR(INDEX(Customers!$C$4:$C$1003,MATCH($A95,Customers!$A$4:$A$1003,0)),"")</f>
        <v/>
      </c>
      <c r="C95" s="31" t="str">
        <f aca="false">IFERROR(INDEX(Customers!$F$4:$F$1003,MATCH($A95,Customers!$A$4:$A$1003,0)),"")</f>
        <v/>
      </c>
      <c r="D95" s="27"/>
      <c r="E95" s="27"/>
      <c r="F95" s="27"/>
      <c r="G95" s="27"/>
      <c r="H95" s="27"/>
      <c r="I95" s="27"/>
      <c r="J95" s="27"/>
      <c r="K95" s="27"/>
      <c r="L95" s="27"/>
      <c r="M95" s="27"/>
      <c r="N95" s="27"/>
      <c r="O95" s="30" t="str">
        <f aca="false">IF($A95="","",COUNTIF($D95:$N95,"Yes"))</f>
        <v/>
      </c>
      <c r="P95" s="30" t="str">
        <f aca="false">IF($A95="","",COUNTA($D$3:$N$3))</f>
        <v/>
      </c>
      <c r="Q95" s="35" t="str">
        <f aca="false">IF($A95="","",IFERROR($O95/$P95,""))</f>
        <v/>
      </c>
      <c r="R95" s="31" t="str">
        <f aca="false">IF($A95="","",IF($Q95=1,"Complete",IF($Q95&gt;=0.7,"Almost Complete",IF($Q95&gt;0,"In Progress","Not Started"))))</f>
        <v/>
      </c>
      <c r="S95" s="28"/>
      <c r="T95" s="29"/>
      <c r="U95" s="32"/>
    </row>
    <row r="96" customFormat="false" ht="15.75" hidden="false" customHeight="true" outlineLevel="0" collapsed="false">
      <c r="A96" s="27"/>
      <c r="B96" s="33" t="str">
        <f aca="false">IFERROR(INDEX(Customers!$C$4:$C$1003,MATCH($A96,Customers!$A$4:$A$1003,0)),"")</f>
        <v/>
      </c>
      <c r="C96" s="31" t="str">
        <f aca="false">IFERROR(INDEX(Customers!$F$4:$F$1003,MATCH($A96,Customers!$A$4:$A$1003,0)),"")</f>
        <v/>
      </c>
      <c r="D96" s="27"/>
      <c r="E96" s="27"/>
      <c r="F96" s="27"/>
      <c r="G96" s="27"/>
      <c r="H96" s="27"/>
      <c r="I96" s="27"/>
      <c r="J96" s="27"/>
      <c r="K96" s="27"/>
      <c r="L96" s="27"/>
      <c r="M96" s="27"/>
      <c r="N96" s="27"/>
      <c r="O96" s="30" t="str">
        <f aca="false">IF($A96="","",COUNTIF($D96:$N96,"Yes"))</f>
        <v/>
      </c>
      <c r="P96" s="30" t="str">
        <f aca="false">IF($A96="","",COUNTA($D$3:$N$3))</f>
        <v/>
      </c>
      <c r="Q96" s="35" t="str">
        <f aca="false">IF($A96="","",IFERROR($O96/$P96,""))</f>
        <v/>
      </c>
      <c r="R96" s="31" t="str">
        <f aca="false">IF($A96="","",IF($Q96=1,"Complete",IF($Q96&gt;=0.7,"Almost Complete",IF($Q96&gt;0,"In Progress","Not Started"))))</f>
        <v/>
      </c>
      <c r="S96" s="28"/>
      <c r="T96" s="29"/>
      <c r="U96" s="32"/>
    </row>
    <row r="97" customFormat="false" ht="15.75" hidden="false" customHeight="true" outlineLevel="0" collapsed="false">
      <c r="A97" s="27"/>
      <c r="B97" s="33" t="str">
        <f aca="false">IFERROR(INDEX(Customers!$C$4:$C$1003,MATCH($A97,Customers!$A$4:$A$1003,0)),"")</f>
        <v/>
      </c>
      <c r="C97" s="31" t="str">
        <f aca="false">IFERROR(INDEX(Customers!$F$4:$F$1003,MATCH($A97,Customers!$A$4:$A$1003,0)),"")</f>
        <v/>
      </c>
      <c r="D97" s="27"/>
      <c r="E97" s="27"/>
      <c r="F97" s="27"/>
      <c r="G97" s="27"/>
      <c r="H97" s="27"/>
      <c r="I97" s="27"/>
      <c r="J97" s="27"/>
      <c r="K97" s="27"/>
      <c r="L97" s="27"/>
      <c r="M97" s="27"/>
      <c r="N97" s="27"/>
      <c r="O97" s="30" t="str">
        <f aca="false">IF($A97="","",COUNTIF($D97:$N97,"Yes"))</f>
        <v/>
      </c>
      <c r="P97" s="30" t="str">
        <f aca="false">IF($A97="","",COUNTA($D$3:$N$3))</f>
        <v/>
      </c>
      <c r="Q97" s="35" t="str">
        <f aca="false">IF($A97="","",IFERROR($O97/$P97,""))</f>
        <v/>
      </c>
      <c r="R97" s="31" t="str">
        <f aca="false">IF($A97="","",IF($Q97=1,"Complete",IF($Q97&gt;=0.7,"Almost Complete",IF($Q97&gt;0,"In Progress","Not Started"))))</f>
        <v/>
      </c>
      <c r="S97" s="28"/>
      <c r="T97" s="29"/>
      <c r="U97" s="32"/>
    </row>
    <row r="98" customFormat="false" ht="15.75" hidden="false" customHeight="true" outlineLevel="0" collapsed="false">
      <c r="A98" s="27"/>
      <c r="B98" s="33" t="str">
        <f aca="false">IFERROR(INDEX(Customers!$C$4:$C$1003,MATCH($A98,Customers!$A$4:$A$1003,0)),"")</f>
        <v/>
      </c>
      <c r="C98" s="31" t="str">
        <f aca="false">IFERROR(INDEX(Customers!$F$4:$F$1003,MATCH($A98,Customers!$A$4:$A$1003,0)),"")</f>
        <v/>
      </c>
      <c r="D98" s="27"/>
      <c r="E98" s="27"/>
      <c r="F98" s="27"/>
      <c r="G98" s="27"/>
      <c r="H98" s="27"/>
      <c r="I98" s="27"/>
      <c r="J98" s="27"/>
      <c r="K98" s="27"/>
      <c r="L98" s="27"/>
      <c r="M98" s="27"/>
      <c r="N98" s="27"/>
      <c r="O98" s="30" t="str">
        <f aca="false">IF($A98="","",COUNTIF($D98:$N98,"Yes"))</f>
        <v/>
      </c>
      <c r="P98" s="30" t="str">
        <f aca="false">IF($A98="","",COUNTA($D$3:$N$3))</f>
        <v/>
      </c>
      <c r="Q98" s="35" t="str">
        <f aca="false">IF($A98="","",IFERROR($O98/$P98,""))</f>
        <v/>
      </c>
      <c r="R98" s="31" t="str">
        <f aca="false">IF($A98="","",IF($Q98=1,"Complete",IF($Q98&gt;=0.7,"Almost Complete",IF($Q98&gt;0,"In Progress","Not Started"))))</f>
        <v/>
      </c>
      <c r="S98" s="28"/>
      <c r="T98" s="29"/>
      <c r="U98" s="32"/>
    </row>
    <row r="99" customFormat="false" ht="15.75" hidden="false" customHeight="true" outlineLevel="0" collapsed="false">
      <c r="A99" s="27"/>
      <c r="B99" s="33" t="str">
        <f aca="false">IFERROR(INDEX(Customers!$C$4:$C$1003,MATCH($A99,Customers!$A$4:$A$1003,0)),"")</f>
        <v/>
      </c>
      <c r="C99" s="31" t="str">
        <f aca="false">IFERROR(INDEX(Customers!$F$4:$F$1003,MATCH($A99,Customers!$A$4:$A$1003,0)),"")</f>
        <v/>
      </c>
      <c r="D99" s="27"/>
      <c r="E99" s="27"/>
      <c r="F99" s="27"/>
      <c r="G99" s="27"/>
      <c r="H99" s="27"/>
      <c r="I99" s="27"/>
      <c r="J99" s="27"/>
      <c r="K99" s="27"/>
      <c r="L99" s="27"/>
      <c r="M99" s="27"/>
      <c r="N99" s="27"/>
      <c r="O99" s="30" t="str">
        <f aca="false">IF($A99="","",COUNTIF($D99:$N99,"Yes"))</f>
        <v/>
      </c>
      <c r="P99" s="30" t="str">
        <f aca="false">IF($A99="","",COUNTA($D$3:$N$3))</f>
        <v/>
      </c>
      <c r="Q99" s="35" t="str">
        <f aca="false">IF($A99="","",IFERROR($O99/$P99,""))</f>
        <v/>
      </c>
      <c r="R99" s="31" t="str">
        <f aca="false">IF($A99="","",IF($Q99=1,"Complete",IF($Q99&gt;=0.7,"Almost Complete",IF($Q99&gt;0,"In Progress","Not Started"))))</f>
        <v/>
      </c>
      <c r="S99" s="28"/>
      <c r="T99" s="29"/>
      <c r="U99" s="32"/>
    </row>
    <row r="100" customFormat="false" ht="15.75" hidden="false" customHeight="true" outlineLevel="0" collapsed="false">
      <c r="A100" s="27"/>
      <c r="B100" s="33" t="str">
        <f aca="false">IFERROR(INDEX(Customers!$C$4:$C$1003,MATCH($A100,Customers!$A$4:$A$1003,0)),"")</f>
        <v/>
      </c>
      <c r="C100" s="31" t="str">
        <f aca="false">IFERROR(INDEX(Customers!$F$4:$F$1003,MATCH($A100,Customers!$A$4:$A$1003,0)),"")</f>
        <v/>
      </c>
      <c r="D100" s="27"/>
      <c r="E100" s="27"/>
      <c r="F100" s="27"/>
      <c r="G100" s="27"/>
      <c r="H100" s="27"/>
      <c r="I100" s="27"/>
      <c r="J100" s="27"/>
      <c r="K100" s="27"/>
      <c r="L100" s="27"/>
      <c r="M100" s="27"/>
      <c r="N100" s="27"/>
      <c r="O100" s="30" t="str">
        <f aca="false">IF($A100="","",COUNTIF($D100:$N100,"Yes"))</f>
        <v/>
      </c>
      <c r="P100" s="30" t="str">
        <f aca="false">IF($A100="","",COUNTA($D$3:$N$3))</f>
        <v/>
      </c>
      <c r="Q100" s="35" t="str">
        <f aca="false">IF($A100="","",IFERROR($O100/$P100,""))</f>
        <v/>
      </c>
      <c r="R100" s="31" t="str">
        <f aca="false">IF($A100="","",IF($Q100=1,"Complete",IF($Q100&gt;=0.7,"Almost Complete",IF($Q100&gt;0,"In Progress","Not Started"))))</f>
        <v/>
      </c>
      <c r="S100" s="28"/>
      <c r="T100" s="29"/>
      <c r="U100" s="32"/>
    </row>
    <row r="101" customFormat="false" ht="15.75" hidden="false" customHeight="true" outlineLevel="0" collapsed="false">
      <c r="A101" s="27"/>
      <c r="B101" s="33" t="str">
        <f aca="false">IFERROR(INDEX(Customers!$C$4:$C$1003,MATCH($A101,Customers!$A$4:$A$1003,0)),"")</f>
        <v/>
      </c>
      <c r="C101" s="31" t="str">
        <f aca="false">IFERROR(INDEX(Customers!$F$4:$F$1003,MATCH($A101,Customers!$A$4:$A$1003,0)),"")</f>
        <v/>
      </c>
      <c r="D101" s="27"/>
      <c r="E101" s="27"/>
      <c r="F101" s="27"/>
      <c r="G101" s="27"/>
      <c r="H101" s="27"/>
      <c r="I101" s="27"/>
      <c r="J101" s="27"/>
      <c r="K101" s="27"/>
      <c r="L101" s="27"/>
      <c r="M101" s="27"/>
      <c r="N101" s="27"/>
      <c r="O101" s="30" t="str">
        <f aca="false">IF($A101="","",COUNTIF($D101:$N101,"Yes"))</f>
        <v/>
      </c>
      <c r="P101" s="30" t="str">
        <f aca="false">IF($A101="","",COUNTA($D$3:$N$3))</f>
        <v/>
      </c>
      <c r="Q101" s="35" t="str">
        <f aca="false">IF($A101="","",IFERROR($O101/$P101,""))</f>
        <v/>
      </c>
      <c r="R101" s="31" t="str">
        <f aca="false">IF($A101="","",IF($Q101=1,"Complete",IF($Q101&gt;=0.7,"Almost Complete",IF($Q101&gt;0,"In Progress","Not Started"))))</f>
        <v/>
      </c>
      <c r="S101" s="28"/>
      <c r="T101" s="29"/>
      <c r="U101" s="32"/>
    </row>
    <row r="102" customFormat="false" ht="15.75" hidden="false" customHeight="true" outlineLevel="0" collapsed="false">
      <c r="A102" s="27"/>
      <c r="B102" s="33" t="str">
        <f aca="false">IFERROR(INDEX(Customers!$C$4:$C$1003,MATCH($A102,Customers!$A$4:$A$1003,0)),"")</f>
        <v/>
      </c>
      <c r="C102" s="31" t="str">
        <f aca="false">IFERROR(INDEX(Customers!$F$4:$F$1003,MATCH($A102,Customers!$A$4:$A$1003,0)),"")</f>
        <v/>
      </c>
      <c r="D102" s="27"/>
      <c r="E102" s="27"/>
      <c r="F102" s="27"/>
      <c r="G102" s="27"/>
      <c r="H102" s="27"/>
      <c r="I102" s="27"/>
      <c r="J102" s="27"/>
      <c r="K102" s="27"/>
      <c r="L102" s="27"/>
      <c r="M102" s="27"/>
      <c r="N102" s="27"/>
      <c r="O102" s="30" t="str">
        <f aca="false">IF($A102="","",COUNTIF($D102:$N102,"Yes"))</f>
        <v/>
      </c>
      <c r="P102" s="30" t="str">
        <f aca="false">IF($A102="","",COUNTA($D$3:$N$3))</f>
        <v/>
      </c>
      <c r="Q102" s="35" t="str">
        <f aca="false">IF($A102="","",IFERROR($O102/$P102,""))</f>
        <v/>
      </c>
      <c r="R102" s="31" t="str">
        <f aca="false">IF($A102="","",IF($Q102=1,"Complete",IF($Q102&gt;=0.7,"Almost Complete",IF($Q102&gt;0,"In Progress","Not Started"))))</f>
        <v/>
      </c>
      <c r="S102" s="28"/>
      <c r="T102" s="29"/>
      <c r="U102" s="32"/>
    </row>
    <row r="103" customFormat="false" ht="15.75" hidden="false" customHeight="true" outlineLevel="0" collapsed="false">
      <c r="A103" s="27"/>
      <c r="B103" s="33" t="str">
        <f aca="false">IFERROR(INDEX(Customers!$C$4:$C$1003,MATCH($A103,Customers!$A$4:$A$1003,0)),"")</f>
        <v/>
      </c>
      <c r="C103" s="31" t="str">
        <f aca="false">IFERROR(INDEX(Customers!$F$4:$F$1003,MATCH($A103,Customers!$A$4:$A$1003,0)),"")</f>
        <v/>
      </c>
      <c r="D103" s="27"/>
      <c r="E103" s="27"/>
      <c r="F103" s="27"/>
      <c r="G103" s="27"/>
      <c r="H103" s="27"/>
      <c r="I103" s="27"/>
      <c r="J103" s="27"/>
      <c r="K103" s="27"/>
      <c r="L103" s="27"/>
      <c r="M103" s="27"/>
      <c r="N103" s="27"/>
      <c r="O103" s="30" t="str">
        <f aca="false">IF($A103="","",COUNTIF($D103:$N103,"Yes"))</f>
        <v/>
      </c>
      <c r="P103" s="30" t="str">
        <f aca="false">IF($A103="","",COUNTA($D$3:$N$3))</f>
        <v/>
      </c>
      <c r="Q103" s="35" t="str">
        <f aca="false">IF($A103="","",IFERROR($O103/$P103,""))</f>
        <v/>
      </c>
      <c r="R103" s="31" t="str">
        <f aca="false">IF($A103="","",IF($Q103=1,"Complete",IF($Q103&gt;=0.7,"Almost Complete",IF($Q103&gt;0,"In Progress","Not Started"))))</f>
        <v/>
      </c>
      <c r="S103" s="28"/>
      <c r="T103" s="29"/>
      <c r="U103" s="32"/>
    </row>
    <row r="104" customFormat="false" ht="15.75" hidden="false" customHeight="true" outlineLevel="0" collapsed="false">
      <c r="A104" s="27"/>
      <c r="B104" s="33" t="str">
        <f aca="false">IFERROR(INDEX(Customers!$C$4:$C$1003,MATCH($A104,Customers!$A$4:$A$1003,0)),"")</f>
        <v/>
      </c>
      <c r="C104" s="31" t="str">
        <f aca="false">IFERROR(INDEX(Customers!$F$4:$F$1003,MATCH($A104,Customers!$A$4:$A$1003,0)),"")</f>
        <v/>
      </c>
      <c r="D104" s="27"/>
      <c r="E104" s="27"/>
      <c r="F104" s="27"/>
      <c r="G104" s="27"/>
      <c r="H104" s="27"/>
      <c r="I104" s="27"/>
      <c r="J104" s="27"/>
      <c r="K104" s="27"/>
      <c r="L104" s="27"/>
      <c r="M104" s="27"/>
      <c r="N104" s="27"/>
      <c r="O104" s="30" t="str">
        <f aca="false">IF($A104="","",COUNTIF($D104:$N104,"Yes"))</f>
        <v/>
      </c>
      <c r="P104" s="30" t="str">
        <f aca="false">IF($A104="","",COUNTA($D$3:$N$3))</f>
        <v/>
      </c>
      <c r="Q104" s="35" t="str">
        <f aca="false">IF($A104="","",IFERROR($O104/$P104,""))</f>
        <v/>
      </c>
      <c r="R104" s="31" t="str">
        <f aca="false">IF($A104="","",IF($Q104=1,"Complete",IF($Q104&gt;=0.7,"Almost Complete",IF($Q104&gt;0,"In Progress","Not Started"))))</f>
        <v/>
      </c>
      <c r="S104" s="28"/>
      <c r="T104" s="29"/>
      <c r="U104" s="32"/>
    </row>
    <row r="105" customFormat="false" ht="15.75" hidden="false" customHeight="true" outlineLevel="0" collapsed="false">
      <c r="A105" s="27"/>
      <c r="B105" s="33" t="str">
        <f aca="false">IFERROR(INDEX(Customers!$C$4:$C$1003,MATCH($A105,Customers!$A$4:$A$1003,0)),"")</f>
        <v/>
      </c>
      <c r="C105" s="31" t="str">
        <f aca="false">IFERROR(INDEX(Customers!$F$4:$F$1003,MATCH($A105,Customers!$A$4:$A$1003,0)),"")</f>
        <v/>
      </c>
      <c r="D105" s="27"/>
      <c r="E105" s="27"/>
      <c r="F105" s="27"/>
      <c r="G105" s="27"/>
      <c r="H105" s="27"/>
      <c r="I105" s="27"/>
      <c r="J105" s="27"/>
      <c r="K105" s="27"/>
      <c r="L105" s="27"/>
      <c r="M105" s="27"/>
      <c r="N105" s="27"/>
      <c r="O105" s="30" t="str">
        <f aca="false">IF($A105="","",COUNTIF($D105:$N105,"Yes"))</f>
        <v/>
      </c>
      <c r="P105" s="30" t="str">
        <f aca="false">IF($A105="","",COUNTA($D$3:$N$3))</f>
        <v/>
      </c>
      <c r="Q105" s="35" t="str">
        <f aca="false">IF($A105="","",IFERROR($O105/$P105,""))</f>
        <v/>
      </c>
      <c r="R105" s="31" t="str">
        <f aca="false">IF($A105="","",IF($Q105=1,"Complete",IF($Q105&gt;=0.7,"Almost Complete",IF($Q105&gt;0,"In Progress","Not Started"))))</f>
        <v/>
      </c>
      <c r="S105" s="28"/>
      <c r="T105" s="29"/>
      <c r="U105" s="32"/>
    </row>
    <row r="106" customFormat="false" ht="15.75" hidden="false" customHeight="true" outlineLevel="0" collapsed="false">
      <c r="A106" s="27"/>
      <c r="B106" s="33" t="str">
        <f aca="false">IFERROR(INDEX(Customers!$C$4:$C$1003,MATCH($A106,Customers!$A$4:$A$1003,0)),"")</f>
        <v/>
      </c>
      <c r="C106" s="31" t="str">
        <f aca="false">IFERROR(INDEX(Customers!$F$4:$F$1003,MATCH($A106,Customers!$A$4:$A$1003,0)),"")</f>
        <v/>
      </c>
      <c r="D106" s="27"/>
      <c r="E106" s="27"/>
      <c r="F106" s="27"/>
      <c r="G106" s="27"/>
      <c r="H106" s="27"/>
      <c r="I106" s="27"/>
      <c r="J106" s="27"/>
      <c r="K106" s="27"/>
      <c r="L106" s="27"/>
      <c r="M106" s="27"/>
      <c r="N106" s="27"/>
      <c r="O106" s="30" t="str">
        <f aca="false">IF($A106="","",COUNTIF($D106:$N106,"Yes"))</f>
        <v/>
      </c>
      <c r="P106" s="30" t="str">
        <f aca="false">IF($A106="","",COUNTA($D$3:$N$3))</f>
        <v/>
      </c>
      <c r="Q106" s="35" t="str">
        <f aca="false">IF($A106="","",IFERROR($O106/$P106,""))</f>
        <v/>
      </c>
      <c r="R106" s="31" t="str">
        <f aca="false">IF($A106="","",IF($Q106=1,"Complete",IF($Q106&gt;=0.7,"Almost Complete",IF($Q106&gt;0,"In Progress","Not Started"))))</f>
        <v/>
      </c>
      <c r="S106" s="28"/>
      <c r="T106" s="29"/>
      <c r="U106" s="32"/>
    </row>
    <row r="107" customFormat="false" ht="15.75" hidden="false" customHeight="true" outlineLevel="0" collapsed="false">
      <c r="A107" s="27"/>
      <c r="B107" s="33" t="str">
        <f aca="false">IFERROR(INDEX(Customers!$C$4:$C$1003,MATCH($A107,Customers!$A$4:$A$1003,0)),"")</f>
        <v/>
      </c>
      <c r="C107" s="31" t="str">
        <f aca="false">IFERROR(INDEX(Customers!$F$4:$F$1003,MATCH($A107,Customers!$A$4:$A$1003,0)),"")</f>
        <v/>
      </c>
      <c r="D107" s="27"/>
      <c r="E107" s="27"/>
      <c r="F107" s="27"/>
      <c r="G107" s="27"/>
      <c r="H107" s="27"/>
      <c r="I107" s="27"/>
      <c r="J107" s="27"/>
      <c r="K107" s="27"/>
      <c r="L107" s="27"/>
      <c r="M107" s="27"/>
      <c r="N107" s="27"/>
      <c r="O107" s="30" t="str">
        <f aca="false">IF($A107="","",COUNTIF($D107:$N107,"Yes"))</f>
        <v/>
      </c>
      <c r="P107" s="30" t="str">
        <f aca="false">IF($A107="","",COUNTA($D$3:$N$3))</f>
        <v/>
      </c>
      <c r="Q107" s="35" t="str">
        <f aca="false">IF($A107="","",IFERROR($O107/$P107,""))</f>
        <v/>
      </c>
      <c r="R107" s="31" t="str">
        <f aca="false">IF($A107="","",IF($Q107=1,"Complete",IF($Q107&gt;=0.7,"Almost Complete",IF($Q107&gt;0,"In Progress","Not Started"))))</f>
        <v/>
      </c>
      <c r="S107" s="28"/>
      <c r="T107" s="29"/>
      <c r="U107" s="32"/>
    </row>
    <row r="108" customFormat="false" ht="15.75" hidden="false" customHeight="true" outlineLevel="0" collapsed="false">
      <c r="A108" s="27"/>
      <c r="B108" s="33" t="str">
        <f aca="false">IFERROR(INDEX(Customers!$C$4:$C$1003,MATCH($A108,Customers!$A$4:$A$1003,0)),"")</f>
        <v/>
      </c>
      <c r="C108" s="31" t="str">
        <f aca="false">IFERROR(INDEX(Customers!$F$4:$F$1003,MATCH($A108,Customers!$A$4:$A$1003,0)),"")</f>
        <v/>
      </c>
      <c r="D108" s="27"/>
      <c r="E108" s="27"/>
      <c r="F108" s="27"/>
      <c r="G108" s="27"/>
      <c r="H108" s="27"/>
      <c r="I108" s="27"/>
      <c r="J108" s="27"/>
      <c r="K108" s="27"/>
      <c r="L108" s="27"/>
      <c r="M108" s="27"/>
      <c r="N108" s="27"/>
      <c r="O108" s="30" t="str">
        <f aca="false">IF($A108="","",COUNTIF($D108:$N108,"Yes"))</f>
        <v/>
      </c>
      <c r="P108" s="30" t="str">
        <f aca="false">IF($A108="","",COUNTA($D$3:$N$3))</f>
        <v/>
      </c>
      <c r="Q108" s="35" t="str">
        <f aca="false">IF($A108="","",IFERROR($O108/$P108,""))</f>
        <v/>
      </c>
      <c r="R108" s="31" t="str">
        <f aca="false">IF($A108="","",IF($Q108=1,"Complete",IF($Q108&gt;=0.7,"Almost Complete",IF($Q108&gt;0,"In Progress","Not Started"))))</f>
        <v/>
      </c>
      <c r="S108" s="28"/>
      <c r="T108" s="29"/>
      <c r="U108" s="32"/>
    </row>
    <row r="109" customFormat="false" ht="15.75" hidden="false" customHeight="true" outlineLevel="0" collapsed="false">
      <c r="A109" s="27"/>
      <c r="B109" s="33" t="str">
        <f aca="false">IFERROR(INDEX(Customers!$C$4:$C$1003,MATCH($A109,Customers!$A$4:$A$1003,0)),"")</f>
        <v/>
      </c>
      <c r="C109" s="31" t="str">
        <f aca="false">IFERROR(INDEX(Customers!$F$4:$F$1003,MATCH($A109,Customers!$A$4:$A$1003,0)),"")</f>
        <v/>
      </c>
      <c r="D109" s="27"/>
      <c r="E109" s="27"/>
      <c r="F109" s="27"/>
      <c r="G109" s="27"/>
      <c r="H109" s="27"/>
      <c r="I109" s="27"/>
      <c r="J109" s="27"/>
      <c r="K109" s="27"/>
      <c r="L109" s="27"/>
      <c r="M109" s="27"/>
      <c r="N109" s="27"/>
      <c r="O109" s="30" t="str">
        <f aca="false">IF($A109="","",COUNTIF($D109:$N109,"Yes"))</f>
        <v/>
      </c>
      <c r="P109" s="30" t="str">
        <f aca="false">IF($A109="","",COUNTA($D$3:$N$3))</f>
        <v/>
      </c>
      <c r="Q109" s="35" t="str">
        <f aca="false">IF($A109="","",IFERROR($O109/$P109,""))</f>
        <v/>
      </c>
      <c r="R109" s="31" t="str">
        <f aca="false">IF($A109="","",IF($Q109=1,"Complete",IF($Q109&gt;=0.7,"Almost Complete",IF($Q109&gt;0,"In Progress","Not Started"))))</f>
        <v/>
      </c>
      <c r="S109" s="28"/>
      <c r="T109" s="29"/>
      <c r="U109" s="32"/>
    </row>
    <row r="110" customFormat="false" ht="15.75" hidden="false" customHeight="true" outlineLevel="0" collapsed="false">
      <c r="A110" s="27"/>
      <c r="B110" s="33" t="str">
        <f aca="false">IFERROR(INDEX(Customers!$C$4:$C$1003,MATCH($A110,Customers!$A$4:$A$1003,0)),"")</f>
        <v/>
      </c>
      <c r="C110" s="31" t="str">
        <f aca="false">IFERROR(INDEX(Customers!$F$4:$F$1003,MATCH($A110,Customers!$A$4:$A$1003,0)),"")</f>
        <v/>
      </c>
      <c r="D110" s="27"/>
      <c r="E110" s="27"/>
      <c r="F110" s="27"/>
      <c r="G110" s="27"/>
      <c r="H110" s="27"/>
      <c r="I110" s="27"/>
      <c r="J110" s="27"/>
      <c r="K110" s="27"/>
      <c r="L110" s="27"/>
      <c r="M110" s="27"/>
      <c r="N110" s="27"/>
      <c r="O110" s="30" t="str">
        <f aca="false">IF($A110="","",COUNTIF($D110:$N110,"Yes"))</f>
        <v/>
      </c>
      <c r="P110" s="30" t="str">
        <f aca="false">IF($A110="","",COUNTA($D$3:$N$3))</f>
        <v/>
      </c>
      <c r="Q110" s="35" t="str">
        <f aca="false">IF($A110="","",IFERROR($O110/$P110,""))</f>
        <v/>
      </c>
      <c r="R110" s="31" t="str">
        <f aca="false">IF($A110="","",IF($Q110=1,"Complete",IF($Q110&gt;=0.7,"Almost Complete",IF($Q110&gt;0,"In Progress","Not Started"))))</f>
        <v/>
      </c>
      <c r="S110" s="28"/>
      <c r="T110" s="29"/>
      <c r="U110" s="32"/>
    </row>
    <row r="111" customFormat="false" ht="15.75" hidden="false" customHeight="true" outlineLevel="0" collapsed="false">
      <c r="A111" s="27"/>
      <c r="B111" s="33" t="str">
        <f aca="false">IFERROR(INDEX(Customers!$C$4:$C$1003,MATCH($A111,Customers!$A$4:$A$1003,0)),"")</f>
        <v/>
      </c>
      <c r="C111" s="31" t="str">
        <f aca="false">IFERROR(INDEX(Customers!$F$4:$F$1003,MATCH($A111,Customers!$A$4:$A$1003,0)),"")</f>
        <v/>
      </c>
      <c r="D111" s="27"/>
      <c r="E111" s="27"/>
      <c r="F111" s="27"/>
      <c r="G111" s="27"/>
      <c r="H111" s="27"/>
      <c r="I111" s="27"/>
      <c r="J111" s="27"/>
      <c r="K111" s="27"/>
      <c r="L111" s="27"/>
      <c r="M111" s="27"/>
      <c r="N111" s="27"/>
      <c r="O111" s="30" t="str">
        <f aca="false">IF($A111="","",COUNTIF($D111:$N111,"Yes"))</f>
        <v/>
      </c>
      <c r="P111" s="30" t="str">
        <f aca="false">IF($A111="","",COUNTA($D$3:$N$3))</f>
        <v/>
      </c>
      <c r="Q111" s="35" t="str">
        <f aca="false">IF($A111="","",IFERROR($O111/$P111,""))</f>
        <v/>
      </c>
      <c r="R111" s="31" t="str">
        <f aca="false">IF($A111="","",IF($Q111=1,"Complete",IF($Q111&gt;=0.7,"Almost Complete",IF($Q111&gt;0,"In Progress","Not Started"))))</f>
        <v/>
      </c>
      <c r="S111" s="28"/>
      <c r="T111" s="29"/>
      <c r="U111" s="32"/>
    </row>
    <row r="112" customFormat="false" ht="15.75" hidden="false" customHeight="true" outlineLevel="0" collapsed="false">
      <c r="A112" s="27"/>
      <c r="B112" s="33" t="str">
        <f aca="false">IFERROR(INDEX(Customers!$C$4:$C$1003,MATCH($A112,Customers!$A$4:$A$1003,0)),"")</f>
        <v/>
      </c>
      <c r="C112" s="31" t="str">
        <f aca="false">IFERROR(INDEX(Customers!$F$4:$F$1003,MATCH($A112,Customers!$A$4:$A$1003,0)),"")</f>
        <v/>
      </c>
      <c r="D112" s="27"/>
      <c r="E112" s="27"/>
      <c r="F112" s="27"/>
      <c r="G112" s="27"/>
      <c r="H112" s="27"/>
      <c r="I112" s="27"/>
      <c r="J112" s="27"/>
      <c r="K112" s="27"/>
      <c r="L112" s="27"/>
      <c r="M112" s="27"/>
      <c r="N112" s="27"/>
      <c r="O112" s="30" t="str">
        <f aca="false">IF($A112="","",COUNTIF($D112:$N112,"Yes"))</f>
        <v/>
      </c>
      <c r="P112" s="30" t="str">
        <f aca="false">IF($A112="","",COUNTA($D$3:$N$3))</f>
        <v/>
      </c>
      <c r="Q112" s="35" t="str">
        <f aca="false">IF($A112="","",IFERROR($O112/$P112,""))</f>
        <v/>
      </c>
      <c r="R112" s="31" t="str">
        <f aca="false">IF($A112="","",IF($Q112=1,"Complete",IF($Q112&gt;=0.7,"Almost Complete",IF($Q112&gt;0,"In Progress","Not Started"))))</f>
        <v/>
      </c>
      <c r="S112" s="28"/>
      <c r="T112" s="29"/>
      <c r="U112" s="32"/>
    </row>
    <row r="113" customFormat="false" ht="15.75" hidden="false" customHeight="true" outlineLevel="0" collapsed="false">
      <c r="A113" s="27"/>
      <c r="B113" s="33" t="str">
        <f aca="false">IFERROR(INDEX(Customers!$C$4:$C$1003,MATCH($A113,Customers!$A$4:$A$1003,0)),"")</f>
        <v/>
      </c>
      <c r="C113" s="31" t="str">
        <f aca="false">IFERROR(INDEX(Customers!$F$4:$F$1003,MATCH($A113,Customers!$A$4:$A$1003,0)),"")</f>
        <v/>
      </c>
      <c r="D113" s="27"/>
      <c r="E113" s="27"/>
      <c r="F113" s="27"/>
      <c r="G113" s="27"/>
      <c r="H113" s="27"/>
      <c r="I113" s="27"/>
      <c r="J113" s="27"/>
      <c r="K113" s="27"/>
      <c r="L113" s="27"/>
      <c r="M113" s="27"/>
      <c r="N113" s="27"/>
      <c r="O113" s="30" t="str">
        <f aca="false">IF($A113="","",COUNTIF($D113:$N113,"Yes"))</f>
        <v/>
      </c>
      <c r="P113" s="30" t="str">
        <f aca="false">IF($A113="","",COUNTA($D$3:$N$3))</f>
        <v/>
      </c>
      <c r="Q113" s="35" t="str">
        <f aca="false">IF($A113="","",IFERROR($O113/$P113,""))</f>
        <v/>
      </c>
      <c r="R113" s="31" t="str">
        <f aca="false">IF($A113="","",IF($Q113=1,"Complete",IF($Q113&gt;=0.7,"Almost Complete",IF($Q113&gt;0,"In Progress","Not Started"))))</f>
        <v/>
      </c>
      <c r="S113" s="28"/>
      <c r="T113" s="29"/>
      <c r="U113" s="32"/>
    </row>
    <row r="114" customFormat="false" ht="15.75" hidden="false" customHeight="true" outlineLevel="0" collapsed="false">
      <c r="A114" s="27"/>
      <c r="B114" s="33" t="str">
        <f aca="false">IFERROR(INDEX(Customers!$C$4:$C$1003,MATCH($A114,Customers!$A$4:$A$1003,0)),"")</f>
        <v/>
      </c>
      <c r="C114" s="31" t="str">
        <f aca="false">IFERROR(INDEX(Customers!$F$4:$F$1003,MATCH($A114,Customers!$A$4:$A$1003,0)),"")</f>
        <v/>
      </c>
      <c r="D114" s="27"/>
      <c r="E114" s="27"/>
      <c r="F114" s="27"/>
      <c r="G114" s="27"/>
      <c r="H114" s="27"/>
      <c r="I114" s="27"/>
      <c r="J114" s="27"/>
      <c r="K114" s="27"/>
      <c r="L114" s="27"/>
      <c r="M114" s="27"/>
      <c r="N114" s="27"/>
      <c r="O114" s="30" t="str">
        <f aca="false">IF($A114="","",COUNTIF($D114:$N114,"Yes"))</f>
        <v/>
      </c>
      <c r="P114" s="30" t="str">
        <f aca="false">IF($A114="","",COUNTA($D$3:$N$3))</f>
        <v/>
      </c>
      <c r="Q114" s="35" t="str">
        <f aca="false">IF($A114="","",IFERROR($O114/$P114,""))</f>
        <v/>
      </c>
      <c r="R114" s="31" t="str">
        <f aca="false">IF($A114="","",IF($Q114=1,"Complete",IF($Q114&gt;=0.7,"Almost Complete",IF($Q114&gt;0,"In Progress","Not Started"))))</f>
        <v/>
      </c>
      <c r="S114" s="28"/>
      <c r="T114" s="29"/>
      <c r="U114" s="32"/>
    </row>
    <row r="115" customFormat="false" ht="15.75" hidden="false" customHeight="true" outlineLevel="0" collapsed="false">
      <c r="A115" s="27"/>
      <c r="B115" s="33" t="str">
        <f aca="false">IFERROR(INDEX(Customers!$C$4:$C$1003,MATCH($A115,Customers!$A$4:$A$1003,0)),"")</f>
        <v/>
      </c>
      <c r="C115" s="31" t="str">
        <f aca="false">IFERROR(INDEX(Customers!$F$4:$F$1003,MATCH($A115,Customers!$A$4:$A$1003,0)),"")</f>
        <v/>
      </c>
      <c r="D115" s="27"/>
      <c r="E115" s="27"/>
      <c r="F115" s="27"/>
      <c r="G115" s="27"/>
      <c r="H115" s="27"/>
      <c r="I115" s="27"/>
      <c r="J115" s="27"/>
      <c r="K115" s="27"/>
      <c r="L115" s="27"/>
      <c r="M115" s="27"/>
      <c r="N115" s="27"/>
      <c r="O115" s="30" t="str">
        <f aca="false">IF($A115="","",COUNTIF($D115:$N115,"Yes"))</f>
        <v/>
      </c>
      <c r="P115" s="30" t="str">
        <f aca="false">IF($A115="","",COUNTA($D$3:$N$3))</f>
        <v/>
      </c>
      <c r="Q115" s="35" t="str">
        <f aca="false">IF($A115="","",IFERROR($O115/$P115,""))</f>
        <v/>
      </c>
      <c r="R115" s="31" t="str">
        <f aca="false">IF($A115="","",IF($Q115=1,"Complete",IF($Q115&gt;=0.7,"Almost Complete",IF($Q115&gt;0,"In Progress","Not Started"))))</f>
        <v/>
      </c>
      <c r="S115" s="28"/>
      <c r="T115" s="29"/>
      <c r="U115" s="32"/>
    </row>
    <row r="116" customFormat="false" ht="15.75" hidden="false" customHeight="true" outlineLevel="0" collapsed="false">
      <c r="A116" s="27"/>
      <c r="B116" s="33" t="str">
        <f aca="false">IFERROR(INDEX(Customers!$C$4:$C$1003,MATCH($A116,Customers!$A$4:$A$1003,0)),"")</f>
        <v/>
      </c>
      <c r="C116" s="31" t="str">
        <f aca="false">IFERROR(INDEX(Customers!$F$4:$F$1003,MATCH($A116,Customers!$A$4:$A$1003,0)),"")</f>
        <v/>
      </c>
      <c r="D116" s="27"/>
      <c r="E116" s="27"/>
      <c r="F116" s="27"/>
      <c r="G116" s="27"/>
      <c r="H116" s="27"/>
      <c r="I116" s="27"/>
      <c r="J116" s="27"/>
      <c r="K116" s="27"/>
      <c r="L116" s="27"/>
      <c r="M116" s="27"/>
      <c r="N116" s="27"/>
      <c r="O116" s="30" t="str">
        <f aca="false">IF($A116="","",COUNTIF($D116:$N116,"Yes"))</f>
        <v/>
      </c>
      <c r="P116" s="30" t="str">
        <f aca="false">IF($A116="","",COUNTA($D$3:$N$3))</f>
        <v/>
      </c>
      <c r="Q116" s="35" t="str">
        <f aca="false">IF($A116="","",IFERROR($O116/$P116,""))</f>
        <v/>
      </c>
      <c r="R116" s="31" t="str">
        <f aca="false">IF($A116="","",IF($Q116=1,"Complete",IF($Q116&gt;=0.7,"Almost Complete",IF($Q116&gt;0,"In Progress","Not Started"))))</f>
        <v/>
      </c>
      <c r="S116" s="28"/>
      <c r="T116" s="29"/>
      <c r="U116" s="32"/>
    </row>
    <row r="117" customFormat="false" ht="15.75" hidden="false" customHeight="true" outlineLevel="0" collapsed="false">
      <c r="A117" s="27"/>
      <c r="B117" s="33" t="str">
        <f aca="false">IFERROR(INDEX(Customers!$C$4:$C$1003,MATCH($A117,Customers!$A$4:$A$1003,0)),"")</f>
        <v/>
      </c>
      <c r="C117" s="31" t="str">
        <f aca="false">IFERROR(INDEX(Customers!$F$4:$F$1003,MATCH($A117,Customers!$A$4:$A$1003,0)),"")</f>
        <v/>
      </c>
      <c r="D117" s="27"/>
      <c r="E117" s="27"/>
      <c r="F117" s="27"/>
      <c r="G117" s="27"/>
      <c r="H117" s="27"/>
      <c r="I117" s="27"/>
      <c r="J117" s="27"/>
      <c r="K117" s="27"/>
      <c r="L117" s="27"/>
      <c r="M117" s="27"/>
      <c r="N117" s="27"/>
      <c r="O117" s="30" t="str">
        <f aca="false">IF($A117="","",COUNTIF($D117:$N117,"Yes"))</f>
        <v/>
      </c>
      <c r="P117" s="30" t="str">
        <f aca="false">IF($A117="","",COUNTA($D$3:$N$3))</f>
        <v/>
      </c>
      <c r="Q117" s="35" t="str">
        <f aca="false">IF($A117="","",IFERROR($O117/$P117,""))</f>
        <v/>
      </c>
      <c r="R117" s="31" t="str">
        <f aca="false">IF($A117="","",IF($Q117=1,"Complete",IF($Q117&gt;=0.7,"Almost Complete",IF($Q117&gt;0,"In Progress","Not Started"))))</f>
        <v/>
      </c>
      <c r="S117" s="28"/>
      <c r="T117" s="29"/>
      <c r="U117" s="32"/>
    </row>
    <row r="118" customFormat="false" ht="15.75" hidden="false" customHeight="true" outlineLevel="0" collapsed="false">
      <c r="A118" s="27"/>
      <c r="B118" s="33" t="str">
        <f aca="false">IFERROR(INDEX(Customers!$C$4:$C$1003,MATCH($A118,Customers!$A$4:$A$1003,0)),"")</f>
        <v/>
      </c>
      <c r="C118" s="31" t="str">
        <f aca="false">IFERROR(INDEX(Customers!$F$4:$F$1003,MATCH($A118,Customers!$A$4:$A$1003,0)),"")</f>
        <v/>
      </c>
      <c r="D118" s="27"/>
      <c r="E118" s="27"/>
      <c r="F118" s="27"/>
      <c r="G118" s="27"/>
      <c r="H118" s="27"/>
      <c r="I118" s="27"/>
      <c r="J118" s="27"/>
      <c r="K118" s="27"/>
      <c r="L118" s="27"/>
      <c r="M118" s="27"/>
      <c r="N118" s="27"/>
      <c r="O118" s="30" t="str">
        <f aca="false">IF($A118="","",COUNTIF($D118:$N118,"Yes"))</f>
        <v/>
      </c>
      <c r="P118" s="30" t="str">
        <f aca="false">IF($A118="","",COUNTA($D$3:$N$3))</f>
        <v/>
      </c>
      <c r="Q118" s="35" t="str">
        <f aca="false">IF($A118="","",IFERROR($O118/$P118,""))</f>
        <v/>
      </c>
      <c r="R118" s="31" t="str">
        <f aca="false">IF($A118="","",IF($Q118=1,"Complete",IF($Q118&gt;=0.7,"Almost Complete",IF($Q118&gt;0,"In Progress","Not Started"))))</f>
        <v/>
      </c>
      <c r="S118" s="28"/>
      <c r="T118" s="29"/>
      <c r="U118" s="32"/>
    </row>
    <row r="119" customFormat="false" ht="15.75" hidden="false" customHeight="true" outlineLevel="0" collapsed="false">
      <c r="A119" s="27"/>
      <c r="B119" s="33" t="str">
        <f aca="false">IFERROR(INDEX(Customers!$C$4:$C$1003,MATCH($A119,Customers!$A$4:$A$1003,0)),"")</f>
        <v/>
      </c>
      <c r="C119" s="31" t="str">
        <f aca="false">IFERROR(INDEX(Customers!$F$4:$F$1003,MATCH($A119,Customers!$A$4:$A$1003,0)),"")</f>
        <v/>
      </c>
      <c r="D119" s="27"/>
      <c r="E119" s="27"/>
      <c r="F119" s="27"/>
      <c r="G119" s="27"/>
      <c r="H119" s="27"/>
      <c r="I119" s="27"/>
      <c r="J119" s="27"/>
      <c r="K119" s="27"/>
      <c r="L119" s="27"/>
      <c r="M119" s="27"/>
      <c r="N119" s="27"/>
      <c r="O119" s="30" t="str">
        <f aca="false">IF($A119="","",COUNTIF($D119:$N119,"Yes"))</f>
        <v/>
      </c>
      <c r="P119" s="30" t="str">
        <f aca="false">IF($A119="","",COUNTA($D$3:$N$3))</f>
        <v/>
      </c>
      <c r="Q119" s="35" t="str">
        <f aca="false">IF($A119="","",IFERROR($O119/$P119,""))</f>
        <v/>
      </c>
      <c r="R119" s="31" t="str">
        <f aca="false">IF($A119="","",IF($Q119=1,"Complete",IF($Q119&gt;=0.7,"Almost Complete",IF($Q119&gt;0,"In Progress","Not Started"))))</f>
        <v/>
      </c>
      <c r="S119" s="28"/>
      <c r="T119" s="29"/>
      <c r="U119" s="32"/>
    </row>
    <row r="120" customFormat="false" ht="15.75" hidden="false" customHeight="true" outlineLevel="0" collapsed="false">
      <c r="A120" s="27"/>
      <c r="B120" s="33" t="str">
        <f aca="false">IFERROR(INDEX(Customers!$C$4:$C$1003,MATCH($A120,Customers!$A$4:$A$1003,0)),"")</f>
        <v/>
      </c>
      <c r="C120" s="31" t="str">
        <f aca="false">IFERROR(INDEX(Customers!$F$4:$F$1003,MATCH($A120,Customers!$A$4:$A$1003,0)),"")</f>
        <v/>
      </c>
      <c r="D120" s="27"/>
      <c r="E120" s="27"/>
      <c r="F120" s="27"/>
      <c r="G120" s="27"/>
      <c r="H120" s="27"/>
      <c r="I120" s="27"/>
      <c r="J120" s="27"/>
      <c r="K120" s="27"/>
      <c r="L120" s="27"/>
      <c r="M120" s="27"/>
      <c r="N120" s="27"/>
      <c r="O120" s="30" t="str">
        <f aca="false">IF($A120="","",COUNTIF($D120:$N120,"Yes"))</f>
        <v/>
      </c>
      <c r="P120" s="30" t="str">
        <f aca="false">IF($A120="","",COUNTA($D$3:$N$3))</f>
        <v/>
      </c>
      <c r="Q120" s="35" t="str">
        <f aca="false">IF($A120="","",IFERROR($O120/$P120,""))</f>
        <v/>
      </c>
      <c r="R120" s="31" t="str">
        <f aca="false">IF($A120="","",IF($Q120=1,"Complete",IF($Q120&gt;=0.7,"Almost Complete",IF($Q120&gt;0,"In Progress","Not Started"))))</f>
        <v/>
      </c>
      <c r="S120" s="28"/>
      <c r="T120" s="29"/>
      <c r="U120" s="32"/>
    </row>
    <row r="121" customFormat="false" ht="15.75" hidden="false" customHeight="true" outlineLevel="0" collapsed="false">
      <c r="A121" s="27"/>
      <c r="B121" s="33" t="str">
        <f aca="false">IFERROR(INDEX(Customers!$C$4:$C$1003,MATCH($A121,Customers!$A$4:$A$1003,0)),"")</f>
        <v/>
      </c>
      <c r="C121" s="31" t="str">
        <f aca="false">IFERROR(INDEX(Customers!$F$4:$F$1003,MATCH($A121,Customers!$A$4:$A$1003,0)),"")</f>
        <v/>
      </c>
      <c r="D121" s="27"/>
      <c r="E121" s="27"/>
      <c r="F121" s="27"/>
      <c r="G121" s="27"/>
      <c r="H121" s="27"/>
      <c r="I121" s="27"/>
      <c r="J121" s="27"/>
      <c r="K121" s="27"/>
      <c r="L121" s="27"/>
      <c r="M121" s="27"/>
      <c r="N121" s="27"/>
      <c r="O121" s="30" t="str">
        <f aca="false">IF($A121="","",COUNTIF($D121:$N121,"Yes"))</f>
        <v/>
      </c>
      <c r="P121" s="30" t="str">
        <f aca="false">IF($A121="","",COUNTA($D$3:$N$3))</f>
        <v/>
      </c>
      <c r="Q121" s="35" t="str">
        <f aca="false">IF($A121="","",IFERROR($O121/$P121,""))</f>
        <v/>
      </c>
      <c r="R121" s="31" t="str">
        <f aca="false">IF($A121="","",IF($Q121=1,"Complete",IF($Q121&gt;=0.7,"Almost Complete",IF($Q121&gt;0,"In Progress","Not Started"))))</f>
        <v/>
      </c>
      <c r="S121" s="28"/>
      <c r="T121" s="29"/>
      <c r="U121" s="32"/>
    </row>
    <row r="122" customFormat="false" ht="15.75" hidden="false" customHeight="true" outlineLevel="0" collapsed="false">
      <c r="A122" s="27"/>
      <c r="B122" s="33" t="str">
        <f aca="false">IFERROR(INDEX(Customers!$C$4:$C$1003,MATCH($A122,Customers!$A$4:$A$1003,0)),"")</f>
        <v/>
      </c>
      <c r="C122" s="31" t="str">
        <f aca="false">IFERROR(INDEX(Customers!$F$4:$F$1003,MATCH($A122,Customers!$A$4:$A$1003,0)),"")</f>
        <v/>
      </c>
      <c r="D122" s="27"/>
      <c r="E122" s="27"/>
      <c r="F122" s="27"/>
      <c r="G122" s="27"/>
      <c r="H122" s="27"/>
      <c r="I122" s="27"/>
      <c r="J122" s="27"/>
      <c r="K122" s="27"/>
      <c r="L122" s="27"/>
      <c r="M122" s="27"/>
      <c r="N122" s="27"/>
      <c r="O122" s="30" t="str">
        <f aca="false">IF($A122="","",COUNTIF($D122:$N122,"Yes"))</f>
        <v/>
      </c>
      <c r="P122" s="30" t="str">
        <f aca="false">IF($A122="","",COUNTA($D$3:$N$3))</f>
        <v/>
      </c>
      <c r="Q122" s="35" t="str">
        <f aca="false">IF($A122="","",IFERROR($O122/$P122,""))</f>
        <v/>
      </c>
      <c r="R122" s="31" t="str">
        <f aca="false">IF($A122="","",IF($Q122=1,"Complete",IF($Q122&gt;=0.7,"Almost Complete",IF($Q122&gt;0,"In Progress","Not Started"))))</f>
        <v/>
      </c>
      <c r="S122" s="28"/>
      <c r="T122" s="29"/>
      <c r="U122" s="32"/>
    </row>
    <row r="123" customFormat="false" ht="15.75" hidden="false" customHeight="true" outlineLevel="0" collapsed="false">
      <c r="A123" s="27"/>
      <c r="B123" s="33" t="str">
        <f aca="false">IFERROR(INDEX(Customers!$C$4:$C$1003,MATCH($A123,Customers!$A$4:$A$1003,0)),"")</f>
        <v/>
      </c>
      <c r="C123" s="31" t="str">
        <f aca="false">IFERROR(INDEX(Customers!$F$4:$F$1003,MATCH($A123,Customers!$A$4:$A$1003,0)),"")</f>
        <v/>
      </c>
      <c r="D123" s="27"/>
      <c r="E123" s="27"/>
      <c r="F123" s="27"/>
      <c r="G123" s="27"/>
      <c r="H123" s="27"/>
      <c r="I123" s="27"/>
      <c r="J123" s="27"/>
      <c r="K123" s="27"/>
      <c r="L123" s="27"/>
      <c r="M123" s="27"/>
      <c r="N123" s="27"/>
      <c r="O123" s="30" t="str">
        <f aca="false">IF($A123="","",COUNTIF($D123:$N123,"Yes"))</f>
        <v/>
      </c>
      <c r="P123" s="30" t="str">
        <f aca="false">IF($A123="","",COUNTA($D$3:$N$3))</f>
        <v/>
      </c>
      <c r="Q123" s="35" t="str">
        <f aca="false">IF($A123="","",IFERROR($O123/$P123,""))</f>
        <v/>
      </c>
      <c r="R123" s="31" t="str">
        <f aca="false">IF($A123="","",IF($Q123=1,"Complete",IF($Q123&gt;=0.7,"Almost Complete",IF($Q123&gt;0,"In Progress","Not Started"))))</f>
        <v/>
      </c>
      <c r="S123" s="28"/>
      <c r="T123" s="29"/>
      <c r="U123" s="32"/>
    </row>
    <row r="124" customFormat="false" ht="15.75" hidden="false" customHeight="true" outlineLevel="0" collapsed="false">
      <c r="A124" s="27"/>
      <c r="B124" s="33" t="str">
        <f aca="false">IFERROR(INDEX(Customers!$C$4:$C$1003,MATCH($A124,Customers!$A$4:$A$1003,0)),"")</f>
        <v/>
      </c>
      <c r="C124" s="31" t="str">
        <f aca="false">IFERROR(INDEX(Customers!$F$4:$F$1003,MATCH($A124,Customers!$A$4:$A$1003,0)),"")</f>
        <v/>
      </c>
      <c r="D124" s="27"/>
      <c r="E124" s="27"/>
      <c r="F124" s="27"/>
      <c r="G124" s="27"/>
      <c r="H124" s="27"/>
      <c r="I124" s="27"/>
      <c r="J124" s="27"/>
      <c r="K124" s="27"/>
      <c r="L124" s="27"/>
      <c r="M124" s="27"/>
      <c r="N124" s="27"/>
      <c r="O124" s="30" t="str">
        <f aca="false">IF($A124="","",COUNTIF($D124:$N124,"Yes"))</f>
        <v/>
      </c>
      <c r="P124" s="30" t="str">
        <f aca="false">IF($A124="","",COUNTA($D$3:$N$3))</f>
        <v/>
      </c>
      <c r="Q124" s="35" t="str">
        <f aca="false">IF($A124="","",IFERROR($O124/$P124,""))</f>
        <v/>
      </c>
      <c r="R124" s="31" t="str">
        <f aca="false">IF($A124="","",IF($Q124=1,"Complete",IF($Q124&gt;=0.7,"Almost Complete",IF($Q124&gt;0,"In Progress","Not Started"))))</f>
        <v/>
      </c>
      <c r="S124" s="28"/>
      <c r="T124" s="29"/>
      <c r="U124" s="32"/>
    </row>
    <row r="125" customFormat="false" ht="15.75" hidden="false" customHeight="true" outlineLevel="0" collapsed="false">
      <c r="A125" s="27"/>
      <c r="B125" s="33" t="str">
        <f aca="false">IFERROR(INDEX(Customers!$C$4:$C$1003,MATCH($A125,Customers!$A$4:$A$1003,0)),"")</f>
        <v/>
      </c>
      <c r="C125" s="31" t="str">
        <f aca="false">IFERROR(INDEX(Customers!$F$4:$F$1003,MATCH($A125,Customers!$A$4:$A$1003,0)),"")</f>
        <v/>
      </c>
      <c r="D125" s="27"/>
      <c r="E125" s="27"/>
      <c r="F125" s="27"/>
      <c r="G125" s="27"/>
      <c r="H125" s="27"/>
      <c r="I125" s="27"/>
      <c r="J125" s="27"/>
      <c r="K125" s="27"/>
      <c r="L125" s="27"/>
      <c r="M125" s="27"/>
      <c r="N125" s="27"/>
      <c r="O125" s="30" t="str">
        <f aca="false">IF($A125="","",COUNTIF($D125:$N125,"Yes"))</f>
        <v/>
      </c>
      <c r="P125" s="30" t="str">
        <f aca="false">IF($A125="","",COUNTA($D$3:$N$3))</f>
        <v/>
      </c>
      <c r="Q125" s="35" t="str">
        <f aca="false">IF($A125="","",IFERROR($O125/$P125,""))</f>
        <v/>
      </c>
      <c r="R125" s="31" t="str">
        <f aca="false">IF($A125="","",IF($Q125=1,"Complete",IF($Q125&gt;=0.7,"Almost Complete",IF($Q125&gt;0,"In Progress","Not Started"))))</f>
        <v/>
      </c>
      <c r="S125" s="28"/>
      <c r="T125" s="29"/>
      <c r="U125" s="32"/>
    </row>
    <row r="126" customFormat="false" ht="15.75" hidden="false" customHeight="true" outlineLevel="0" collapsed="false">
      <c r="A126" s="27"/>
      <c r="B126" s="33" t="str">
        <f aca="false">IFERROR(INDEX(Customers!$C$4:$C$1003,MATCH($A126,Customers!$A$4:$A$1003,0)),"")</f>
        <v/>
      </c>
      <c r="C126" s="31" t="str">
        <f aca="false">IFERROR(INDEX(Customers!$F$4:$F$1003,MATCH($A126,Customers!$A$4:$A$1003,0)),"")</f>
        <v/>
      </c>
      <c r="D126" s="27"/>
      <c r="E126" s="27"/>
      <c r="F126" s="27"/>
      <c r="G126" s="27"/>
      <c r="H126" s="27"/>
      <c r="I126" s="27"/>
      <c r="J126" s="27"/>
      <c r="K126" s="27"/>
      <c r="L126" s="27"/>
      <c r="M126" s="27"/>
      <c r="N126" s="27"/>
      <c r="O126" s="30" t="str">
        <f aca="false">IF($A126="","",COUNTIF($D126:$N126,"Yes"))</f>
        <v/>
      </c>
      <c r="P126" s="30" t="str">
        <f aca="false">IF($A126="","",COUNTA($D$3:$N$3))</f>
        <v/>
      </c>
      <c r="Q126" s="35" t="str">
        <f aca="false">IF($A126="","",IFERROR($O126/$P126,""))</f>
        <v/>
      </c>
      <c r="R126" s="31" t="str">
        <f aca="false">IF($A126="","",IF($Q126=1,"Complete",IF($Q126&gt;=0.7,"Almost Complete",IF($Q126&gt;0,"In Progress","Not Started"))))</f>
        <v/>
      </c>
      <c r="S126" s="28"/>
      <c r="T126" s="29"/>
      <c r="U126" s="32"/>
    </row>
    <row r="127" customFormat="false" ht="15.75" hidden="false" customHeight="true" outlineLevel="0" collapsed="false">
      <c r="A127" s="27"/>
      <c r="B127" s="33" t="str">
        <f aca="false">IFERROR(INDEX(Customers!$C$4:$C$1003,MATCH($A127,Customers!$A$4:$A$1003,0)),"")</f>
        <v/>
      </c>
      <c r="C127" s="31" t="str">
        <f aca="false">IFERROR(INDEX(Customers!$F$4:$F$1003,MATCH($A127,Customers!$A$4:$A$1003,0)),"")</f>
        <v/>
      </c>
      <c r="D127" s="27"/>
      <c r="E127" s="27"/>
      <c r="F127" s="27"/>
      <c r="G127" s="27"/>
      <c r="H127" s="27"/>
      <c r="I127" s="27"/>
      <c r="J127" s="27"/>
      <c r="K127" s="27"/>
      <c r="L127" s="27"/>
      <c r="M127" s="27"/>
      <c r="N127" s="27"/>
      <c r="O127" s="30" t="str">
        <f aca="false">IF($A127="","",COUNTIF($D127:$N127,"Yes"))</f>
        <v/>
      </c>
      <c r="P127" s="30" t="str">
        <f aca="false">IF($A127="","",COUNTA($D$3:$N$3))</f>
        <v/>
      </c>
      <c r="Q127" s="35" t="str">
        <f aca="false">IF($A127="","",IFERROR($O127/$P127,""))</f>
        <v/>
      </c>
      <c r="R127" s="31" t="str">
        <f aca="false">IF($A127="","",IF($Q127=1,"Complete",IF($Q127&gt;=0.7,"Almost Complete",IF($Q127&gt;0,"In Progress","Not Started"))))</f>
        <v/>
      </c>
      <c r="S127" s="28"/>
      <c r="T127" s="29"/>
      <c r="U127" s="32"/>
    </row>
    <row r="128" customFormat="false" ht="15.75" hidden="false" customHeight="true" outlineLevel="0" collapsed="false">
      <c r="A128" s="27"/>
      <c r="B128" s="33" t="str">
        <f aca="false">IFERROR(INDEX(Customers!$C$4:$C$1003,MATCH($A128,Customers!$A$4:$A$1003,0)),"")</f>
        <v/>
      </c>
      <c r="C128" s="31" t="str">
        <f aca="false">IFERROR(INDEX(Customers!$F$4:$F$1003,MATCH($A128,Customers!$A$4:$A$1003,0)),"")</f>
        <v/>
      </c>
      <c r="D128" s="27"/>
      <c r="E128" s="27"/>
      <c r="F128" s="27"/>
      <c r="G128" s="27"/>
      <c r="H128" s="27"/>
      <c r="I128" s="27"/>
      <c r="J128" s="27"/>
      <c r="K128" s="27"/>
      <c r="L128" s="27"/>
      <c r="M128" s="27"/>
      <c r="N128" s="27"/>
      <c r="O128" s="30" t="str">
        <f aca="false">IF($A128="","",COUNTIF($D128:$N128,"Yes"))</f>
        <v/>
      </c>
      <c r="P128" s="30" t="str">
        <f aca="false">IF($A128="","",COUNTA($D$3:$N$3))</f>
        <v/>
      </c>
      <c r="Q128" s="35" t="str">
        <f aca="false">IF($A128="","",IFERROR($O128/$P128,""))</f>
        <v/>
      </c>
      <c r="R128" s="31" t="str">
        <f aca="false">IF($A128="","",IF($Q128=1,"Complete",IF($Q128&gt;=0.7,"Almost Complete",IF($Q128&gt;0,"In Progress","Not Started"))))</f>
        <v/>
      </c>
      <c r="S128" s="28"/>
      <c r="T128" s="29"/>
      <c r="U128" s="32"/>
    </row>
    <row r="129" customFormat="false" ht="15.75" hidden="false" customHeight="true" outlineLevel="0" collapsed="false">
      <c r="A129" s="27"/>
      <c r="B129" s="33" t="str">
        <f aca="false">IFERROR(INDEX(Customers!$C$4:$C$1003,MATCH($A129,Customers!$A$4:$A$1003,0)),"")</f>
        <v/>
      </c>
      <c r="C129" s="31" t="str">
        <f aca="false">IFERROR(INDEX(Customers!$F$4:$F$1003,MATCH($A129,Customers!$A$4:$A$1003,0)),"")</f>
        <v/>
      </c>
      <c r="D129" s="27"/>
      <c r="E129" s="27"/>
      <c r="F129" s="27"/>
      <c r="G129" s="27"/>
      <c r="H129" s="27"/>
      <c r="I129" s="27"/>
      <c r="J129" s="27"/>
      <c r="K129" s="27"/>
      <c r="L129" s="27"/>
      <c r="M129" s="27"/>
      <c r="N129" s="27"/>
      <c r="O129" s="30" t="str">
        <f aca="false">IF($A129="","",COUNTIF($D129:$N129,"Yes"))</f>
        <v/>
      </c>
      <c r="P129" s="30" t="str">
        <f aca="false">IF($A129="","",COUNTA($D$3:$N$3))</f>
        <v/>
      </c>
      <c r="Q129" s="35" t="str">
        <f aca="false">IF($A129="","",IFERROR($O129/$P129,""))</f>
        <v/>
      </c>
      <c r="R129" s="31" t="str">
        <f aca="false">IF($A129="","",IF($Q129=1,"Complete",IF($Q129&gt;=0.7,"Almost Complete",IF($Q129&gt;0,"In Progress","Not Started"))))</f>
        <v/>
      </c>
      <c r="S129" s="28"/>
      <c r="T129" s="29"/>
      <c r="U129" s="32"/>
    </row>
    <row r="130" customFormat="false" ht="15.75" hidden="false" customHeight="true" outlineLevel="0" collapsed="false">
      <c r="A130" s="27"/>
      <c r="B130" s="33" t="str">
        <f aca="false">IFERROR(INDEX(Customers!$C$4:$C$1003,MATCH($A130,Customers!$A$4:$A$1003,0)),"")</f>
        <v/>
      </c>
      <c r="C130" s="31" t="str">
        <f aca="false">IFERROR(INDEX(Customers!$F$4:$F$1003,MATCH($A130,Customers!$A$4:$A$1003,0)),"")</f>
        <v/>
      </c>
      <c r="D130" s="27"/>
      <c r="E130" s="27"/>
      <c r="F130" s="27"/>
      <c r="G130" s="27"/>
      <c r="H130" s="27"/>
      <c r="I130" s="27"/>
      <c r="J130" s="27"/>
      <c r="K130" s="27"/>
      <c r="L130" s="27"/>
      <c r="M130" s="27"/>
      <c r="N130" s="27"/>
      <c r="O130" s="30" t="str">
        <f aca="false">IF($A130="","",COUNTIF($D130:$N130,"Yes"))</f>
        <v/>
      </c>
      <c r="P130" s="30" t="str">
        <f aca="false">IF($A130="","",COUNTA($D$3:$N$3))</f>
        <v/>
      </c>
      <c r="Q130" s="35" t="str">
        <f aca="false">IF($A130="","",IFERROR($O130/$P130,""))</f>
        <v/>
      </c>
      <c r="R130" s="31" t="str">
        <f aca="false">IF($A130="","",IF($Q130=1,"Complete",IF($Q130&gt;=0.7,"Almost Complete",IF($Q130&gt;0,"In Progress","Not Started"))))</f>
        <v/>
      </c>
      <c r="S130" s="28"/>
      <c r="T130" s="29"/>
      <c r="U130" s="32"/>
    </row>
    <row r="131" customFormat="false" ht="15.75" hidden="false" customHeight="true" outlineLevel="0" collapsed="false">
      <c r="A131" s="27"/>
      <c r="B131" s="33" t="str">
        <f aca="false">IFERROR(INDEX(Customers!$C$4:$C$1003,MATCH($A131,Customers!$A$4:$A$1003,0)),"")</f>
        <v/>
      </c>
      <c r="C131" s="31" t="str">
        <f aca="false">IFERROR(INDEX(Customers!$F$4:$F$1003,MATCH($A131,Customers!$A$4:$A$1003,0)),"")</f>
        <v/>
      </c>
      <c r="D131" s="27"/>
      <c r="E131" s="27"/>
      <c r="F131" s="27"/>
      <c r="G131" s="27"/>
      <c r="H131" s="27"/>
      <c r="I131" s="27"/>
      <c r="J131" s="27"/>
      <c r="K131" s="27"/>
      <c r="L131" s="27"/>
      <c r="M131" s="27"/>
      <c r="N131" s="27"/>
      <c r="O131" s="30" t="str">
        <f aca="false">IF($A131="","",COUNTIF($D131:$N131,"Yes"))</f>
        <v/>
      </c>
      <c r="P131" s="30" t="str">
        <f aca="false">IF($A131="","",COUNTA($D$3:$N$3))</f>
        <v/>
      </c>
      <c r="Q131" s="35" t="str">
        <f aca="false">IF($A131="","",IFERROR($O131/$P131,""))</f>
        <v/>
      </c>
      <c r="R131" s="31" t="str">
        <f aca="false">IF($A131="","",IF($Q131=1,"Complete",IF($Q131&gt;=0.7,"Almost Complete",IF($Q131&gt;0,"In Progress","Not Started"))))</f>
        <v/>
      </c>
      <c r="S131" s="28"/>
      <c r="T131" s="29"/>
      <c r="U131" s="32"/>
    </row>
    <row r="132" customFormat="false" ht="15.75" hidden="false" customHeight="true" outlineLevel="0" collapsed="false">
      <c r="A132" s="27"/>
      <c r="B132" s="33" t="str">
        <f aca="false">IFERROR(INDEX(Customers!$C$4:$C$1003,MATCH($A132,Customers!$A$4:$A$1003,0)),"")</f>
        <v/>
      </c>
      <c r="C132" s="31" t="str">
        <f aca="false">IFERROR(INDEX(Customers!$F$4:$F$1003,MATCH($A132,Customers!$A$4:$A$1003,0)),"")</f>
        <v/>
      </c>
      <c r="D132" s="27"/>
      <c r="E132" s="27"/>
      <c r="F132" s="27"/>
      <c r="G132" s="27"/>
      <c r="H132" s="27"/>
      <c r="I132" s="27"/>
      <c r="J132" s="27"/>
      <c r="K132" s="27"/>
      <c r="L132" s="27"/>
      <c r="M132" s="27"/>
      <c r="N132" s="27"/>
      <c r="O132" s="30" t="str">
        <f aca="false">IF($A132="","",COUNTIF($D132:$N132,"Yes"))</f>
        <v/>
      </c>
      <c r="P132" s="30" t="str">
        <f aca="false">IF($A132="","",COUNTA($D$3:$N$3))</f>
        <v/>
      </c>
      <c r="Q132" s="35" t="str">
        <f aca="false">IF($A132="","",IFERROR($O132/$P132,""))</f>
        <v/>
      </c>
      <c r="R132" s="31" t="str">
        <f aca="false">IF($A132="","",IF($Q132=1,"Complete",IF($Q132&gt;=0.7,"Almost Complete",IF($Q132&gt;0,"In Progress","Not Started"))))</f>
        <v/>
      </c>
      <c r="S132" s="28"/>
      <c r="T132" s="29"/>
      <c r="U132" s="32"/>
    </row>
    <row r="133" customFormat="false" ht="15.75" hidden="false" customHeight="true" outlineLevel="0" collapsed="false">
      <c r="A133" s="27"/>
      <c r="B133" s="33" t="str">
        <f aca="false">IFERROR(INDEX(Customers!$C$4:$C$1003,MATCH($A133,Customers!$A$4:$A$1003,0)),"")</f>
        <v/>
      </c>
      <c r="C133" s="31" t="str">
        <f aca="false">IFERROR(INDEX(Customers!$F$4:$F$1003,MATCH($A133,Customers!$A$4:$A$1003,0)),"")</f>
        <v/>
      </c>
      <c r="D133" s="27"/>
      <c r="E133" s="27"/>
      <c r="F133" s="27"/>
      <c r="G133" s="27"/>
      <c r="H133" s="27"/>
      <c r="I133" s="27"/>
      <c r="J133" s="27"/>
      <c r="K133" s="27"/>
      <c r="L133" s="27"/>
      <c r="M133" s="27"/>
      <c r="N133" s="27"/>
      <c r="O133" s="30" t="str">
        <f aca="false">IF($A133="","",COUNTIF($D133:$N133,"Yes"))</f>
        <v/>
      </c>
      <c r="P133" s="30" t="str">
        <f aca="false">IF($A133="","",COUNTA($D$3:$N$3))</f>
        <v/>
      </c>
      <c r="Q133" s="35" t="str">
        <f aca="false">IF($A133="","",IFERROR($O133/$P133,""))</f>
        <v/>
      </c>
      <c r="R133" s="31" t="str">
        <f aca="false">IF($A133="","",IF($Q133=1,"Complete",IF($Q133&gt;=0.7,"Almost Complete",IF($Q133&gt;0,"In Progress","Not Started"))))</f>
        <v/>
      </c>
      <c r="S133" s="28"/>
      <c r="T133" s="29"/>
      <c r="U133" s="32"/>
    </row>
    <row r="134" customFormat="false" ht="15.75" hidden="false" customHeight="true" outlineLevel="0" collapsed="false">
      <c r="A134" s="27"/>
      <c r="B134" s="33" t="str">
        <f aca="false">IFERROR(INDEX(Customers!$C$4:$C$1003,MATCH($A134,Customers!$A$4:$A$1003,0)),"")</f>
        <v/>
      </c>
      <c r="C134" s="31" t="str">
        <f aca="false">IFERROR(INDEX(Customers!$F$4:$F$1003,MATCH($A134,Customers!$A$4:$A$1003,0)),"")</f>
        <v/>
      </c>
      <c r="D134" s="27"/>
      <c r="E134" s="27"/>
      <c r="F134" s="27"/>
      <c r="G134" s="27"/>
      <c r="H134" s="27"/>
      <c r="I134" s="27"/>
      <c r="J134" s="27"/>
      <c r="K134" s="27"/>
      <c r="L134" s="27"/>
      <c r="M134" s="27"/>
      <c r="N134" s="27"/>
      <c r="O134" s="30" t="str">
        <f aca="false">IF($A134="","",COUNTIF($D134:$N134,"Yes"))</f>
        <v/>
      </c>
      <c r="P134" s="30" t="str">
        <f aca="false">IF($A134="","",COUNTA($D$3:$N$3))</f>
        <v/>
      </c>
      <c r="Q134" s="35" t="str">
        <f aca="false">IF($A134="","",IFERROR($O134/$P134,""))</f>
        <v/>
      </c>
      <c r="R134" s="31" t="str">
        <f aca="false">IF($A134="","",IF($Q134=1,"Complete",IF($Q134&gt;=0.7,"Almost Complete",IF($Q134&gt;0,"In Progress","Not Started"))))</f>
        <v/>
      </c>
      <c r="S134" s="28"/>
      <c r="T134" s="29"/>
      <c r="U134" s="32"/>
    </row>
    <row r="135" customFormat="false" ht="15.75" hidden="false" customHeight="true" outlineLevel="0" collapsed="false">
      <c r="A135" s="27"/>
      <c r="B135" s="33" t="str">
        <f aca="false">IFERROR(INDEX(Customers!$C$4:$C$1003,MATCH($A135,Customers!$A$4:$A$1003,0)),"")</f>
        <v/>
      </c>
      <c r="C135" s="31" t="str">
        <f aca="false">IFERROR(INDEX(Customers!$F$4:$F$1003,MATCH($A135,Customers!$A$4:$A$1003,0)),"")</f>
        <v/>
      </c>
      <c r="D135" s="27"/>
      <c r="E135" s="27"/>
      <c r="F135" s="27"/>
      <c r="G135" s="27"/>
      <c r="H135" s="27"/>
      <c r="I135" s="27"/>
      <c r="J135" s="27"/>
      <c r="K135" s="27"/>
      <c r="L135" s="27"/>
      <c r="M135" s="27"/>
      <c r="N135" s="27"/>
      <c r="O135" s="30" t="str">
        <f aca="false">IF($A135="","",COUNTIF($D135:$N135,"Yes"))</f>
        <v/>
      </c>
      <c r="P135" s="30" t="str">
        <f aca="false">IF($A135="","",COUNTA($D$3:$N$3))</f>
        <v/>
      </c>
      <c r="Q135" s="35" t="str">
        <f aca="false">IF($A135="","",IFERROR($O135/$P135,""))</f>
        <v/>
      </c>
      <c r="R135" s="31" t="str">
        <f aca="false">IF($A135="","",IF($Q135=1,"Complete",IF($Q135&gt;=0.7,"Almost Complete",IF($Q135&gt;0,"In Progress","Not Started"))))</f>
        <v/>
      </c>
      <c r="S135" s="28"/>
      <c r="T135" s="29"/>
      <c r="U135" s="32"/>
    </row>
    <row r="136" customFormat="false" ht="15.75" hidden="false" customHeight="true" outlineLevel="0" collapsed="false">
      <c r="A136" s="27"/>
      <c r="B136" s="33" t="str">
        <f aca="false">IFERROR(INDEX(Customers!$C$4:$C$1003,MATCH($A136,Customers!$A$4:$A$1003,0)),"")</f>
        <v/>
      </c>
      <c r="C136" s="31" t="str">
        <f aca="false">IFERROR(INDEX(Customers!$F$4:$F$1003,MATCH($A136,Customers!$A$4:$A$1003,0)),"")</f>
        <v/>
      </c>
      <c r="D136" s="27"/>
      <c r="E136" s="27"/>
      <c r="F136" s="27"/>
      <c r="G136" s="27"/>
      <c r="H136" s="27"/>
      <c r="I136" s="27"/>
      <c r="J136" s="27"/>
      <c r="K136" s="27"/>
      <c r="L136" s="27"/>
      <c r="M136" s="27"/>
      <c r="N136" s="27"/>
      <c r="O136" s="30" t="str">
        <f aca="false">IF($A136="","",COUNTIF($D136:$N136,"Yes"))</f>
        <v/>
      </c>
      <c r="P136" s="30" t="str">
        <f aca="false">IF($A136="","",COUNTA($D$3:$N$3))</f>
        <v/>
      </c>
      <c r="Q136" s="35" t="str">
        <f aca="false">IF($A136="","",IFERROR($O136/$P136,""))</f>
        <v/>
      </c>
      <c r="R136" s="31" t="str">
        <f aca="false">IF($A136="","",IF($Q136=1,"Complete",IF($Q136&gt;=0.7,"Almost Complete",IF($Q136&gt;0,"In Progress","Not Started"))))</f>
        <v/>
      </c>
      <c r="S136" s="28"/>
      <c r="T136" s="29"/>
      <c r="U136" s="32"/>
    </row>
    <row r="137" customFormat="false" ht="15.75" hidden="false" customHeight="true" outlineLevel="0" collapsed="false">
      <c r="A137" s="27"/>
      <c r="B137" s="33" t="str">
        <f aca="false">IFERROR(INDEX(Customers!$C$4:$C$1003,MATCH($A137,Customers!$A$4:$A$1003,0)),"")</f>
        <v/>
      </c>
      <c r="C137" s="31" t="str">
        <f aca="false">IFERROR(INDEX(Customers!$F$4:$F$1003,MATCH($A137,Customers!$A$4:$A$1003,0)),"")</f>
        <v/>
      </c>
      <c r="D137" s="27"/>
      <c r="E137" s="27"/>
      <c r="F137" s="27"/>
      <c r="G137" s="27"/>
      <c r="H137" s="27"/>
      <c r="I137" s="27"/>
      <c r="J137" s="27"/>
      <c r="K137" s="27"/>
      <c r="L137" s="27"/>
      <c r="M137" s="27"/>
      <c r="N137" s="27"/>
      <c r="O137" s="30" t="str">
        <f aca="false">IF($A137="","",COUNTIF($D137:$N137,"Yes"))</f>
        <v/>
      </c>
      <c r="P137" s="30" t="str">
        <f aca="false">IF($A137="","",COUNTA($D$3:$N$3))</f>
        <v/>
      </c>
      <c r="Q137" s="35" t="str">
        <f aca="false">IF($A137="","",IFERROR($O137/$P137,""))</f>
        <v/>
      </c>
      <c r="R137" s="31" t="str">
        <f aca="false">IF($A137="","",IF($Q137=1,"Complete",IF($Q137&gt;=0.7,"Almost Complete",IF($Q137&gt;0,"In Progress","Not Started"))))</f>
        <v/>
      </c>
      <c r="S137" s="28"/>
      <c r="T137" s="29"/>
      <c r="U137" s="32"/>
    </row>
    <row r="138" customFormat="false" ht="15.75" hidden="false" customHeight="true" outlineLevel="0" collapsed="false">
      <c r="A138" s="27"/>
      <c r="B138" s="33" t="str">
        <f aca="false">IFERROR(INDEX(Customers!$C$4:$C$1003,MATCH($A138,Customers!$A$4:$A$1003,0)),"")</f>
        <v/>
      </c>
      <c r="C138" s="31" t="str">
        <f aca="false">IFERROR(INDEX(Customers!$F$4:$F$1003,MATCH($A138,Customers!$A$4:$A$1003,0)),"")</f>
        <v/>
      </c>
      <c r="D138" s="27"/>
      <c r="E138" s="27"/>
      <c r="F138" s="27"/>
      <c r="G138" s="27"/>
      <c r="H138" s="27"/>
      <c r="I138" s="27"/>
      <c r="J138" s="27"/>
      <c r="K138" s="27"/>
      <c r="L138" s="27"/>
      <c r="M138" s="27"/>
      <c r="N138" s="27"/>
      <c r="O138" s="30" t="str">
        <f aca="false">IF($A138="","",COUNTIF($D138:$N138,"Yes"))</f>
        <v/>
      </c>
      <c r="P138" s="30" t="str">
        <f aca="false">IF($A138="","",COUNTA($D$3:$N$3))</f>
        <v/>
      </c>
      <c r="Q138" s="35" t="str">
        <f aca="false">IF($A138="","",IFERROR($O138/$P138,""))</f>
        <v/>
      </c>
      <c r="R138" s="31" t="str">
        <f aca="false">IF($A138="","",IF($Q138=1,"Complete",IF($Q138&gt;=0.7,"Almost Complete",IF($Q138&gt;0,"In Progress","Not Started"))))</f>
        <v/>
      </c>
      <c r="S138" s="28"/>
      <c r="T138" s="29"/>
      <c r="U138" s="32"/>
    </row>
    <row r="139" customFormat="false" ht="15.75" hidden="false" customHeight="true" outlineLevel="0" collapsed="false">
      <c r="A139" s="27"/>
      <c r="B139" s="33" t="str">
        <f aca="false">IFERROR(INDEX(Customers!$C$4:$C$1003,MATCH($A139,Customers!$A$4:$A$1003,0)),"")</f>
        <v/>
      </c>
      <c r="C139" s="31" t="str">
        <f aca="false">IFERROR(INDEX(Customers!$F$4:$F$1003,MATCH($A139,Customers!$A$4:$A$1003,0)),"")</f>
        <v/>
      </c>
      <c r="D139" s="27"/>
      <c r="E139" s="27"/>
      <c r="F139" s="27"/>
      <c r="G139" s="27"/>
      <c r="H139" s="27"/>
      <c r="I139" s="27"/>
      <c r="J139" s="27"/>
      <c r="K139" s="27"/>
      <c r="L139" s="27"/>
      <c r="M139" s="27"/>
      <c r="N139" s="27"/>
      <c r="O139" s="30" t="str">
        <f aca="false">IF($A139="","",COUNTIF($D139:$N139,"Yes"))</f>
        <v/>
      </c>
      <c r="P139" s="30" t="str">
        <f aca="false">IF($A139="","",COUNTA($D$3:$N$3))</f>
        <v/>
      </c>
      <c r="Q139" s="35" t="str">
        <f aca="false">IF($A139="","",IFERROR($O139/$P139,""))</f>
        <v/>
      </c>
      <c r="R139" s="31" t="str">
        <f aca="false">IF($A139="","",IF($Q139=1,"Complete",IF($Q139&gt;=0.7,"Almost Complete",IF($Q139&gt;0,"In Progress","Not Started"))))</f>
        <v/>
      </c>
      <c r="S139" s="28"/>
      <c r="T139" s="29"/>
      <c r="U139" s="32"/>
    </row>
    <row r="140" customFormat="false" ht="15.75" hidden="false" customHeight="true" outlineLevel="0" collapsed="false">
      <c r="A140" s="27"/>
      <c r="B140" s="33" t="str">
        <f aca="false">IFERROR(INDEX(Customers!$C$4:$C$1003,MATCH($A140,Customers!$A$4:$A$1003,0)),"")</f>
        <v/>
      </c>
      <c r="C140" s="31" t="str">
        <f aca="false">IFERROR(INDEX(Customers!$F$4:$F$1003,MATCH($A140,Customers!$A$4:$A$1003,0)),"")</f>
        <v/>
      </c>
      <c r="D140" s="27"/>
      <c r="E140" s="27"/>
      <c r="F140" s="27"/>
      <c r="G140" s="27"/>
      <c r="H140" s="27"/>
      <c r="I140" s="27"/>
      <c r="J140" s="27"/>
      <c r="K140" s="27"/>
      <c r="L140" s="27"/>
      <c r="M140" s="27"/>
      <c r="N140" s="27"/>
      <c r="O140" s="30" t="str">
        <f aca="false">IF($A140="","",COUNTIF($D140:$N140,"Yes"))</f>
        <v/>
      </c>
      <c r="P140" s="30" t="str">
        <f aca="false">IF($A140="","",COUNTA($D$3:$N$3))</f>
        <v/>
      </c>
      <c r="Q140" s="35" t="str">
        <f aca="false">IF($A140="","",IFERROR($O140/$P140,""))</f>
        <v/>
      </c>
      <c r="R140" s="31" t="str">
        <f aca="false">IF($A140="","",IF($Q140=1,"Complete",IF($Q140&gt;=0.7,"Almost Complete",IF($Q140&gt;0,"In Progress","Not Started"))))</f>
        <v/>
      </c>
      <c r="S140" s="28"/>
      <c r="T140" s="29"/>
      <c r="U140" s="32"/>
    </row>
    <row r="141" customFormat="false" ht="15.75" hidden="false" customHeight="true" outlineLevel="0" collapsed="false">
      <c r="A141" s="27"/>
      <c r="B141" s="33" t="str">
        <f aca="false">IFERROR(INDEX(Customers!$C$4:$C$1003,MATCH($A141,Customers!$A$4:$A$1003,0)),"")</f>
        <v/>
      </c>
      <c r="C141" s="31" t="str">
        <f aca="false">IFERROR(INDEX(Customers!$F$4:$F$1003,MATCH($A141,Customers!$A$4:$A$1003,0)),"")</f>
        <v/>
      </c>
      <c r="D141" s="27"/>
      <c r="E141" s="27"/>
      <c r="F141" s="27"/>
      <c r="G141" s="27"/>
      <c r="H141" s="27"/>
      <c r="I141" s="27"/>
      <c r="J141" s="27"/>
      <c r="K141" s="27"/>
      <c r="L141" s="27"/>
      <c r="M141" s="27"/>
      <c r="N141" s="27"/>
      <c r="O141" s="30" t="str">
        <f aca="false">IF($A141="","",COUNTIF($D141:$N141,"Yes"))</f>
        <v/>
      </c>
      <c r="P141" s="30" t="str">
        <f aca="false">IF($A141="","",COUNTA($D$3:$N$3))</f>
        <v/>
      </c>
      <c r="Q141" s="35" t="str">
        <f aca="false">IF($A141="","",IFERROR($O141/$P141,""))</f>
        <v/>
      </c>
      <c r="R141" s="31" t="str">
        <f aca="false">IF($A141="","",IF($Q141=1,"Complete",IF($Q141&gt;=0.7,"Almost Complete",IF($Q141&gt;0,"In Progress","Not Started"))))</f>
        <v/>
      </c>
      <c r="S141" s="28"/>
      <c r="T141" s="29"/>
      <c r="U141" s="32"/>
    </row>
    <row r="142" customFormat="false" ht="15.75" hidden="false" customHeight="true" outlineLevel="0" collapsed="false">
      <c r="A142" s="27"/>
      <c r="B142" s="33" t="str">
        <f aca="false">IFERROR(INDEX(Customers!$C$4:$C$1003,MATCH($A142,Customers!$A$4:$A$1003,0)),"")</f>
        <v/>
      </c>
      <c r="C142" s="31" t="str">
        <f aca="false">IFERROR(INDEX(Customers!$F$4:$F$1003,MATCH($A142,Customers!$A$4:$A$1003,0)),"")</f>
        <v/>
      </c>
      <c r="D142" s="27"/>
      <c r="E142" s="27"/>
      <c r="F142" s="27"/>
      <c r="G142" s="27"/>
      <c r="H142" s="27"/>
      <c r="I142" s="27"/>
      <c r="J142" s="27"/>
      <c r="K142" s="27"/>
      <c r="L142" s="27"/>
      <c r="M142" s="27"/>
      <c r="N142" s="27"/>
      <c r="O142" s="30" t="str">
        <f aca="false">IF($A142="","",COUNTIF($D142:$N142,"Yes"))</f>
        <v/>
      </c>
      <c r="P142" s="30" t="str">
        <f aca="false">IF($A142="","",COUNTA($D$3:$N$3))</f>
        <v/>
      </c>
      <c r="Q142" s="35" t="str">
        <f aca="false">IF($A142="","",IFERROR($O142/$P142,""))</f>
        <v/>
      </c>
      <c r="R142" s="31" t="str">
        <f aca="false">IF($A142="","",IF($Q142=1,"Complete",IF($Q142&gt;=0.7,"Almost Complete",IF($Q142&gt;0,"In Progress","Not Started"))))</f>
        <v/>
      </c>
      <c r="S142" s="28"/>
      <c r="T142" s="29"/>
      <c r="U142" s="32"/>
    </row>
    <row r="143" customFormat="false" ht="15.75" hidden="false" customHeight="true" outlineLevel="0" collapsed="false">
      <c r="A143" s="27"/>
      <c r="B143" s="33" t="str">
        <f aca="false">IFERROR(INDEX(Customers!$C$4:$C$1003,MATCH($A143,Customers!$A$4:$A$1003,0)),"")</f>
        <v/>
      </c>
      <c r="C143" s="31" t="str">
        <f aca="false">IFERROR(INDEX(Customers!$F$4:$F$1003,MATCH($A143,Customers!$A$4:$A$1003,0)),"")</f>
        <v/>
      </c>
      <c r="D143" s="27"/>
      <c r="E143" s="27"/>
      <c r="F143" s="27"/>
      <c r="G143" s="27"/>
      <c r="H143" s="27"/>
      <c r="I143" s="27"/>
      <c r="J143" s="27"/>
      <c r="K143" s="27"/>
      <c r="L143" s="27"/>
      <c r="M143" s="27"/>
      <c r="N143" s="27"/>
      <c r="O143" s="30" t="str">
        <f aca="false">IF($A143="","",COUNTIF($D143:$N143,"Yes"))</f>
        <v/>
      </c>
      <c r="P143" s="30" t="str">
        <f aca="false">IF($A143="","",COUNTA($D$3:$N$3))</f>
        <v/>
      </c>
      <c r="Q143" s="35" t="str">
        <f aca="false">IF($A143="","",IFERROR($O143/$P143,""))</f>
        <v/>
      </c>
      <c r="R143" s="31" t="str">
        <f aca="false">IF($A143="","",IF($Q143=1,"Complete",IF($Q143&gt;=0.7,"Almost Complete",IF($Q143&gt;0,"In Progress","Not Started"))))</f>
        <v/>
      </c>
      <c r="S143" s="28"/>
      <c r="T143" s="29"/>
      <c r="U143" s="32"/>
    </row>
    <row r="144" customFormat="false" ht="15.75" hidden="false" customHeight="true" outlineLevel="0" collapsed="false">
      <c r="A144" s="27"/>
      <c r="B144" s="33" t="str">
        <f aca="false">IFERROR(INDEX(Customers!$C$4:$C$1003,MATCH($A144,Customers!$A$4:$A$1003,0)),"")</f>
        <v/>
      </c>
      <c r="C144" s="31" t="str">
        <f aca="false">IFERROR(INDEX(Customers!$F$4:$F$1003,MATCH($A144,Customers!$A$4:$A$1003,0)),"")</f>
        <v/>
      </c>
      <c r="D144" s="27"/>
      <c r="E144" s="27"/>
      <c r="F144" s="27"/>
      <c r="G144" s="27"/>
      <c r="H144" s="27"/>
      <c r="I144" s="27"/>
      <c r="J144" s="27"/>
      <c r="K144" s="27"/>
      <c r="L144" s="27"/>
      <c r="M144" s="27"/>
      <c r="N144" s="27"/>
      <c r="O144" s="30" t="str">
        <f aca="false">IF($A144="","",COUNTIF($D144:$N144,"Yes"))</f>
        <v/>
      </c>
      <c r="P144" s="30" t="str">
        <f aca="false">IF($A144="","",COUNTA($D$3:$N$3))</f>
        <v/>
      </c>
      <c r="Q144" s="35" t="str">
        <f aca="false">IF($A144="","",IFERROR($O144/$P144,""))</f>
        <v/>
      </c>
      <c r="R144" s="31" t="str">
        <f aca="false">IF($A144="","",IF($Q144=1,"Complete",IF($Q144&gt;=0.7,"Almost Complete",IF($Q144&gt;0,"In Progress","Not Started"))))</f>
        <v/>
      </c>
      <c r="S144" s="28"/>
      <c r="T144" s="29"/>
      <c r="U144" s="32"/>
    </row>
    <row r="145" customFormat="false" ht="15.75" hidden="false" customHeight="true" outlineLevel="0" collapsed="false">
      <c r="A145" s="27"/>
      <c r="B145" s="33" t="str">
        <f aca="false">IFERROR(INDEX(Customers!$C$4:$C$1003,MATCH($A145,Customers!$A$4:$A$1003,0)),"")</f>
        <v/>
      </c>
      <c r="C145" s="31" t="str">
        <f aca="false">IFERROR(INDEX(Customers!$F$4:$F$1003,MATCH($A145,Customers!$A$4:$A$1003,0)),"")</f>
        <v/>
      </c>
      <c r="D145" s="27"/>
      <c r="E145" s="27"/>
      <c r="F145" s="27"/>
      <c r="G145" s="27"/>
      <c r="H145" s="27"/>
      <c r="I145" s="27"/>
      <c r="J145" s="27"/>
      <c r="K145" s="27"/>
      <c r="L145" s="27"/>
      <c r="M145" s="27"/>
      <c r="N145" s="27"/>
      <c r="O145" s="30" t="str">
        <f aca="false">IF($A145="","",COUNTIF($D145:$N145,"Yes"))</f>
        <v/>
      </c>
      <c r="P145" s="30" t="str">
        <f aca="false">IF($A145="","",COUNTA($D$3:$N$3))</f>
        <v/>
      </c>
      <c r="Q145" s="35" t="str">
        <f aca="false">IF($A145="","",IFERROR($O145/$P145,""))</f>
        <v/>
      </c>
      <c r="R145" s="31" t="str">
        <f aca="false">IF($A145="","",IF($Q145=1,"Complete",IF($Q145&gt;=0.7,"Almost Complete",IF($Q145&gt;0,"In Progress","Not Started"))))</f>
        <v/>
      </c>
      <c r="S145" s="28"/>
      <c r="T145" s="29"/>
      <c r="U145" s="32"/>
    </row>
    <row r="146" customFormat="false" ht="15.75" hidden="false" customHeight="true" outlineLevel="0" collapsed="false">
      <c r="A146" s="27"/>
      <c r="B146" s="33" t="str">
        <f aca="false">IFERROR(INDEX(Customers!$C$4:$C$1003,MATCH($A146,Customers!$A$4:$A$1003,0)),"")</f>
        <v/>
      </c>
      <c r="C146" s="31" t="str">
        <f aca="false">IFERROR(INDEX(Customers!$F$4:$F$1003,MATCH($A146,Customers!$A$4:$A$1003,0)),"")</f>
        <v/>
      </c>
      <c r="D146" s="27"/>
      <c r="E146" s="27"/>
      <c r="F146" s="27"/>
      <c r="G146" s="27"/>
      <c r="H146" s="27"/>
      <c r="I146" s="27"/>
      <c r="J146" s="27"/>
      <c r="K146" s="27"/>
      <c r="L146" s="27"/>
      <c r="M146" s="27"/>
      <c r="N146" s="27"/>
      <c r="O146" s="30" t="str">
        <f aca="false">IF($A146="","",COUNTIF($D146:$N146,"Yes"))</f>
        <v/>
      </c>
      <c r="P146" s="30" t="str">
        <f aca="false">IF($A146="","",COUNTA($D$3:$N$3))</f>
        <v/>
      </c>
      <c r="Q146" s="35" t="str">
        <f aca="false">IF($A146="","",IFERROR($O146/$P146,""))</f>
        <v/>
      </c>
      <c r="R146" s="31" t="str">
        <f aca="false">IF($A146="","",IF($Q146=1,"Complete",IF($Q146&gt;=0.7,"Almost Complete",IF($Q146&gt;0,"In Progress","Not Started"))))</f>
        <v/>
      </c>
      <c r="S146" s="28"/>
      <c r="T146" s="29"/>
      <c r="U146" s="32"/>
    </row>
    <row r="147" customFormat="false" ht="15.75" hidden="false" customHeight="true" outlineLevel="0" collapsed="false">
      <c r="A147" s="27"/>
      <c r="B147" s="33" t="str">
        <f aca="false">IFERROR(INDEX(Customers!$C$4:$C$1003,MATCH($A147,Customers!$A$4:$A$1003,0)),"")</f>
        <v/>
      </c>
      <c r="C147" s="31" t="str">
        <f aca="false">IFERROR(INDEX(Customers!$F$4:$F$1003,MATCH($A147,Customers!$A$4:$A$1003,0)),"")</f>
        <v/>
      </c>
      <c r="D147" s="27"/>
      <c r="E147" s="27"/>
      <c r="F147" s="27"/>
      <c r="G147" s="27"/>
      <c r="H147" s="27"/>
      <c r="I147" s="27"/>
      <c r="J147" s="27"/>
      <c r="K147" s="27"/>
      <c r="L147" s="27"/>
      <c r="M147" s="27"/>
      <c r="N147" s="27"/>
      <c r="O147" s="30" t="str">
        <f aca="false">IF($A147="","",COUNTIF($D147:$N147,"Yes"))</f>
        <v/>
      </c>
      <c r="P147" s="30" t="str">
        <f aca="false">IF($A147="","",COUNTA($D$3:$N$3))</f>
        <v/>
      </c>
      <c r="Q147" s="35" t="str">
        <f aca="false">IF($A147="","",IFERROR($O147/$P147,""))</f>
        <v/>
      </c>
      <c r="R147" s="31" t="str">
        <f aca="false">IF($A147="","",IF($Q147=1,"Complete",IF($Q147&gt;=0.7,"Almost Complete",IF($Q147&gt;0,"In Progress","Not Started"))))</f>
        <v/>
      </c>
      <c r="S147" s="28"/>
      <c r="T147" s="29"/>
      <c r="U147" s="32"/>
    </row>
    <row r="148" customFormat="false" ht="15.75" hidden="false" customHeight="true" outlineLevel="0" collapsed="false">
      <c r="A148" s="27"/>
      <c r="B148" s="33" t="str">
        <f aca="false">IFERROR(INDEX(Customers!$C$4:$C$1003,MATCH($A148,Customers!$A$4:$A$1003,0)),"")</f>
        <v/>
      </c>
      <c r="C148" s="31" t="str">
        <f aca="false">IFERROR(INDEX(Customers!$F$4:$F$1003,MATCH($A148,Customers!$A$4:$A$1003,0)),"")</f>
        <v/>
      </c>
      <c r="D148" s="27"/>
      <c r="E148" s="27"/>
      <c r="F148" s="27"/>
      <c r="G148" s="27"/>
      <c r="H148" s="27"/>
      <c r="I148" s="27"/>
      <c r="J148" s="27"/>
      <c r="K148" s="27"/>
      <c r="L148" s="27"/>
      <c r="M148" s="27"/>
      <c r="N148" s="27"/>
      <c r="O148" s="30" t="str">
        <f aca="false">IF($A148="","",COUNTIF($D148:$N148,"Yes"))</f>
        <v/>
      </c>
      <c r="P148" s="30" t="str">
        <f aca="false">IF($A148="","",COUNTA($D$3:$N$3))</f>
        <v/>
      </c>
      <c r="Q148" s="35" t="str">
        <f aca="false">IF($A148="","",IFERROR($O148/$P148,""))</f>
        <v/>
      </c>
      <c r="R148" s="31" t="str">
        <f aca="false">IF($A148="","",IF($Q148=1,"Complete",IF($Q148&gt;=0.7,"Almost Complete",IF($Q148&gt;0,"In Progress","Not Started"))))</f>
        <v/>
      </c>
      <c r="S148" s="28"/>
      <c r="T148" s="29"/>
      <c r="U148" s="32"/>
    </row>
    <row r="149" customFormat="false" ht="15.75" hidden="false" customHeight="true" outlineLevel="0" collapsed="false">
      <c r="A149" s="27"/>
      <c r="B149" s="33" t="str">
        <f aca="false">IFERROR(INDEX(Customers!$C$4:$C$1003,MATCH($A149,Customers!$A$4:$A$1003,0)),"")</f>
        <v/>
      </c>
      <c r="C149" s="31" t="str">
        <f aca="false">IFERROR(INDEX(Customers!$F$4:$F$1003,MATCH($A149,Customers!$A$4:$A$1003,0)),"")</f>
        <v/>
      </c>
      <c r="D149" s="27"/>
      <c r="E149" s="27"/>
      <c r="F149" s="27"/>
      <c r="G149" s="27"/>
      <c r="H149" s="27"/>
      <c r="I149" s="27"/>
      <c r="J149" s="27"/>
      <c r="K149" s="27"/>
      <c r="L149" s="27"/>
      <c r="M149" s="27"/>
      <c r="N149" s="27"/>
      <c r="O149" s="30" t="str">
        <f aca="false">IF($A149="","",COUNTIF($D149:$N149,"Yes"))</f>
        <v/>
      </c>
      <c r="P149" s="30" t="str">
        <f aca="false">IF($A149="","",COUNTA($D$3:$N$3))</f>
        <v/>
      </c>
      <c r="Q149" s="35" t="str">
        <f aca="false">IF($A149="","",IFERROR($O149/$P149,""))</f>
        <v/>
      </c>
      <c r="R149" s="31" t="str">
        <f aca="false">IF($A149="","",IF($Q149=1,"Complete",IF($Q149&gt;=0.7,"Almost Complete",IF($Q149&gt;0,"In Progress","Not Started"))))</f>
        <v/>
      </c>
      <c r="S149" s="28"/>
      <c r="T149" s="29"/>
      <c r="U149" s="32"/>
    </row>
    <row r="150" customFormat="false" ht="15.75" hidden="false" customHeight="true" outlineLevel="0" collapsed="false">
      <c r="A150" s="27"/>
      <c r="B150" s="33" t="str">
        <f aca="false">IFERROR(INDEX(Customers!$C$4:$C$1003,MATCH($A150,Customers!$A$4:$A$1003,0)),"")</f>
        <v/>
      </c>
      <c r="C150" s="31" t="str">
        <f aca="false">IFERROR(INDEX(Customers!$F$4:$F$1003,MATCH($A150,Customers!$A$4:$A$1003,0)),"")</f>
        <v/>
      </c>
      <c r="D150" s="27"/>
      <c r="E150" s="27"/>
      <c r="F150" s="27"/>
      <c r="G150" s="27"/>
      <c r="H150" s="27"/>
      <c r="I150" s="27"/>
      <c r="J150" s="27"/>
      <c r="K150" s="27"/>
      <c r="L150" s="27"/>
      <c r="M150" s="27"/>
      <c r="N150" s="27"/>
      <c r="O150" s="30" t="str">
        <f aca="false">IF($A150="","",COUNTIF($D150:$N150,"Yes"))</f>
        <v/>
      </c>
      <c r="P150" s="30" t="str">
        <f aca="false">IF($A150="","",COUNTA($D$3:$N$3))</f>
        <v/>
      </c>
      <c r="Q150" s="35" t="str">
        <f aca="false">IF($A150="","",IFERROR($O150/$P150,""))</f>
        <v/>
      </c>
      <c r="R150" s="31" t="str">
        <f aca="false">IF($A150="","",IF($Q150=1,"Complete",IF($Q150&gt;=0.7,"Almost Complete",IF($Q150&gt;0,"In Progress","Not Started"))))</f>
        <v/>
      </c>
      <c r="S150" s="28"/>
      <c r="T150" s="29"/>
      <c r="U150" s="32"/>
    </row>
    <row r="151" customFormat="false" ht="15.75" hidden="false" customHeight="true" outlineLevel="0" collapsed="false">
      <c r="A151" s="27"/>
      <c r="B151" s="33" t="str">
        <f aca="false">IFERROR(INDEX(Customers!$C$4:$C$1003,MATCH($A151,Customers!$A$4:$A$1003,0)),"")</f>
        <v/>
      </c>
      <c r="C151" s="31" t="str">
        <f aca="false">IFERROR(INDEX(Customers!$F$4:$F$1003,MATCH($A151,Customers!$A$4:$A$1003,0)),"")</f>
        <v/>
      </c>
      <c r="D151" s="27"/>
      <c r="E151" s="27"/>
      <c r="F151" s="27"/>
      <c r="G151" s="27"/>
      <c r="H151" s="27"/>
      <c r="I151" s="27"/>
      <c r="J151" s="27"/>
      <c r="K151" s="27"/>
      <c r="L151" s="27"/>
      <c r="M151" s="27"/>
      <c r="N151" s="27"/>
      <c r="O151" s="30" t="str">
        <f aca="false">IF($A151="","",COUNTIF($D151:$N151,"Yes"))</f>
        <v/>
      </c>
      <c r="P151" s="30" t="str">
        <f aca="false">IF($A151="","",COUNTA($D$3:$N$3))</f>
        <v/>
      </c>
      <c r="Q151" s="35" t="str">
        <f aca="false">IF($A151="","",IFERROR($O151/$P151,""))</f>
        <v/>
      </c>
      <c r="R151" s="31" t="str">
        <f aca="false">IF($A151="","",IF($Q151=1,"Complete",IF($Q151&gt;=0.7,"Almost Complete",IF($Q151&gt;0,"In Progress","Not Started"))))</f>
        <v/>
      </c>
      <c r="S151" s="28"/>
      <c r="T151" s="29"/>
      <c r="U151" s="32"/>
    </row>
    <row r="152" customFormat="false" ht="15.75" hidden="false" customHeight="true" outlineLevel="0" collapsed="false">
      <c r="A152" s="27"/>
      <c r="B152" s="33" t="str">
        <f aca="false">IFERROR(INDEX(Customers!$C$4:$C$1003,MATCH($A152,Customers!$A$4:$A$1003,0)),"")</f>
        <v/>
      </c>
      <c r="C152" s="31" t="str">
        <f aca="false">IFERROR(INDEX(Customers!$F$4:$F$1003,MATCH($A152,Customers!$A$4:$A$1003,0)),"")</f>
        <v/>
      </c>
      <c r="D152" s="27"/>
      <c r="E152" s="27"/>
      <c r="F152" s="27"/>
      <c r="G152" s="27"/>
      <c r="H152" s="27"/>
      <c r="I152" s="27"/>
      <c r="J152" s="27"/>
      <c r="K152" s="27"/>
      <c r="L152" s="27"/>
      <c r="M152" s="27"/>
      <c r="N152" s="27"/>
      <c r="O152" s="30" t="str">
        <f aca="false">IF($A152="","",COUNTIF($D152:$N152,"Yes"))</f>
        <v/>
      </c>
      <c r="P152" s="30" t="str">
        <f aca="false">IF($A152="","",COUNTA($D$3:$N$3))</f>
        <v/>
      </c>
      <c r="Q152" s="35" t="str">
        <f aca="false">IF($A152="","",IFERROR($O152/$P152,""))</f>
        <v/>
      </c>
      <c r="R152" s="31" t="str">
        <f aca="false">IF($A152="","",IF($Q152=1,"Complete",IF($Q152&gt;=0.7,"Almost Complete",IF($Q152&gt;0,"In Progress","Not Started"))))</f>
        <v/>
      </c>
      <c r="S152" s="28"/>
      <c r="T152" s="29"/>
      <c r="U152" s="32"/>
    </row>
    <row r="153" customFormat="false" ht="15.75" hidden="false" customHeight="true" outlineLevel="0" collapsed="false">
      <c r="A153" s="27"/>
      <c r="B153" s="33" t="str">
        <f aca="false">IFERROR(INDEX(Customers!$C$4:$C$1003,MATCH($A153,Customers!$A$4:$A$1003,0)),"")</f>
        <v/>
      </c>
      <c r="C153" s="31" t="str">
        <f aca="false">IFERROR(INDEX(Customers!$F$4:$F$1003,MATCH($A153,Customers!$A$4:$A$1003,0)),"")</f>
        <v/>
      </c>
      <c r="D153" s="27"/>
      <c r="E153" s="27"/>
      <c r="F153" s="27"/>
      <c r="G153" s="27"/>
      <c r="H153" s="27"/>
      <c r="I153" s="27"/>
      <c r="J153" s="27"/>
      <c r="K153" s="27"/>
      <c r="L153" s="27"/>
      <c r="M153" s="27"/>
      <c r="N153" s="27"/>
      <c r="O153" s="30" t="str">
        <f aca="false">IF($A153="","",COUNTIF($D153:$N153,"Yes"))</f>
        <v/>
      </c>
      <c r="P153" s="30" t="str">
        <f aca="false">IF($A153="","",COUNTA($D$3:$N$3))</f>
        <v/>
      </c>
      <c r="Q153" s="35" t="str">
        <f aca="false">IF($A153="","",IFERROR($O153/$P153,""))</f>
        <v/>
      </c>
      <c r="R153" s="31" t="str">
        <f aca="false">IF($A153="","",IF($Q153=1,"Complete",IF($Q153&gt;=0.7,"Almost Complete",IF($Q153&gt;0,"In Progress","Not Started"))))</f>
        <v/>
      </c>
      <c r="S153" s="28"/>
      <c r="T153" s="29"/>
      <c r="U153" s="32"/>
    </row>
    <row r="154" customFormat="false" ht="15.75" hidden="false" customHeight="true" outlineLevel="0" collapsed="false">
      <c r="A154" s="27"/>
      <c r="B154" s="33" t="str">
        <f aca="false">IFERROR(INDEX(Customers!$C$4:$C$1003,MATCH($A154,Customers!$A$4:$A$1003,0)),"")</f>
        <v/>
      </c>
      <c r="C154" s="31" t="str">
        <f aca="false">IFERROR(INDEX(Customers!$F$4:$F$1003,MATCH($A154,Customers!$A$4:$A$1003,0)),"")</f>
        <v/>
      </c>
      <c r="D154" s="27"/>
      <c r="E154" s="27"/>
      <c r="F154" s="27"/>
      <c r="G154" s="27"/>
      <c r="H154" s="27"/>
      <c r="I154" s="27"/>
      <c r="J154" s="27"/>
      <c r="K154" s="27"/>
      <c r="L154" s="27"/>
      <c r="M154" s="27"/>
      <c r="N154" s="27"/>
      <c r="O154" s="30" t="str">
        <f aca="false">IF($A154="","",COUNTIF($D154:$N154,"Yes"))</f>
        <v/>
      </c>
      <c r="P154" s="30" t="str">
        <f aca="false">IF($A154="","",COUNTA($D$3:$N$3))</f>
        <v/>
      </c>
      <c r="Q154" s="35" t="str">
        <f aca="false">IF($A154="","",IFERROR($O154/$P154,""))</f>
        <v/>
      </c>
      <c r="R154" s="31" t="str">
        <f aca="false">IF($A154="","",IF($Q154=1,"Complete",IF($Q154&gt;=0.7,"Almost Complete",IF($Q154&gt;0,"In Progress","Not Started"))))</f>
        <v/>
      </c>
      <c r="S154" s="28"/>
      <c r="T154" s="29"/>
      <c r="U154" s="32"/>
    </row>
    <row r="155" customFormat="false" ht="15.75" hidden="false" customHeight="true" outlineLevel="0" collapsed="false">
      <c r="A155" s="27"/>
      <c r="B155" s="33" t="str">
        <f aca="false">IFERROR(INDEX(Customers!$C$4:$C$1003,MATCH($A155,Customers!$A$4:$A$1003,0)),"")</f>
        <v/>
      </c>
      <c r="C155" s="31" t="str">
        <f aca="false">IFERROR(INDEX(Customers!$F$4:$F$1003,MATCH($A155,Customers!$A$4:$A$1003,0)),"")</f>
        <v/>
      </c>
      <c r="D155" s="27"/>
      <c r="E155" s="27"/>
      <c r="F155" s="27"/>
      <c r="G155" s="27"/>
      <c r="H155" s="27"/>
      <c r="I155" s="27"/>
      <c r="J155" s="27"/>
      <c r="K155" s="27"/>
      <c r="L155" s="27"/>
      <c r="M155" s="27"/>
      <c r="N155" s="27"/>
      <c r="O155" s="30" t="str">
        <f aca="false">IF($A155="","",COUNTIF($D155:$N155,"Yes"))</f>
        <v/>
      </c>
      <c r="P155" s="30" t="str">
        <f aca="false">IF($A155="","",COUNTA($D$3:$N$3))</f>
        <v/>
      </c>
      <c r="Q155" s="35" t="str">
        <f aca="false">IF($A155="","",IFERROR($O155/$P155,""))</f>
        <v/>
      </c>
      <c r="R155" s="31" t="str">
        <f aca="false">IF($A155="","",IF($Q155=1,"Complete",IF($Q155&gt;=0.7,"Almost Complete",IF($Q155&gt;0,"In Progress","Not Started"))))</f>
        <v/>
      </c>
      <c r="S155" s="28"/>
      <c r="T155" s="29"/>
      <c r="U155" s="32"/>
    </row>
    <row r="156" customFormat="false" ht="15.75" hidden="false" customHeight="true" outlineLevel="0" collapsed="false">
      <c r="A156" s="27"/>
      <c r="B156" s="33" t="str">
        <f aca="false">IFERROR(INDEX(Customers!$C$4:$C$1003,MATCH($A156,Customers!$A$4:$A$1003,0)),"")</f>
        <v/>
      </c>
      <c r="C156" s="31" t="str">
        <f aca="false">IFERROR(INDEX(Customers!$F$4:$F$1003,MATCH($A156,Customers!$A$4:$A$1003,0)),"")</f>
        <v/>
      </c>
      <c r="D156" s="27"/>
      <c r="E156" s="27"/>
      <c r="F156" s="27"/>
      <c r="G156" s="27"/>
      <c r="H156" s="27"/>
      <c r="I156" s="27"/>
      <c r="J156" s="27"/>
      <c r="K156" s="27"/>
      <c r="L156" s="27"/>
      <c r="M156" s="27"/>
      <c r="N156" s="27"/>
      <c r="O156" s="30" t="str">
        <f aca="false">IF($A156="","",COUNTIF($D156:$N156,"Yes"))</f>
        <v/>
      </c>
      <c r="P156" s="30" t="str">
        <f aca="false">IF($A156="","",COUNTA($D$3:$N$3))</f>
        <v/>
      </c>
      <c r="Q156" s="35" t="str">
        <f aca="false">IF($A156="","",IFERROR($O156/$P156,""))</f>
        <v/>
      </c>
      <c r="R156" s="31" t="str">
        <f aca="false">IF($A156="","",IF($Q156=1,"Complete",IF($Q156&gt;=0.7,"Almost Complete",IF($Q156&gt;0,"In Progress","Not Started"))))</f>
        <v/>
      </c>
      <c r="S156" s="28"/>
      <c r="T156" s="29"/>
      <c r="U156" s="32"/>
    </row>
    <row r="157" customFormat="false" ht="15.75" hidden="false" customHeight="true" outlineLevel="0" collapsed="false">
      <c r="A157" s="27"/>
      <c r="B157" s="33" t="str">
        <f aca="false">IFERROR(INDEX(Customers!$C$4:$C$1003,MATCH($A157,Customers!$A$4:$A$1003,0)),"")</f>
        <v/>
      </c>
      <c r="C157" s="31" t="str">
        <f aca="false">IFERROR(INDEX(Customers!$F$4:$F$1003,MATCH($A157,Customers!$A$4:$A$1003,0)),"")</f>
        <v/>
      </c>
      <c r="D157" s="27"/>
      <c r="E157" s="27"/>
      <c r="F157" s="27"/>
      <c r="G157" s="27"/>
      <c r="H157" s="27"/>
      <c r="I157" s="27"/>
      <c r="J157" s="27"/>
      <c r="K157" s="27"/>
      <c r="L157" s="27"/>
      <c r="M157" s="27"/>
      <c r="N157" s="27"/>
      <c r="O157" s="30" t="str">
        <f aca="false">IF($A157="","",COUNTIF($D157:$N157,"Yes"))</f>
        <v/>
      </c>
      <c r="P157" s="30" t="str">
        <f aca="false">IF($A157="","",COUNTA($D$3:$N$3))</f>
        <v/>
      </c>
      <c r="Q157" s="35" t="str">
        <f aca="false">IF($A157="","",IFERROR($O157/$P157,""))</f>
        <v/>
      </c>
      <c r="R157" s="31" t="str">
        <f aca="false">IF($A157="","",IF($Q157=1,"Complete",IF($Q157&gt;=0.7,"Almost Complete",IF($Q157&gt;0,"In Progress","Not Started"))))</f>
        <v/>
      </c>
      <c r="S157" s="28"/>
      <c r="T157" s="29"/>
      <c r="U157" s="32"/>
    </row>
    <row r="158" customFormat="false" ht="15.75" hidden="false" customHeight="true" outlineLevel="0" collapsed="false">
      <c r="A158" s="27"/>
      <c r="B158" s="33" t="str">
        <f aca="false">IFERROR(INDEX(Customers!$C$4:$C$1003,MATCH($A158,Customers!$A$4:$A$1003,0)),"")</f>
        <v/>
      </c>
      <c r="C158" s="31" t="str">
        <f aca="false">IFERROR(INDEX(Customers!$F$4:$F$1003,MATCH($A158,Customers!$A$4:$A$1003,0)),"")</f>
        <v/>
      </c>
      <c r="D158" s="27"/>
      <c r="E158" s="27"/>
      <c r="F158" s="27"/>
      <c r="G158" s="27"/>
      <c r="H158" s="27"/>
      <c r="I158" s="27"/>
      <c r="J158" s="27"/>
      <c r="K158" s="27"/>
      <c r="L158" s="27"/>
      <c r="M158" s="27"/>
      <c r="N158" s="27"/>
      <c r="O158" s="30" t="str">
        <f aca="false">IF($A158="","",COUNTIF($D158:$N158,"Yes"))</f>
        <v/>
      </c>
      <c r="P158" s="30" t="str">
        <f aca="false">IF($A158="","",COUNTA($D$3:$N$3))</f>
        <v/>
      </c>
      <c r="Q158" s="35" t="str">
        <f aca="false">IF($A158="","",IFERROR($O158/$P158,""))</f>
        <v/>
      </c>
      <c r="R158" s="31" t="str">
        <f aca="false">IF($A158="","",IF($Q158=1,"Complete",IF($Q158&gt;=0.7,"Almost Complete",IF($Q158&gt;0,"In Progress","Not Started"))))</f>
        <v/>
      </c>
      <c r="S158" s="28"/>
      <c r="T158" s="29"/>
      <c r="U158" s="32"/>
    </row>
    <row r="159" customFormat="false" ht="15.75" hidden="false" customHeight="true" outlineLevel="0" collapsed="false">
      <c r="A159" s="27"/>
      <c r="B159" s="33" t="str">
        <f aca="false">IFERROR(INDEX(Customers!$C$4:$C$1003,MATCH($A159,Customers!$A$4:$A$1003,0)),"")</f>
        <v/>
      </c>
      <c r="C159" s="31" t="str">
        <f aca="false">IFERROR(INDEX(Customers!$F$4:$F$1003,MATCH($A159,Customers!$A$4:$A$1003,0)),"")</f>
        <v/>
      </c>
      <c r="D159" s="27"/>
      <c r="E159" s="27"/>
      <c r="F159" s="27"/>
      <c r="G159" s="27"/>
      <c r="H159" s="27"/>
      <c r="I159" s="27"/>
      <c r="J159" s="27"/>
      <c r="K159" s="27"/>
      <c r="L159" s="27"/>
      <c r="M159" s="27"/>
      <c r="N159" s="27"/>
      <c r="O159" s="30" t="str">
        <f aca="false">IF($A159="","",COUNTIF($D159:$N159,"Yes"))</f>
        <v/>
      </c>
      <c r="P159" s="30" t="str">
        <f aca="false">IF($A159="","",COUNTA($D$3:$N$3))</f>
        <v/>
      </c>
      <c r="Q159" s="35" t="str">
        <f aca="false">IF($A159="","",IFERROR($O159/$P159,""))</f>
        <v/>
      </c>
      <c r="R159" s="31" t="str">
        <f aca="false">IF($A159="","",IF($Q159=1,"Complete",IF($Q159&gt;=0.7,"Almost Complete",IF($Q159&gt;0,"In Progress","Not Started"))))</f>
        <v/>
      </c>
      <c r="S159" s="28"/>
      <c r="T159" s="29"/>
      <c r="U159" s="32"/>
    </row>
    <row r="160" customFormat="false" ht="15.75" hidden="false" customHeight="true" outlineLevel="0" collapsed="false">
      <c r="A160" s="27"/>
      <c r="B160" s="33" t="str">
        <f aca="false">IFERROR(INDEX(Customers!$C$4:$C$1003,MATCH($A160,Customers!$A$4:$A$1003,0)),"")</f>
        <v/>
      </c>
      <c r="C160" s="31" t="str">
        <f aca="false">IFERROR(INDEX(Customers!$F$4:$F$1003,MATCH($A160,Customers!$A$4:$A$1003,0)),"")</f>
        <v/>
      </c>
      <c r="D160" s="27"/>
      <c r="E160" s="27"/>
      <c r="F160" s="27"/>
      <c r="G160" s="27"/>
      <c r="H160" s="27"/>
      <c r="I160" s="27"/>
      <c r="J160" s="27"/>
      <c r="K160" s="27"/>
      <c r="L160" s="27"/>
      <c r="M160" s="27"/>
      <c r="N160" s="27"/>
      <c r="O160" s="30" t="str">
        <f aca="false">IF($A160="","",COUNTIF($D160:$N160,"Yes"))</f>
        <v/>
      </c>
      <c r="P160" s="30" t="str">
        <f aca="false">IF($A160="","",COUNTA($D$3:$N$3))</f>
        <v/>
      </c>
      <c r="Q160" s="35" t="str">
        <f aca="false">IF($A160="","",IFERROR($O160/$P160,""))</f>
        <v/>
      </c>
      <c r="R160" s="31" t="str">
        <f aca="false">IF($A160="","",IF($Q160=1,"Complete",IF($Q160&gt;=0.7,"Almost Complete",IF($Q160&gt;0,"In Progress","Not Started"))))</f>
        <v/>
      </c>
      <c r="S160" s="28"/>
      <c r="T160" s="29"/>
      <c r="U160" s="32"/>
    </row>
    <row r="161" customFormat="false" ht="15.75" hidden="false" customHeight="true" outlineLevel="0" collapsed="false">
      <c r="A161" s="27"/>
      <c r="B161" s="33" t="str">
        <f aca="false">IFERROR(INDEX(Customers!$C$4:$C$1003,MATCH($A161,Customers!$A$4:$A$1003,0)),"")</f>
        <v/>
      </c>
      <c r="C161" s="31" t="str">
        <f aca="false">IFERROR(INDEX(Customers!$F$4:$F$1003,MATCH($A161,Customers!$A$4:$A$1003,0)),"")</f>
        <v/>
      </c>
      <c r="D161" s="27"/>
      <c r="E161" s="27"/>
      <c r="F161" s="27"/>
      <c r="G161" s="27"/>
      <c r="H161" s="27"/>
      <c r="I161" s="27"/>
      <c r="J161" s="27"/>
      <c r="K161" s="27"/>
      <c r="L161" s="27"/>
      <c r="M161" s="27"/>
      <c r="N161" s="27"/>
      <c r="O161" s="30" t="str">
        <f aca="false">IF($A161="","",COUNTIF($D161:$N161,"Yes"))</f>
        <v/>
      </c>
      <c r="P161" s="30" t="str">
        <f aca="false">IF($A161="","",COUNTA($D$3:$N$3))</f>
        <v/>
      </c>
      <c r="Q161" s="35" t="str">
        <f aca="false">IF($A161="","",IFERROR($O161/$P161,""))</f>
        <v/>
      </c>
      <c r="R161" s="31" t="str">
        <f aca="false">IF($A161="","",IF($Q161=1,"Complete",IF($Q161&gt;=0.7,"Almost Complete",IF($Q161&gt;0,"In Progress","Not Started"))))</f>
        <v/>
      </c>
      <c r="S161" s="28"/>
      <c r="T161" s="29"/>
      <c r="U161" s="32"/>
    </row>
    <row r="162" customFormat="false" ht="15.75" hidden="false" customHeight="true" outlineLevel="0" collapsed="false">
      <c r="A162" s="27"/>
      <c r="B162" s="33" t="str">
        <f aca="false">IFERROR(INDEX(Customers!$C$4:$C$1003,MATCH($A162,Customers!$A$4:$A$1003,0)),"")</f>
        <v/>
      </c>
      <c r="C162" s="31" t="str">
        <f aca="false">IFERROR(INDEX(Customers!$F$4:$F$1003,MATCH($A162,Customers!$A$4:$A$1003,0)),"")</f>
        <v/>
      </c>
      <c r="D162" s="27"/>
      <c r="E162" s="27"/>
      <c r="F162" s="27"/>
      <c r="G162" s="27"/>
      <c r="H162" s="27"/>
      <c r="I162" s="27"/>
      <c r="J162" s="27"/>
      <c r="K162" s="27"/>
      <c r="L162" s="27"/>
      <c r="M162" s="27"/>
      <c r="N162" s="27"/>
      <c r="O162" s="30" t="str">
        <f aca="false">IF($A162="","",COUNTIF($D162:$N162,"Yes"))</f>
        <v/>
      </c>
      <c r="P162" s="30" t="str">
        <f aca="false">IF($A162="","",COUNTA($D$3:$N$3))</f>
        <v/>
      </c>
      <c r="Q162" s="35" t="str">
        <f aca="false">IF($A162="","",IFERROR($O162/$P162,""))</f>
        <v/>
      </c>
      <c r="R162" s="31" t="str">
        <f aca="false">IF($A162="","",IF($Q162=1,"Complete",IF($Q162&gt;=0.7,"Almost Complete",IF($Q162&gt;0,"In Progress","Not Started"))))</f>
        <v/>
      </c>
      <c r="S162" s="28"/>
      <c r="T162" s="29"/>
      <c r="U162" s="32"/>
    </row>
    <row r="163" customFormat="false" ht="15.75" hidden="false" customHeight="true" outlineLevel="0" collapsed="false">
      <c r="A163" s="27"/>
      <c r="B163" s="33" t="str">
        <f aca="false">IFERROR(INDEX(Customers!$C$4:$C$1003,MATCH($A163,Customers!$A$4:$A$1003,0)),"")</f>
        <v/>
      </c>
      <c r="C163" s="31" t="str">
        <f aca="false">IFERROR(INDEX(Customers!$F$4:$F$1003,MATCH($A163,Customers!$A$4:$A$1003,0)),"")</f>
        <v/>
      </c>
      <c r="D163" s="27"/>
      <c r="E163" s="27"/>
      <c r="F163" s="27"/>
      <c r="G163" s="27"/>
      <c r="H163" s="27"/>
      <c r="I163" s="27"/>
      <c r="J163" s="27"/>
      <c r="K163" s="27"/>
      <c r="L163" s="27"/>
      <c r="M163" s="27"/>
      <c r="N163" s="27"/>
      <c r="O163" s="30" t="str">
        <f aca="false">IF($A163="","",COUNTIF($D163:$N163,"Yes"))</f>
        <v/>
      </c>
      <c r="P163" s="30" t="str">
        <f aca="false">IF($A163="","",COUNTA($D$3:$N$3))</f>
        <v/>
      </c>
      <c r="Q163" s="35" t="str">
        <f aca="false">IF($A163="","",IFERROR($O163/$P163,""))</f>
        <v/>
      </c>
      <c r="R163" s="31" t="str">
        <f aca="false">IF($A163="","",IF($Q163=1,"Complete",IF($Q163&gt;=0.7,"Almost Complete",IF($Q163&gt;0,"In Progress","Not Started"))))</f>
        <v/>
      </c>
      <c r="S163" s="28"/>
      <c r="T163" s="29"/>
      <c r="U163" s="32"/>
    </row>
    <row r="164" customFormat="false" ht="15.75" hidden="false" customHeight="true" outlineLevel="0" collapsed="false">
      <c r="A164" s="27"/>
      <c r="B164" s="33" t="str">
        <f aca="false">IFERROR(INDEX(Customers!$C$4:$C$1003,MATCH($A164,Customers!$A$4:$A$1003,0)),"")</f>
        <v/>
      </c>
      <c r="C164" s="31" t="str">
        <f aca="false">IFERROR(INDEX(Customers!$F$4:$F$1003,MATCH($A164,Customers!$A$4:$A$1003,0)),"")</f>
        <v/>
      </c>
      <c r="D164" s="27"/>
      <c r="E164" s="27"/>
      <c r="F164" s="27"/>
      <c r="G164" s="27"/>
      <c r="H164" s="27"/>
      <c r="I164" s="27"/>
      <c r="J164" s="27"/>
      <c r="K164" s="27"/>
      <c r="L164" s="27"/>
      <c r="M164" s="27"/>
      <c r="N164" s="27"/>
      <c r="O164" s="30" t="str">
        <f aca="false">IF($A164="","",COUNTIF($D164:$N164,"Yes"))</f>
        <v/>
      </c>
      <c r="P164" s="30" t="str">
        <f aca="false">IF($A164="","",COUNTA($D$3:$N$3))</f>
        <v/>
      </c>
      <c r="Q164" s="35" t="str">
        <f aca="false">IF($A164="","",IFERROR($O164/$P164,""))</f>
        <v/>
      </c>
      <c r="R164" s="31" t="str">
        <f aca="false">IF($A164="","",IF($Q164=1,"Complete",IF($Q164&gt;=0.7,"Almost Complete",IF($Q164&gt;0,"In Progress","Not Started"))))</f>
        <v/>
      </c>
      <c r="S164" s="28"/>
      <c r="T164" s="29"/>
      <c r="U164" s="32"/>
    </row>
    <row r="165" customFormat="false" ht="15.75" hidden="false" customHeight="true" outlineLevel="0" collapsed="false">
      <c r="A165" s="27"/>
      <c r="B165" s="33" t="str">
        <f aca="false">IFERROR(INDEX(Customers!$C$4:$C$1003,MATCH($A165,Customers!$A$4:$A$1003,0)),"")</f>
        <v/>
      </c>
      <c r="C165" s="31" t="str">
        <f aca="false">IFERROR(INDEX(Customers!$F$4:$F$1003,MATCH($A165,Customers!$A$4:$A$1003,0)),"")</f>
        <v/>
      </c>
      <c r="D165" s="27"/>
      <c r="E165" s="27"/>
      <c r="F165" s="27"/>
      <c r="G165" s="27"/>
      <c r="H165" s="27"/>
      <c r="I165" s="27"/>
      <c r="J165" s="27"/>
      <c r="K165" s="27"/>
      <c r="L165" s="27"/>
      <c r="M165" s="27"/>
      <c r="N165" s="27"/>
      <c r="O165" s="30" t="str">
        <f aca="false">IF($A165="","",COUNTIF($D165:$N165,"Yes"))</f>
        <v/>
      </c>
      <c r="P165" s="30" t="str">
        <f aca="false">IF($A165="","",COUNTA($D$3:$N$3))</f>
        <v/>
      </c>
      <c r="Q165" s="35" t="str">
        <f aca="false">IF($A165="","",IFERROR($O165/$P165,""))</f>
        <v/>
      </c>
      <c r="R165" s="31" t="str">
        <f aca="false">IF($A165="","",IF($Q165=1,"Complete",IF($Q165&gt;=0.7,"Almost Complete",IF($Q165&gt;0,"In Progress","Not Started"))))</f>
        <v/>
      </c>
      <c r="S165" s="28"/>
      <c r="T165" s="29"/>
      <c r="U165" s="32"/>
    </row>
    <row r="166" customFormat="false" ht="15.75" hidden="false" customHeight="true" outlineLevel="0" collapsed="false">
      <c r="A166" s="27"/>
      <c r="B166" s="33" t="str">
        <f aca="false">IFERROR(INDEX(Customers!$C$4:$C$1003,MATCH($A166,Customers!$A$4:$A$1003,0)),"")</f>
        <v/>
      </c>
      <c r="C166" s="31" t="str">
        <f aca="false">IFERROR(INDEX(Customers!$F$4:$F$1003,MATCH($A166,Customers!$A$4:$A$1003,0)),"")</f>
        <v/>
      </c>
      <c r="D166" s="27"/>
      <c r="E166" s="27"/>
      <c r="F166" s="27"/>
      <c r="G166" s="27"/>
      <c r="H166" s="27"/>
      <c r="I166" s="27"/>
      <c r="J166" s="27"/>
      <c r="K166" s="27"/>
      <c r="L166" s="27"/>
      <c r="M166" s="27"/>
      <c r="N166" s="27"/>
      <c r="O166" s="30" t="str">
        <f aca="false">IF($A166="","",COUNTIF($D166:$N166,"Yes"))</f>
        <v/>
      </c>
      <c r="P166" s="30" t="str">
        <f aca="false">IF($A166="","",COUNTA($D$3:$N$3))</f>
        <v/>
      </c>
      <c r="Q166" s="35" t="str">
        <f aca="false">IF($A166="","",IFERROR($O166/$P166,""))</f>
        <v/>
      </c>
      <c r="R166" s="31" t="str">
        <f aca="false">IF($A166="","",IF($Q166=1,"Complete",IF($Q166&gt;=0.7,"Almost Complete",IF($Q166&gt;0,"In Progress","Not Started"))))</f>
        <v/>
      </c>
      <c r="S166" s="28"/>
      <c r="T166" s="29"/>
      <c r="U166" s="32"/>
    </row>
    <row r="167" customFormat="false" ht="15.75" hidden="false" customHeight="true" outlineLevel="0" collapsed="false">
      <c r="A167" s="27"/>
      <c r="B167" s="33" t="str">
        <f aca="false">IFERROR(INDEX(Customers!$C$4:$C$1003,MATCH($A167,Customers!$A$4:$A$1003,0)),"")</f>
        <v/>
      </c>
      <c r="C167" s="31" t="str">
        <f aca="false">IFERROR(INDEX(Customers!$F$4:$F$1003,MATCH($A167,Customers!$A$4:$A$1003,0)),"")</f>
        <v/>
      </c>
      <c r="D167" s="27"/>
      <c r="E167" s="27"/>
      <c r="F167" s="27"/>
      <c r="G167" s="27"/>
      <c r="H167" s="27"/>
      <c r="I167" s="27"/>
      <c r="J167" s="27"/>
      <c r="K167" s="27"/>
      <c r="L167" s="27"/>
      <c r="M167" s="27"/>
      <c r="N167" s="27"/>
      <c r="O167" s="30" t="str">
        <f aca="false">IF($A167="","",COUNTIF($D167:$N167,"Yes"))</f>
        <v/>
      </c>
      <c r="P167" s="30" t="str">
        <f aca="false">IF($A167="","",COUNTA($D$3:$N$3))</f>
        <v/>
      </c>
      <c r="Q167" s="35" t="str">
        <f aca="false">IF($A167="","",IFERROR($O167/$P167,""))</f>
        <v/>
      </c>
      <c r="R167" s="31" t="str">
        <f aca="false">IF($A167="","",IF($Q167=1,"Complete",IF($Q167&gt;=0.7,"Almost Complete",IF($Q167&gt;0,"In Progress","Not Started"))))</f>
        <v/>
      </c>
      <c r="S167" s="28"/>
      <c r="T167" s="29"/>
      <c r="U167" s="32"/>
    </row>
    <row r="168" customFormat="false" ht="15.75" hidden="false" customHeight="true" outlineLevel="0" collapsed="false">
      <c r="A168" s="27"/>
      <c r="B168" s="33" t="str">
        <f aca="false">IFERROR(INDEX(Customers!$C$4:$C$1003,MATCH($A168,Customers!$A$4:$A$1003,0)),"")</f>
        <v/>
      </c>
      <c r="C168" s="31" t="str">
        <f aca="false">IFERROR(INDEX(Customers!$F$4:$F$1003,MATCH($A168,Customers!$A$4:$A$1003,0)),"")</f>
        <v/>
      </c>
      <c r="D168" s="27"/>
      <c r="E168" s="27"/>
      <c r="F168" s="27"/>
      <c r="G168" s="27"/>
      <c r="H168" s="27"/>
      <c r="I168" s="27"/>
      <c r="J168" s="27"/>
      <c r="K168" s="27"/>
      <c r="L168" s="27"/>
      <c r="M168" s="27"/>
      <c r="N168" s="27"/>
      <c r="O168" s="30" t="str">
        <f aca="false">IF($A168="","",COUNTIF($D168:$N168,"Yes"))</f>
        <v/>
      </c>
      <c r="P168" s="30" t="str">
        <f aca="false">IF($A168="","",COUNTA($D$3:$N$3))</f>
        <v/>
      </c>
      <c r="Q168" s="35" t="str">
        <f aca="false">IF($A168="","",IFERROR($O168/$P168,""))</f>
        <v/>
      </c>
      <c r="R168" s="31" t="str">
        <f aca="false">IF($A168="","",IF($Q168=1,"Complete",IF($Q168&gt;=0.7,"Almost Complete",IF($Q168&gt;0,"In Progress","Not Started"))))</f>
        <v/>
      </c>
      <c r="S168" s="28"/>
      <c r="T168" s="29"/>
      <c r="U168" s="32"/>
    </row>
    <row r="169" customFormat="false" ht="15.75" hidden="false" customHeight="true" outlineLevel="0" collapsed="false">
      <c r="A169" s="27"/>
      <c r="B169" s="33" t="str">
        <f aca="false">IFERROR(INDEX(Customers!$C$4:$C$1003,MATCH($A169,Customers!$A$4:$A$1003,0)),"")</f>
        <v/>
      </c>
      <c r="C169" s="31" t="str">
        <f aca="false">IFERROR(INDEX(Customers!$F$4:$F$1003,MATCH($A169,Customers!$A$4:$A$1003,0)),"")</f>
        <v/>
      </c>
      <c r="D169" s="27"/>
      <c r="E169" s="27"/>
      <c r="F169" s="27"/>
      <c r="G169" s="27"/>
      <c r="H169" s="27"/>
      <c r="I169" s="27"/>
      <c r="J169" s="27"/>
      <c r="K169" s="27"/>
      <c r="L169" s="27"/>
      <c r="M169" s="27"/>
      <c r="N169" s="27"/>
      <c r="O169" s="30" t="str">
        <f aca="false">IF($A169="","",COUNTIF($D169:$N169,"Yes"))</f>
        <v/>
      </c>
      <c r="P169" s="30" t="str">
        <f aca="false">IF($A169="","",COUNTA($D$3:$N$3))</f>
        <v/>
      </c>
      <c r="Q169" s="35" t="str">
        <f aca="false">IF($A169="","",IFERROR($O169/$P169,""))</f>
        <v/>
      </c>
      <c r="R169" s="31" t="str">
        <f aca="false">IF($A169="","",IF($Q169=1,"Complete",IF($Q169&gt;=0.7,"Almost Complete",IF($Q169&gt;0,"In Progress","Not Started"))))</f>
        <v/>
      </c>
      <c r="S169" s="28"/>
      <c r="T169" s="29"/>
      <c r="U169" s="32"/>
    </row>
    <row r="170" customFormat="false" ht="15.75" hidden="false" customHeight="true" outlineLevel="0" collapsed="false">
      <c r="A170" s="27"/>
      <c r="B170" s="33" t="str">
        <f aca="false">IFERROR(INDEX(Customers!$C$4:$C$1003,MATCH($A170,Customers!$A$4:$A$1003,0)),"")</f>
        <v/>
      </c>
      <c r="C170" s="31" t="str">
        <f aca="false">IFERROR(INDEX(Customers!$F$4:$F$1003,MATCH($A170,Customers!$A$4:$A$1003,0)),"")</f>
        <v/>
      </c>
      <c r="D170" s="27"/>
      <c r="E170" s="27"/>
      <c r="F170" s="27"/>
      <c r="G170" s="27"/>
      <c r="H170" s="27"/>
      <c r="I170" s="27"/>
      <c r="J170" s="27"/>
      <c r="K170" s="27"/>
      <c r="L170" s="27"/>
      <c r="M170" s="27"/>
      <c r="N170" s="27"/>
      <c r="O170" s="30" t="str">
        <f aca="false">IF($A170="","",COUNTIF($D170:$N170,"Yes"))</f>
        <v/>
      </c>
      <c r="P170" s="30" t="str">
        <f aca="false">IF($A170="","",COUNTA($D$3:$N$3))</f>
        <v/>
      </c>
      <c r="Q170" s="35" t="str">
        <f aca="false">IF($A170="","",IFERROR($O170/$P170,""))</f>
        <v/>
      </c>
      <c r="R170" s="31" t="str">
        <f aca="false">IF($A170="","",IF($Q170=1,"Complete",IF($Q170&gt;=0.7,"Almost Complete",IF($Q170&gt;0,"In Progress","Not Started"))))</f>
        <v/>
      </c>
      <c r="S170" s="28"/>
      <c r="T170" s="29"/>
      <c r="U170" s="32"/>
    </row>
    <row r="171" customFormat="false" ht="15.75" hidden="false" customHeight="true" outlineLevel="0" collapsed="false">
      <c r="A171" s="27"/>
      <c r="B171" s="33" t="str">
        <f aca="false">IFERROR(INDEX(Customers!$C$4:$C$1003,MATCH($A171,Customers!$A$4:$A$1003,0)),"")</f>
        <v/>
      </c>
      <c r="C171" s="31" t="str">
        <f aca="false">IFERROR(INDEX(Customers!$F$4:$F$1003,MATCH($A171,Customers!$A$4:$A$1003,0)),"")</f>
        <v/>
      </c>
      <c r="D171" s="27"/>
      <c r="E171" s="27"/>
      <c r="F171" s="27"/>
      <c r="G171" s="27"/>
      <c r="H171" s="27"/>
      <c r="I171" s="27"/>
      <c r="J171" s="27"/>
      <c r="K171" s="27"/>
      <c r="L171" s="27"/>
      <c r="M171" s="27"/>
      <c r="N171" s="27"/>
      <c r="O171" s="30" t="str">
        <f aca="false">IF($A171="","",COUNTIF($D171:$N171,"Yes"))</f>
        <v/>
      </c>
      <c r="P171" s="30" t="str">
        <f aca="false">IF($A171="","",COUNTA($D$3:$N$3))</f>
        <v/>
      </c>
      <c r="Q171" s="35" t="str">
        <f aca="false">IF($A171="","",IFERROR($O171/$P171,""))</f>
        <v/>
      </c>
      <c r="R171" s="31" t="str">
        <f aca="false">IF($A171="","",IF($Q171=1,"Complete",IF($Q171&gt;=0.7,"Almost Complete",IF($Q171&gt;0,"In Progress","Not Started"))))</f>
        <v/>
      </c>
      <c r="S171" s="28"/>
      <c r="T171" s="29"/>
      <c r="U171" s="32"/>
    </row>
    <row r="172" customFormat="false" ht="15.75" hidden="false" customHeight="true" outlineLevel="0" collapsed="false">
      <c r="A172" s="27"/>
      <c r="B172" s="33" t="str">
        <f aca="false">IFERROR(INDEX(Customers!$C$4:$C$1003,MATCH($A172,Customers!$A$4:$A$1003,0)),"")</f>
        <v/>
      </c>
      <c r="C172" s="31" t="str">
        <f aca="false">IFERROR(INDEX(Customers!$F$4:$F$1003,MATCH($A172,Customers!$A$4:$A$1003,0)),"")</f>
        <v/>
      </c>
      <c r="D172" s="27"/>
      <c r="E172" s="27"/>
      <c r="F172" s="27"/>
      <c r="G172" s="27"/>
      <c r="H172" s="27"/>
      <c r="I172" s="27"/>
      <c r="J172" s="27"/>
      <c r="K172" s="27"/>
      <c r="L172" s="27"/>
      <c r="M172" s="27"/>
      <c r="N172" s="27"/>
      <c r="O172" s="30" t="str">
        <f aca="false">IF($A172="","",COUNTIF($D172:$N172,"Yes"))</f>
        <v/>
      </c>
      <c r="P172" s="30" t="str">
        <f aca="false">IF($A172="","",COUNTA($D$3:$N$3))</f>
        <v/>
      </c>
      <c r="Q172" s="35" t="str">
        <f aca="false">IF($A172="","",IFERROR($O172/$P172,""))</f>
        <v/>
      </c>
      <c r="R172" s="31" t="str">
        <f aca="false">IF($A172="","",IF($Q172=1,"Complete",IF($Q172&gt;=0.7,"Almost Complete",IF($Q172&gt;0,"In Progress","Not Started"))))</f>
        <v/>
      </c>
      <c r="S172" s="28"/>
      <c r="T172" s="29"/>
      <c r="U172" s="32"/>
    </row>
    <row r="173" customFormat="false" ht="15.75" hidden="false" customHeight="true" outlineLevel="0" collapsed="false">
      <c r="A173" s="27"/>
      <c r="B173" s="33" t="str">
        <f aca="false">IFERROR(INDEX(Customers!$C$4:$C$1003,MATCH($A173,Customers!$A$4:$A$1003,0)),"")</f>
        <v/>
      </c>
      <c r="C173" s="31" t="str">
        <f aca="false">IFERROR(INDEX(Customers!$F$4:$F$1003,MATCH($A173,Customers!$A$4:$A$1003,0)),"")</f>
        <v/>
      </c>
      <c r="D173" s="27"/>
      <c r="E173" s="27"/>
      <c r="F173" s="27"/>
      <c r="G173" s="27"/>
      <c r="H173" s="27"/>
      <c r="I173" s="27"/>
      <c r="J173" s="27"/>
      <c r="K173" s="27"/>
      <c r="L173" s="27"/>
      <c r="M173" s="27"/>
      <c r="N173" s="27"/>
      <c r="O173" s="30" t="str">
        <f aca="false">IF($A173="","",COUNTIF($D173:$N173,"Yes"))</f>
        <v/>
      </c>
      <c r="P173" s="30" t="str">
        <f aca="false">IF($A173="","",COUNTA($D$3:$N$3))</f>
        <v/>
      </c>
      <c r="Q173" s="35" t="str">
        <f aca="false">IF($A173="","",IFERROR($O173/$P173,""))</f>
        <v/>
      </c>
      <c r="R173" s="31" t="str">
        <f aca="false">IF($A173="","",IF($Q173=1,"Complete",IF($Q173&gt;=0.7,"Almost Complete",IF($Q173&gt;0,"In Progress","Not Started"))))</f>
        <v/>
      </c>
      <c r="S173" s="28"/>
      <c r="T173" s="29"/>
      <c r="U173" s="32"/>
    </row>
    <row r="174" customFormat="false" ht="15.75" hidden="false" customHeight="true" outlineLevel="0" collapsed="false">
      <c r="A174" s="27"/>
      <c r="B174" s="33" t="str">
        <f aca="false">IFERROR(INDEX(Customers!$C$4:$C$1003,MATCH($A174,Customers!$A$4:$A$1003,0)),"")</f>
        <v/>
      </c>
      <c r="C174" s="31" t="str">
        <f aca="false">IFERROR(INDEX(Customers!$F$4:$F$1003,MATCH($A174,Customers!$A$4:$A$1003,0)),"")</f>
        <v/>
      </c>
      <c r="D174" s="27"/>
      <c r="E174" s="27"/>
      <c r="F174" s="27"/>
      <c r="G174" s="27"/>
      <c r="H174" s="27"/>
      <c r="I174" s="27"/>
      <c r="J174" s="27"/>
      <c r="K174" s="27"/>
      <c r="L174" s="27"/>
      <c r="M174" s="27"/>
      <c r="N174" s="27"/>
      <c r="O174" s="30" t="str">
        <f aca="false">IF($A174="","",COUNTIF($D174:$N174,"Yes"))</f>
        <v/>
      </c>
      <c r="P174" s="30" t="str">
        <f aca="false">IF($A174="","",COUNTA($D$3:$N$3))</f>
        <v/>
      </c>
      <c r="Q174" s="35" t="str">
        <f aca="false">IF($A174="","",IFERROR($O174/$P174,""))</f>
        <v/>
      </c>
      <c r="R174" s="31" t="str">
        <f aca="false">IF($A174="","",IF($Q174=1,"Complete",IF($Q174&gt;=0.7,"Almost Complete",IF($Q174&gt;0,"In Progress","Not Started"))))</f>
        <v/>
      </c>
      <c r="S174" s="28"/>
      <c r="T174" s="29"/>
      <c r="U174" s="32"/>
    </row>
    <row r="175" customFormat="false" ht="15.75" hidden="false" customHeight="true" outlineLevel="0" collapsed="false">
      <c r="A175" s="27"/>
      <c r="B175" s="33" t="str">
        <f aca="false">IFERROR(INDEX(Customers!$C$4:$C$1003,MATCH($A175,Customers!$A$4:$A$1003,0)),"")</f>
        <v/>
      </c>
      <c r="C175" s="31" t="str">
        <f aca="false">IFERROR(INDEX(Customers!$F$4:$F$1003,MATCH($A175,Customers!$A$4:$A$1003,0)),"")</f>
        <v/>
      </c>
      <c r="D175" s="27"/>
      <c r="E175" s="27"/>
      <c r="F175" s="27"/>
      <c r="G175" s="27"/>
      <c r="H175" s="27"/>
      <c r="I175" s="27"/>
      <c r="J175" s="27"/>
      <c r="K175" s="27"/>
      <c r="L175" s="27"/>
      <c r="M175" s="27"/>
      <c r="N175" s="27"/>
      <c r="O175" s="30" t="str">
        <f aca="false">IF($A175="","",COUNTIF($D175:$N175,"Yes"))</f>
        <v/>
      </c>
      <c r="P175" s="30" t="str">
        <f aca="false">IF($A175="","",COUNTA($D$3:$N$3))</f>
        <v/>
      </c>
      <c r="Q175" s="35" t="str">
        <f aca="false">IF($A175="","",IFERROR($O175/$P175,""))</f>
        <v/>
      </c>
      <c r="R175" s="31" t="str">
        <f aca="false">IF($A175="","",IF($Q175=1,"Complete",IF($Q175&gt;=0.7,"Almost Complete",IF($Q175&gt;0,"In Progress","Not Started"))))</f>
        <v/>
      </c>
      <c r="S175" s="28"/>
      <c r="T175" s="29"/>
      <c r="U175" s="32"/>
    </row>
    <row r="176" customFormat="false" ht="15.75" hidden="false" customHeight="true" outlineLevel="0" collapsed="false">
      <c r="A176" s="27"/>
      <c r="B176" s="33" t="str">
        <f aca="false">IFERROR(INDEX(Customers!$C$4:$C$1003,MATCH($A176,Customers!$A$4:$A$1003,0)),"")</f>
        <v/>
      </c>
      <c r="C176" s="31" t="str">
        <f aca="false">IFERROR(INDEX(Customers!$F$4:$F$1003,MATCH($A176,Customers!$A$4:$A$1003,0)),"")</f>
        <v/>
      </c>
      <c r="D176" s="27"/>
      <c r="E176" s="27"/>
      <c r="F176" s="27"/>
      <c r="G176" s="27"/>
      <c r="H176" s="27"/>
      <c r="I176" s="27"/>
      <c r="J176" s="27"/>
      <c r="K176" s="27"/>
      <c r="L176" s="27"/>
      <c r="M176" s="27"/>
      <c r="N176" s="27"/>
      <c r="O176" s="30" t="str">
        <f aca="false">IF($A176="","",COUNTIF($D176:$N176,"Yes"))</f>
        <v/>
      </c>
      <c r="P176" s="30" t="str">
        <f aca="false">IF($A176="","",COUNTA($D$3:$N$3))</f>
        <v/>
      </c>
      <c r="Q176" s="35" t="str">
        <f aca="false">IF($A176="","",IFERROR($O176/$P176,""))</f>
        <v/>
      </c>
      <c r="R176" s="31" t="str">
        <f aca="false">IF($A176="","",IF($Q176=1,"Complete",IF($Q176&gt;=0.7,"Almost Complete",IF($Q176&gt;0,"In Progress","Not Started"))))</f>
        <v/>
      </c>
      <c r="S176" s="28"/>
      <c r="T176" s="29"/>
      <c r="U176" s="32"/>
    </row>
    <row r="177" customFormat="false" ht="15.75" hidden="false" customHeight="true" outlineLevel="0" collapsed="false">
      <c r="A177" s="27"/>
      <c r="B177" s="33" t="str">
        <f aca="false">IFERROR(INDEX(Customers!$C$4:$C$1003,MATCH($A177,Customers!$A$4:$A$1003,0)),"")</f>
        <v/>
      </c>
      <c r="C177" s="31" t="str">
        <f aca="false">IFERROR(INDEX(Customers!$F$4:$F$1003,MATCH($A177,Customers!$A$4:$A$1003,0)),"")</f>
        <v/>
      </c>
      <c r="D177" s="27"/>
      <c r="E177" s="27"/>
      <c r="F177" s="27"/>
      <c r="G177" s="27"/>
      <c r="H177" s="27"/>
      <c r="I177" s="27"/>
      <c r="J177" s="27"/>
      <c r="K177" s="27"/>
      <c r="L177" s="27"/>
      <c r="M177" s="27"/>
      <c r="N177" s="27"/>
      <c r="O177" s="30" t="str">
        <f aca="false">IF($A177="","",COUNTIF($D177:$N177,"Yes"))</f>
        <v/>
      </c>
      <c r="P177" s="30" t="str">
        <f aca="false">IF($A177="","",COUNTA($D$3:$N$3))</f>
        <v/>
      </c>
      <c r="Q177" s="35" t="str">
        <f aca="false">IF($A177="","",IFERROR($O177/$P177,""))</f>
        <v/>
      </c>
      <c r="R177" s="31" t="str">
        <f aca="false">IF($A177="","",IF($Q177=1,"Complete",IF($Q177&gt;=0.7,"Almost Complete",IF($Q177&gt;0,"In Progress","Not Started"))))</f>
        <v/>
      </c>
      <c r="S177" s="28"/>
      <c r="T177" s="29"/>
      <c r="U177" s="32"/>
    </row>
    <row r="178" customFormat="false" ht="15.75" hidden="false" customHeight="true" outlineLevel="0" collapsed="false">
      <c r="A178" s="27"/>
      <c r="B178" s="33" t="str">
        <f aca="false">IFERROR(INDEX(Customers!$C$4:$C$1003,MATCH($A178,Customers!$A$4:$A$1003,0)),"")</f>
        <v/>
      </c>
      <c r="C178" s="31" t="str">
        <f aca="false">IFERROR(INDEX(Customers!$F$4:$F$1003,MATCH($A178,Customers!$A$4:$A$1003,0)),"")</f>
        <v/>
      </c>
      <c r="D178" s="27"/>
      <c r="E178" s="27"/>
      <c r="F178" s="27"/>
      <c r="G178" s="27"/>
      <c r="H178" s="27"/>
      <c r="I178" s="27"/>
      <c r="J178" s="27"/>
      <c r="K178" s="27"/>
      <c r="L178" s="27"/>
      <c r="M178" s="27"/>
      <c r="N178" s="27"/>
      <c r="O178" s="30" t="str">
        <f aca="false">IF($A178="","",COUNTIF($D178:$N178,"Yes"))</f>
        <v/>
      </c>
      <c r="P178" s="30" t="str">
        <f aca="false">IF($A178="","",COUNTA($D$3:$N$3))</f>
        <v/>
      </c>
      <c r="Q178" s="35" t="str">
        <f aca="false">IF($A178="","",IFERROR($O178/$P178,""))</f>
        <v/>
      </c>
      <c r="R178" s="31" t="str">
        <f aca="false">IF($A178="","",IF($Q178=1,"Complete",IF($Q178&gt;=0.7,"Almost Complete",IF($Q178&gt;0,"In Progress","Not Started"))))</f>
        <v/>
      </c>
      <c r="S178" s="28"/>
      <c r="T178" s="29"/>
      <c r="U178" s="32"/>
    </row>
    <row r="179" customFormat="false" ht="15.75" hidden="false" customHeight="true" outlineLevel="0" collapsed="false">
      <c r="A179" s="27"/>
      <c r="B179" s="33" t="str">
        <f aca="false">IFERROR(INDEX(Customers!$C$4:$C$1003,MATCH($A179,Customers!$A$4:$A$1003,0)),"")</f>
        <v/>
      </c>
      <c r="C179" s="31" t="str">
        <f aca="false">IFERROR(INDEX(Customers!$F$4:$F$1003,MATCH($A179,Customers!$A$4:$A$1003,0)),"")</f>
        <v/>
      </c>
      <c r="D179" s="27"/>
      <c r="E179" s="27"/>
      <c r="F179" s="27"/>
      <c r="G179" s="27"/>
      <c r="H179" s="27"/>
      <c r="I179" s="27"/>
      <c r="J179" s="27"/>
      <c r="K179" s="27"/>
      <c r="L179" s="27"/>
      <c r="M179" s="27"/>
      <c r="N179" s="27"/>
      <c r="O179" s="30" t="str">
        <f aca="false">IF($A179="","",COUNTIF($D179:$N179,"Yes"))</f>
        <v/>
      </c>
      <c r="P179" s="30" t="str">
        <f aca="false">IF($A179="","",COUNTA($D$3:$N$3))</f>
        <v/>
      </c>
      <c r="Q179" s="35" t="str">
        <f aca="false">IF($A179="","",IFERROR($O179/$P179,""))</f>
        <v/>
      </c>
      <c r="R179" s="31" t="str">
        <f aca="false">IF($A179="","",IF($Q179=1,"Complete",IF($Q179&gt;=0.7,"Almost Complete",IF($Q179&gt;0,"In Progress","Not Started"))))</f>
        <v/>
      </c>
      <c r="S179" s="28"/>
      <c r="T179" s="29"/>
      <c r="U179" s="32"/>
    </row>
    <row r="180" customFormat="false" ht="15.75" hidden="false" customHeight="true" outlineLevel="0" collapsed="false">
      <c r="A180" s="27"/>
      <c r="B180" s="33" t="str">
        <f aca="false">IFERROR(INDEX(Customers!$C$4:$C$1003,MATCH($A180,Customers!$A$4:$A$1003,0)),"")</f>
        <v/>
      </c>
      <c r="C180" s="31" t="str">
        <f aca="false">IFERROR(INDEX(Customers!$F$4:$F$1003,MATCH($A180,Customers!$A$4:$A$1003,0)),"")</f>
        <v/>
      </c>
      <c r="D180" s="27"/>
      <c r="E180" s="27"/>
      <c r="F180" s="27"/>
      <c r="G180" s="27"/>
      <c r="H180" s="27"/>
      <c r="I180" s="27"/>
      <c r="J180" s="27"/>
      <c r="K180" s="27"/>
      <c r="L180" s="27"/>
      <c r="M180" s="27"/>
      <c r="N180" s="27"/>
      <c r="O180" s="30" t="str">
        <f aca="false">IF($A180="","",COUNTIF($D180:$N180,"Yes"))</f>
        <v/>
      </c>
      <c r="P180" s="30" t="str">
        <f aca="false">IF($A180="","",COUNTA($D$3:$N$3))</f>
        <v/>
      </c>
      <c r="Q180" s="35" t="str">
        <f aca="false">IF($A180="","",IFERROR($O180/$P180,""))</f>
        <v/>
      </c>
      <c r="R180" s="31" t="str">
        <f aca="false">IF($A180="","",IF($Q180=1,"Complete",IF($Q180&gt;=0.7,"Almost Complete",IF($Q180&gt;0,"In Progress","Not Started"))))</f>
        <v/>
      </c>
      <c r="S180" s="28"/>
      <c r="T180" s="29"/>
      <c r="U180" s="32"/>
    </row>
    <row r="181" customFormat="false" ht="15.75" hidden="false" customHeight="true" outlineLevel="0" collapsed="false">
      <c r="A181" s="27"/>
      <c r="B181" s="33" t="str">
        <f aca="false">IFERROR(INDEX(Customers!$C$4:$C$1003,MATCH($A181,Customers!$A$4:$A$1003,0)),"")</f>
        <v/>
      </c>
      <c r="C181" s="31" t="str">
        <f aca="false">IFERROR(INDEX(Customers!$F$4:$F$1003,MATCH($A181,Customers!$A$4:$A$1003,0)),"")</f>
        <v/>
      </c>
      <c r="D181" s="27"/>
      <c r="E181" s="27"/>
      <c r="F181" s="27"/>
      <c r="G181" s="27"/>
      <c r="H181" s="27"/>
      <c r="I181" s="27"/>
      <c r="J181" s="27"/>
      <c r="K181" s="27"/>
      <c r="L181" s="27"/>
      <c r="M181" s="27"/>
      <c r="N181" s="27"/>
      <c r="O181" s="30" t="str">
        <f aca="false">IF($A181="","",COUNTIF($D181:$N181,"Yes"))</f>
        <v/>
      </c>
      <c r="P181" s="30" t="str">
        <f aca="false">IF($A181="","",COUNTA($D$3:$N$3))</f>
        <v/>
      </c>
      <c r="Q181" s="35" t="str">
        <f aca="false">IF($A181="","",IFERROR($O181/$P181,""))</f>
        <v/>
      </c>
      <c r="R181" s="31" t="str">
        <f aca="false">IF($A181="","",IF($Q181=1,"Complete",IF($Q181&gt;=0.7,"Almost Complete",IF($Q181&gt;0,"In Progress","Not Started"))))</f>
        <v/>
      </c>
      <c r="S181" s="28"/>
      <c r="T181" s="29"/>
      <c r="U181" s="32"/>
    </row>
    <row r="182" customFormat="false" ht="15.75" hidden="false" customHeight="true" outlineLevel="0" collapsed="false">
      <c r="A182" s="27"/>
      <c r="B182" s="33" t="str">
        <f aca="false">IFERROR(INDEX(Customers!$C$4:$C$1003,MATCH($A182,Customers!$A$4:$A$1003,0)),"")</f>
        <v/>
      </c>
      <c r="C182" s="31" t="str">
        <f aca="false">IFERROR(INDEX(Customers!$F$4:$F$1003,MATCH($A182,Customers!$A$4:$A$1003,0)),"")</f>
        <v/>
      </c>
      <c r="D182" s="27"/>
      <c r="E182" s="27"/>
      <c r="F182" s="27"/>
      <c r="G182" s="27"/>
      <c r="H182" s="27"/>
      <c r="I182" s="27"/>
      <c r="J182" s="27"/>
      <c r="K182" s="27"/>
      <c r="L182" s="27"/>
      <c r="M182" s="27"/>
      <c r="N182" s="27"/>
      <c r="O182" s="30" t="str">
        <f aca="false">IF($A182="","",COUNTIF($D182:$N182,"Yes"))</f>
        <v/>
      </c>
      <c r="P182" s="30" t="str">
        <f aca="false">IF($A182="","",COUNTA($D$3:$N$3))</f>
        <v/>
      </c>
      <c r="Q182" s="35" t="str">
        <f aca="false">IF($A182="","",IFERROR($O182/$P182,""))</f>
        <v/>
      </c>
      <c r="R182" s="31" t="str">
        <f aca="false">IF($A182="","",IF($Q182=1,"Complete",IF($Q182&gt;=0.7,"Almost Complete",IF($Q182&gt;0,"In Progress","Not Started"))))</f>
        <v/>
      </c>
      <c r="S182" s="28"/>
      <c r="T182" s="29"/>
      <c r="U182" s="32"/>
    </row>
    <row r="183" customFormat="false" ht="15.75" hidden="false" customHeight="true" outlineLevel="0" collapsed="false">
      <c r="A183" s="27"/>
      <c r="B183" s="33" t="str">
        <f aca="false">IFERROR(INDEX(Customers!$C$4:$C$1003,MATCH($A183,Customers!$A$4:$A$1003,0)),"")</f>
        <v/>
      </c>
      <c r="C183" s="31" t="str">
        <f aca="false">IFERROR(INDEX(Customers!$F$4:$F$1003,MATCH($A183,Customers!$A$4:$A$1003,0)),"")</f>
        <v/>
      </c>
      <c r="D183" s="27"/>
      <c r="E183" s="27"/>
      <c r="F183" s="27"/>
      <c r="G183" s="27"/>
      <c r="H183" s="27"/>
      <c r="I183" s="27"/>
      <c r="J183" s="27"/>
      <c r="K183" s="27"/>
      <c r="L183" s="27"/>
      <c r="M183" s="27"/>
      <c r="N183" s="27"/>
      <c r="O183" s="30" t="str">
        <f aca="false">IF($A183="","",COUNTIF($D183:$N183,"Yes"))</f>
        <v/>
      </c>
      <c r="P183" s="30" t="str">
        <f aca="false">IF($A183="","",COUNTA($D$3:$N$3))</f>
        <v/>
      </c>
      <c r="Q183" s="35" t="str">
        <f aca="false">IF($A183="","",IFERROR($O183/$P183,""))</f>
        <v/>
      </c>
      <c r="R183" s="31" t="str">
        <f aca="false">IF($A183="","",IF($Q183=1,"Complete",IF($Q183&gt;=0.7,"Almost Complete",IF($Q183&gt;0,"In Progress","Not Started"))))</f>
        <v/>
      </c>
      <c r="S183" s="28"/>
      <c r="T183" s="29"/>
      <c r="U183" s="32"/>
    </row>
    <row r="184" customFormat="false" ht="15.75" hidden="false" customHeight="true" outlineLevel="0" collapsed="false">
      <c r="A184" s="27"/>
      <c r="B184" s="33" t="str">
        <f aca="false">IFERROR(INDEX(Customers!$C$4:$C$1003,MATCH($A184,Customers!$A$4:$A$1003,0)),"")</f>
        <v/>
      </c>
      <c r="C184" s="31" t="str">
        <f aca="false">IFERROR(INDEX(Customers!$F$4:$F$1003,MATCH($A184,Customers!$A$4:$A$1003,0)),"")</f>
        <v/>
      </c>
      <c r="D184" s="27"/>
      <c r="E184" s="27"/>
      <c r="F184" s="27"/>
      <c r="G184" s="27"/>
      <c r="H184" s="27"/>
      <c r="I184" s="27"/>
      <c r="J184" s="27"/>
      <c r="K184" s="27"/>
      <c r="L184" s="27"/>
      <c r="M184" s="27"/>
      <c r="N184" s="27"/>
      <c r="O184" s="30" t="str">
        <f aca="false">IF($A184="","",COUNTIF($D184:$N184,"Yes"))</f>
        <v/>
      </c>
      <c r="P184" s="30" t="str">
        <f aca="false">IF($A184="","",COUNTA($D$3:$N$3))</f>
        <v/>
      </c>
      <c r="Q184" s="35" t="str">
        <f aca="false">IF($A184="","",IFERROR($O184/$P184,""))</f>
        <v/>
      </c>
      <c r="R184" s="31" t="str">
        <f aca="false">IF($A184="","",IF($Q184=1,"Complete",IF($Q184&gt;=0.7,"Almost Complete",IF($Q184&gt;0,"In Progress","Not Started"))))</f>
        <v/>
      </c>
      <c r="S184" s="28"/>
      <c r="T184" s="29"/>
      <c r="U184" s="32"/>
    </row>
    <row r="185" customFormat="false" ht="15.75" hidden="false" customHeight="true" outlineLevel="0" collapsed="false">
      <c r="A185" s="27"/>
      <c r="B185" s="33" t="str">
        <f aca="false">IFERROR(INDEX(Customers!$C$4:$C$1003,MATCH($A185,Customers!$A$4:$A$1003,0)),"")</f>
        <v/>
      </c>
      <c r="C185" s="31" t="str">
        <f aca="false">IFERROR(INDEX(Customers!$F$4:$F$1003,MATCH($A185,Customers!$A$4:$A$1003,0)),"")</f>
        <v/>
      </c>
      <c r="D185" s="27"/>
      <c r="E185" s="27"/>
      <c r="F185" s="27"/>
      <c r="G185" s="27"/>
      <c r="H185" s="27"/>
      <c r="I185" s="27"/>
      <c r="J185" s="27"/>
      <c r="K185" s="27"/>
      <c r="L185" s="27"/>
      <c r="M185" s="27"/>
      <c r="N185" s="27"/>
      <c r="O185" s="30" t="str">
        <f aca="false">IF($A185="","",COUNTIF($D185:$N185,"Yes"))</f>
        <v/>
      </c>
      <c r="P185" s="30" t="str">
        <f aca="false">IF($A185="","",COUNTA($D$3:$N$3))</f>
        <v/>
      </c>
      <c r="Q185" s="35" t="str">
        <f aca="false">IF($A185="","",IFERROR($O185/$P185,""))</f>
        <v/>
      </c>
      <c r="R185" s="31" t="str">
        <f aca="false">IF($A185="","",IF($Q185=1,"Complete",IF($Q185&gt;=0.7,"Almost Complete",IF($Q185&gt;0,"In Progress","Not Started"))))</f>
        <v/>
      </c>
      <c r="S185" s="28"/>
      <c r="T185" s="29"/>
      <c r="U185" s="32"/>
    </row>
    <row r="186" customFormat="false" ht="15.75" hidden="false" customHeight="true" outlineLevel="0" collapsed="false">
      <c r="A186" s="27"/>
      <c r="B186" s="33" t="str">
        <f aca="false">IFERROR(INDEX(Customers!$C$4:$C$1003,MATCH($A186,Customers!$A$4:$A$1003,0)),"")</f>
        <v/>
      </c>
      <c r="C186" s="31" t="str">
        <f aca="false">IFERROR(INDEX(Customers!$F$4:$F$1003,MATCH($A186,Customers!$A$4:$A$1003,0)),"")</f>
        <v/>
      </c>
      <c r="D186" s="27"/>
      <c r="E186" s="27"/>
      <c r="F186" s="27"/>
      <c r="G186" s="27"/>
      <c r="H186" s="27"/>
      <c r="I186" s="27"/>
      <c r="J186" s="27"/>
      <c r="K186" s="27"/>
      <c r="L186" s="27"/>
      <c r="M186" s="27"/>
      <c r="N186" s="27"/>
      <c r="O186" s="30" t="str">
        <f aca="false">IF($A186="","",COUNTIF($D186:$N186,"Yes"))</f>
        <v/>
      </c>
      <c r="P186" s="30" t="str">
        <f aca="false">IF($A186="","",COUNTA($D$3:$N$3))</f>
        <v/>
      </c>
      <c r="Q186" s="35" t="str">
        <f aca="false">IF($A186="","",IFERROR($O186/$P186,""))</f>
        <v/>
      </c>
      <c r="R186" s="31" t="str">
        <f aca="false">IF($A186="","",IF($Q186=1,"Complete",IF($Q186&gt;=0.7,"Almost Complete",IF($Q186&gt;0,"In Progress","Not Started"))))</f>
        <v/>
      </c>
      <c r="S186" s="28"/>
      <c r="T186" s="29"/>
      <c r="U186" s="32"/>
    </row>
    <row r="187" customFormat="false" ht="15.75" hidden="false" customHeight="true" outlineLevel="0" collapsed="false">
      <c r="A187" s="27"/>
      <c r="B187" s="33" t="str">
        <f aca="false">IFERROR(INDEX(Customers!$C$4:$C$1003,MATCH($A187,Customers!$A$4:$A$1003,0)),"")</f>
        <v/>
      </c>
      <c r="C187" s="31" t="str">
        <f aca="false">IFERROR(INDEX(Customers!$F$4:$F$1003,MATCH($A187,Customers!$A$4:$A$1003,0)),"")</f>
        <v/>
      </c>
      <c r="D187" s="27"/>
      <c r="E187" s="27"/>
      <c r="F187" s="27"/>
      <c r="G187" s="27"/>
      <c r="H187" s="27"/>
      <c r="I187" s="27"/>
      <c r="J187" s="27"/>
      <c r="K187" s="27"/>
      <c r="L187" s="27"/>
      <c r="M187" s="27"/>
      <c r="N187" s="27"/>
      <c r="O187" s="30" t="str">
        <f aca="false">IF($A187="","",COUNTIF($D187:$N187,"Yes"))</f>
        <v/>
      </c>
      <c r="P187" s="30" t="str">
        <f aca="false">IF($A187="","",COUNTA($D$3:$N$3))</f>
        <v/>
      </c>
      <c r="Q187" s="35" t="str">
        <f aca="false">IF($A187="","",IFERROR($O187/$P187,""))</f>
        <v/>
      </c>
      <c r="R187" s="31" t="str">
        <f aca="false">IF($A187="","",IF($Q187=1,"Complete",IF($Q187&gt;=0.7,"Almost Complete",IF($Q187&gt;0,"In Progress","Not Started"))))</f>
        <v/>
      </c>
      <c r="S187" s="28"/>
      <c r="T187" s="29"/>
      <c r="U187" s="32"/>
    </row>
    <row r="188" customFormat="false" ht="15.75" hidden="false" customHeight="true" outlineLevel="0" collapsed="false">
      <c r="A188" s="27"/>
      <c r="B188" s="33" t="str">
        <f aca="false">IFERROR(INDEX(Customers!$C$4:$C$1003,MATCH($A188,Customers!$A$4:$A$1003,0)),"")</f>
        <v/>
      </c>
      <c r="C188" s="31" t="str">
        <f aca="false">IFERROR(INDEX(Customers!$F$4:$F$1003,MATCH($A188,Customers!$A$4:$A$1003,0)),"")</f>
        <v/>
      </c>
      <c r="D188" s="27"/>
      <c r="E188" s="27"/>
      <c r="F188" s="27"/>
      <c r="G188" s="27"/>
      <c r="H188" s="27"/>
      <c r="I188" s="27"/>
      <c r="J188" s="27"/>
      <c r="K188" s="27"/>
      <c r="L188" s="27"/>
      <c r="M188" s="27"/>
      <c r="N188" s="27"/>
      <c r="O188" s="30" t="str">
        <f aca="false">IF($A188="","",COUNTIF($D188:$N188,"Yes"))</f>
        <v/>
      </c>
      <c r="P188" s="30" t="str">
        <f aca="false">IF($A188="","",COUNTA($D$3:$N$3))</f>
        <v/>
      </c>
      <c r="Q188" s="35" t="str">
        <f aca="false">IF($A188="","",IFERROR($O188/$P188,""))</f>
        <v/>
      </c>
      <c r="R188" s="31" t="str">
        <f aca="false">IF($A188="","",IF($Q188=1,"Complete",IF($Q188&gt;=0.7,"Almost Complete",IF($Q188&gt;0,"In Progress","Not Started"))))</f>
        <v/>
      </c>
      <c r="S188" s="28"/>
      <c r="T188" s="29"/>
      <c r="U188" s="32"/>
    </row>
    <row r="189" customFormat="false" ht="15.75" hidden="false" customHeight="true" outlineLevel="0" collapsed="false">
      <c r="A189" s="27"/>
      <c r="B189" s="33" t="str">
        <f aca="false">IFERROR(INDEX(Customers!$C$4:$C$1003,MATCH($A189,Customers!$A$4:$A$1003,0)),"")</f>
        <v/>
      </c>
      <c r="C189" s="31" t="str">
        <f aca="false">IFERROR(INDEX(Customers!$F$4:$F$1003,MATCH($A189,Customers!$A$4:$A$1003,0)),"")</f>
        <v/>
      </c>
      <c r="D189" s="27"/>
      <c r="E189" s="27"/>
      <c r="F189" s="27"/>
      <c r="G189" s="27"/>
      <c r="H189" s="27"/>
      <c r="I189" s="27"/>
      <c r="J189" s="27"/>
      <c r="K189" s="27"/>
      <c r="L189" s="27"/>
      <c r="M189" s="27"/>
      <c r="N189" s="27"/>
      <c r="O189" s="30" t="str">
        <f aca="false">IF($A189="","",COUNTIF($D189:$N189,"Yes"))</f>
        <v/>
      </c>
      <c r="P189" s="30" t="str">
        <f aca="false">IF($A189="","",COUNTA($D$3:$N$3))</f>
        <v/>
      </c>
      <c r="Q189" s="35" t="str">
        <f aca="false">IF($A189="","",IFERROR($O189/$P189,""))</f>
        <v/>
      </c>
      <c r="R189" s="31" t="str">
        <f aca="false">IF($A189="","",IF($Q189=1,"Complete",IF($Q189&gt;=0.7,"Almost Complete",IF($Q189&gt;0,"In Progress","Not Started"))))</f>
        <v/>
      </c>
      <c r="S189" s="28"/>
      <c r="T189" s="29"/>
      <c r="U189" s="32"/>
    </row>
    <row r="190" customFormat="false" ht="15.75" hidden="false" customHeight="true" outlineLevel="0" collapsed="false">
      <c r="A190" s="27"/>
      <c r="B190" s="33" t="str">
        <f aca="false">IFERROR(INDEX(Customers!$C$4:$C$1003,MATCH($A190,Customers!$A$4:$A$1003,0)),"")</f>
        <v/>
      </c>
      <c r="C190" s="31" t="str">
        <f aca="false">IFERROR(INDEX(Customers!$F$4:$F$1003,MATCH($A190,Customers!$A$4:$A$1003,0)),"")</f>
        <v/>
      </c>
      <c r="D190" s="27"/>
      <c r="E190" s="27"/>
      <c r="F190" s="27"/>
      <c r="G190" s="27"/>
      <c r="H190" s="27"/>
      <c r="I190" s="27"/>
      <c r="J190" s="27"/>
      <c r="K190" s="27"/>
      <c r="L190" s="27"/>
      <c r="M190" s="27"/>
      <c r="N190" s="27"/>
      <c r="O190" s="30" t="str">
        <f aca="false">IF($A190="","",COUNTIF($D190:$N190,"Yes"))</f>
        <v/>
      </c>
      <c r="P190" s="30" t="str">
        <f aca="false">IF($A190="","",COUNTA($D$3:$N$3))</f>
        <v/>
      </c>
      <c r="Q190" s="35" t="str">
        <f aca="false">IF($A190="","",IFERROR($O190/$P190,""))</f>
        <v/>
      </c>
      <c r="R190" s="31" t="str">
        <f aca="false">IF($A190="","",IF($Q190=1,"Complete",IF($Q190&gt;=0.7,"Almost Complete",IF($Q190&gt;0,"In Progress","Not Started"))))</f>
        <v/>
      </c>
      <c r="S190" s="28"/>
      <c r="T190" s="29"/>
      <c r="U190" s="32"/>
    </row>
    <row r="191" customFormat="false" ht="15.75" hidden="false" customHeight="true" outlineLevel="0" collapsed="false">
      <c r="A191" s="27"/>
      <c r="B191" s="33" t="str">
        <f aca="false">IFERROR(INDEX(Customers!$C$4:$C$1003,MATCH($A191,Customers!$A$4:$A$1003,0)),"")</f>
        <v/>
      </c>
      <c r="C191" s="31" t="str">
        <f aca="false">IFERROR(INDEX(Customers!$F$4:$F$1003,MATCH($A191,Customers!$A$4:$A$1003,0)),"")</f>
        <v/>
      </c>
      <c r="D191" s="27"/>
      <c r="E191" s="27"/>
      <c r="F191" s="27"/>
      <c r="G191" s="27"/>
      <c r="H191" s="27"/>
      <c r="I191" s="27"/>
      <c r="J191" s="27"/>
      <c r="K191" s="27"/>
      <c r="L191" s="27"/>
      <c r="M191" s="27"/>
      <c r="N191" s="27"/>
      <c r="O191" s="30" t="str">
        <f aca="false">IF($A191="","",COUNTIF($D191:$N191,"Yes"))</f>
        <v/>
      </c>
      <c r="P191" s="30" t="str">
        <f aca="false">IF($A191="","",COUNTA($D$3:$N$3))</f>
        <v/>
      </c>
      <c r="Q191" s="35" t="str">
        <f aca="false">IF($A191="","",IFERROR($O191/$P191,""))</f>
        <v/>
      </c>
      <c r="R191" s="31" t="str">
        <f aca="false">IF($A191="","",IF($Q191=1,"Complete",IF($Q191&gt;=0.7,"Almost Complete",IF($Q191&gt;0,"In Progress","Not Started"))))</f>
        <v/>
      </c>
      <c r="S191" s="28"/>
      <c r="T191" s="29"/>
      <c r="U191" s="32"/>
    </row>
    <row r="192" customFormat="false" ht="15.75" hidden="false" customHeight="true" outlineLevel="0" collapsed="false">
      <c r="A192" s="27"/>
      <c r="B192" s="33" t="str">
        <f aca="false">IFERROR(INDEX(Customers!$C$4:$C$1003,MATCH($A192,Customers!$A$4:$A$1003,0)),"")</f>
        <v/>
      </c>
      <c r="C192" s="31" t="str">
        <f aca="false">IFERROR(INDEX(Customers!$F$4:$F$1003,MATCH($A192,Customers!$A$4:$A$1003,0)),"")</f>
        <v/>
      </c>
      <c r="D192" s="27"/>
      <c r="E192" s="27"/>
      <c r="F192" s="27"/>
      <c r="G192" s="27"/>
      <c r="H192" s="27"/>
      <c r="I192" s="27"/>
      <c r="J192" s="27"/>
      <c r="K192" s="27"/>
      <c r="L192" s="27"/>
      <c r="M192" s="27"/>
      <c r="N192" s="27"/>
      <c r="O192" s="30" t="str">
        <f aca="false">IF($A192="","",COUNTIF($D192:$N192,"Yes"))</f>
        <v/>
      </c>
      <c r="P192" s="30" t="str">
        <f aca="false">IF($A192="","",COUNTA($D$3:$N$3))</f>
        <v/>
      </c>
      <c r="Q192" s="35" t="str">
        <f aca="false">IF($A192="","",IFERROR($O192/$P192,""))</f>
        <v/>
      </c>
      <c r="R192" s="31" t="str">
        <f aca="false">IF($A192="","",IF($Q192=1,"Complete",IF($Q192&gt;=0.7,"Almost Complete",IF($Q192&gt;0,"In Progress","Not Started"))))</f>
        <v/>
      </c>
      <c r="S192" s="28"/>
      <c r="T192" s="29"/>
      <c r="U192" s="32"/>
    </row>
    <row r="193" customFormat="false" ht="15.75" hidden="false" customHeight="true" outlineLevel="0" collapsed="false">
      <c r="A193" s="27"/>
      <c r="B193" s="33" t="str">
        <f aca="false">IFERROR(INDEX(Customers!$C$4:$C$1003,MATCH($A193,Customers!$A$4:$A$1003,0)),"")</f>
        <v/>
      </c>
      <c r="C193" s="31" t="str">
        <f aca="false">IFERROR(INDEX(Customers!$F$4:$F$1003,MATCH($A193,Customers!$A$4:$A$1003,0)),"")</f>
        <v/>
      </c>
      <c r="D193" s="27"/>
      <c r="E193" s="27"/>
      <c r="F193" s="27"/>
      <c r="G193" s="27"/>
      <c r="H193" s="27"/>
      <c r="I193" s="27"/>
      <c r="J193" s="27"/>
      <c r="K193" s="27"/>
      <c r="L193" s="27"/>
      <c r="M193" s="27"/>
      <c r="N193" s="27"/>
      <c r="O193" s="30" t="str">
        <f aca="false">IF($A193="","",COUNTIF($D193:$N193,"Yes"))</f>
        <v/>
      </c>
      <c r="P193" s="30" t="str">
        <f aca="false">IF($A193="","",COUNTA($D$3:$N$3))</f>
        <v/>
      </c>
      <c r="Q193" s="35" t="str">
        <f aca="false">IF($A193="","",IFERROR($O193/$P193,""))</f>
        <v/>
      </c>
      <c r="R193" s="31" t="str">
        <f aca="false">IF($A193="","",IF($Q193=1,"Complete",IF($Q193&gt;=0.7,"Almost Complete",IF($Q193&gt;0,"In Progress","Not Started"))))</f>
        <v/>
      </c>
      <c r="S193" s="28"/>
      <c r="T193" s="29"/>
      <c r="U193" s="32"/>
    </row>
    <row r="194" customFormat="false" ht="15.75" hidden="false" customHeight="true" outlineLevel="0" collapsed="false">
      <c r="A194" s="27"/>
      <c r="B194" s="33" t="str">
        <f aca="false">IFERROR(INDEX(Customers!$C$4:$C$1003,MATCH($A194,Customers!$A$4:$A$1003,0)),"")</f>
        <v/>
      </c>
      <c r="C194" s="31" t="str">
        <f aca="false">IFERROR(INDEX(Customers!$F$4:$F$1003,MATCH($A194,Customers!$A$4:$A$1003,0)),"")</f>
        <v/>
      </c>
      <c r="D194" s="27"/>
      <c r="E194" s="27"/>
      <c r="F194" s="27"/>
      <c r="G194" s="27"/>
      <c r="H194" s="27"/>
      <c r="I194" s="27"/>
      <c r="J194" s="27"/>
      <c r="K194" s="27"/>
      <c r="L194" s="27"/>
      <c r="M194" s="27"/>
      <c r="N194" s="27"/>
      <c r="O194" s="30" t="str">
        <f aca="false">IF($A194="","",COUNTIF($D194:$N194,"Yes"))</f>
        <v/>
      </c>
      <c r="P194" s="30" t="str">
        <f aca="false">IF($A194="","",COUNTA($D$3:$N$3))</f>
        <v/>
      </c>
      <c r="Q194" s="35" t="str">
        <f aca="false">IF($A194="","",IFERROR($O194/$P194,""))</f>
        <v/>
      </c>
      <c r="R194" s="31" t="str">
        <f aca="false">IF($A194="","",IF($Q194=1,"Complete",IF($Q194&gt;=0.7,"Almost Complete",IF($Q194&gt;0,"In Progress","Not Started"))))</f>
        <v/>
      </c>
      <c r="S194" s="28"/>
      <c r="T194" s="29"/>
      <c r="U194" s="32"/>
    </row>
    <row r="195" customFormat="false" ht="15.75" hidden="false" customHeight="true" outlineLevel="0" collapsed="false">
      <c r="A195" s="27"/>
      <c r="B195" s="33" t="str">
        <f aca="false">IFERROR(INDEX(Customers!$C$4:$C$1003,MATCH($A195,Customers!$A$4:$A$1003,0)),"")</f>
        <v/>
      </c>
      <c r="C195" s="31" t="str">
        <f aca="false">IFERROR(INDEX(Customers!$F$4:$F$1003,MATCH($A195,Customers!$A$4:$A$1003,0)),"")</f>
        <v/>
      </c>
      <c r="D195" s="27"/>
      <c r="E195" s="27"/>
      <c r="F195" s="27"/>
      <c r="G195" s="27"/>
      <c r="H195" s="27"/>
      <c r="I195" s="27"/>
      <c r="J195" s="27"/>
      <c r="K195" s="27"/>
      <c r="L195" s="27"/>
      <c r="M195" s="27"/>
      <c r="N195" s="27"/>
      <c r="O195" s="30" t="str">
        <f aca="false">IF($A195="","",COUNTIF($D195:$N195,"Yes"))</f>
        <v/>
      </c>
      <c r="P195" s="30" t="str">
        <f aca="false">IF($A195="","",COUNTA($D$3:$N$3))</f>
        <v/>
      </c>
      <c r="Q195" s="35" t="str">
        <f aca="false">IF($A195="","",IFERROR($O195/$P195,""))</f>
        <v/>
      </c>
      <c r="R195" s="31" t="str">
        <f aca="false">IF($A195="","",IF($Q195=1,"Complete",IF($Q195&gt;=0.7,"Almost Complete",IF($Q195&gt;0,"In Progress","Not Started"))))</f>
        <v/>
      </c>
      <c r="S195" s="28"/>
      <c r="T195" s="29"/>
      <c r="U195" s="32"/>
    </row>
    <row r="196" customFormat="false" ht="15.75" hidden="false" customHeight="true" outlineLevel="0" collapsed="false">
      <c r="A196" s="27"/>
      <c r="B196" s="33" t="str">
        <f aca="false">IFERROR(INDEX(Customers!$C$4:$C$1003,MATCH($A196,Customers!$A$4:$A$1003,0)),"")</f>
        <v/>
      </c>
      <c r="C196" s="31" t="str">
        <f aca="false">IFERROR(INDEX(Customers!$F$4:$F$1003,MATCH($A196,Customers!$A$4:$A$1003,0)),"")</f>
        <v/>
      </c>
      <c r="D196" s="27"/>
      <c r="E196" s="27"/>
      <c r="F196" s="27"/>
      <c r="G196" s="27"/>
      <c r="H196" s="27"/>
      <c r="I196" s="27"/>
      <c r="J196" s="27"/>
      <c r="K196" s="27"/>
      <c r="L196" s="27"/>
      <c r="M196" s="27"/>
      <c r="N196" s="27"/>
      <c r="O196" s="30" t="str">
        <f aca="false">IF($A196="","",COUNTIF($D196:$N196,"Yes"))</f>
        <v/>
      </c>
      <c r="P196" s="30" t="str">
        <f aca="false">IF($A196="","",COUNTA($D$3:$N$3))</f>
        <v/>
      </c>
      <c r="Q196" s="35" t="str">
        <f aca="false">IF($A196="","",IFERROR($O196/$P196,""))</f>
        <v/>
      </c>
      <c r="R196" s="31" t="str">
        <f aca="false">IF($A196="","",IF($Q196=1,"Complete",IF($Q196&gt;=0.7,"Almost Complete",IF($Q196&gt;0,"In Progress","Not Started"))))</f>
        <v/>
      </c>
      <c r="S196" s="28"/>
      <c r="T196" s="29"/>
      <c r="U196" s="32"/>
    </row>
    <row r="197" customFormat="false" ht="15.75" hidden="false" customHeight="true" outlineLevel="0" collapsed="false">
      <c r="A197" s="27"/>
      <c r="B197" s="33" t="str">
        <f aca="false">IFERROR(INDEX(Customers!$C$4:$C$1003,MATCH($A197,Customers!$A$4:$A$1003,0)),"")</f>
        <v/>
      </c>
      <c r="C197" s="31" t="str">
        <f aca="false">IFERROR(INDEX(Customers!$F$4:$F$1003,MATCH($A197,Customers!$A$4:$A$1003,0)),"")</f>
        <v/>
      </c>
      <c r="D197" s="27"/>
      <c r="E197" s="27"/>
      <c r="F197" s="27"/>
      <c r="G197" s="27"/>
      <c r="H197" s="27"/>
      <c r="I197" s="27"/>
      <c r="J197" s="27"/>
      <c r="K197" s="27"/>
      <c r="L197" s="27"/>
      <c r="M197" s="27"/>
      <c r="N197" s="27"/>
      <c r="O197" s="30" t="str">
        <f aca="false">IF($A197="","",COUNTIF($D197:$N197,"Yes"))</f>
        <v/>
      </c>
      <c r="P197" s="30" t="str">
        <f aca="false">IF($A197="","",COUNTA($D$3:$N$3))</f>
        <v/>
      </c>
      <c r="Q197" s="35" t="str">
        <f aca="false">IF($A197="","",IFERROR($O197/$P197,""))</f>
        <v/>
      </c>
      <c r="R197" s="31" t="str">
        <f aca="false">IF($A197="","",IF($Q197=1,"Complete",IF($Q197&gt;=0.7,"Almost Complete",IF($Q197&gt;0,"In Progress","Not Started"))))</f>
        <v/>
      </c>
      <c r="S197" s="28"/>
      <c r="T197" s="29"/>
      <c r="U197" s="32"/>
    </row>
    <row r="198" customFormat="false" ht="15.75" hidden="false" customHeight="true" outlineLevel="0" collapsed="false">
      <c r="A198" s="27"/>
      <c r="B198" s="33" t="str">
        <f aca="false">IFERROR(INDEX(Customers!$C$4:$C$1003,MATCH($A198,Customers!$A$4:$A$1003,0)),"")</f>
        <v/>
      </c>
      <c r="C198" s="31" t="str">
        <f aca="false">IFERROR(INDEX(Customers!$F$4:$F$1003,MATCH($A198,Customers!$A$4:$A$1003,0)),"")</f>
        <v/>
      </c>
      <c r="D198" s="27"/>
      <c r="E198" s="27"/>
      <c r="F198" s="27"/>
      <c r="G198" s="27"/>
      <c r="H198" s="27"/>
      <c r="I198" s="27"/>
      <c r="J198" s="27"/>
      <c r="K198" s="27"/>
      <c r="L198" s="27"/>
      <c r="M198" s="27"/>
      <c r="N198" s="27"/>
      <c r="O198" s="30" t="str">
        <f aca="false">IF($A198="","",COUNTIF($D198:$N198,"Yes"))</f>
        <v/>
      </c>
      <c r="P198" s="30" t="str">
        <f aca="false">IF($A198="","",COUNTA($D$3:$N$3))</f>
        <v/>
      </c>
      <c r="Q198" s="35" t="str">
        <f aca="false">IF($A198="","",IFERROR($O198/$P198,""))</f>
        <v/>
      </c>
      <c r="R198" s="31" t="str">
        <f aca="false">IF($A198="","",IF($Q198=1,"Complete",IF($Q198&gt;=0.7,"Almost Complete",IF($Q198&gt;0,"In Progress","Not Started"))))</f>
        <v/>
      </c>
      <c r="S198" s="28"/>
      <c r="T198" s="29"/>
      <c r="U198" s="32"/>
    </row>
    <row r="199" customFormat="false" ht="15.75" hidden="false" customHeight="true" outlineLevel="0" collapsed="false">
      <c r="A199" s="27"/>
      <c r="B199" s="33" t="str">
        <f aca="false">IFERROR(INDEX(Customers!$C$4:$C$1003,MATCH($A199,Customers!$A$4:$A$1003,0)),"")</f>
        <v/>
      </c>
      <c r="C199" s="31" t="str">
        <f aca="false">IFERROR(INDEX(Customers!$F$4:$F$1003,MATCH($A199,Customers!$A$4:$A$1003,0)),"")</f>
        <v/>
      </c>
      <c r="D199" s="27"/>
      <c r="E199" s="27"/>
      <c r="F199" s="27"/>
      <c r="G199" s="27"/>
      <c r="H199" s="27"/>
      <c r="I199" s="27"/>
      <c r="J199" s="27"/>
      <c r="K199" s="27"/>
      <c r="L199" s="27"/>
      <c r="M199" s="27"/>
      <c r="N199" s="27"/>
      <c r="O199" s="30" t="str">
        <f aca="false">IF($A199="","",COUNTIF($D199:$N199,"Yes"))</f>
        <v/>
      </c>
      <c r="P199" s="30" t="str">
        <f aca="false">IF($A199="","",COUNTA($D$3:$N$3))</f>
        <v/>
      </c>
      <c r="Q199" s="35" t="str">
        <f aca="false">IF($A199="","",IFERROR($O199/$P199,""))</f>
        <v/>
      </c>
      <c r="R199" s="31" t="str">
        <f aca="false">IF($A199="","",IF($Q199=1,"Complete",IF($Q199&gt;=0.7,"Almost Complete",IF($Q199&gt;0,"In Progress","Not Started"))))</f>
        <v/>
      </c>
      <c r="S199" s="28"/>
      <c r="T199" s="29"/>
      <c r="U199" s="32"/>
    </row>
    <row r="200" customFormat="false" ht="15.75" hidden="false" customHeight="true" outlineLevel="0" collapsed="false">
      <c r="A200" s="27"/>
      <c r="B200" s="33" t="str">
        <f aca="false">IFERROR(INDEX(Customers!$C$4:$C$1003,MATCH($A200,Customers!$A$4:$A$1003,0)),"")</f>
        <v/>
      </c>
      <c r="C200" s="31" t="str">
        <f aca="false">IFERROR(INDEX(Customers!$F$4:$F$1003,MATCH($A200,Customers!$A$4:$A$1003,0)),"")</f>
        <v/>
      </c>
      <c r="D200" s="27"/>
      <c r="E200" s="27"/>
      <c r="F200" s="27"/>
      <c r="G200" s="27"/>
      <c r="H200" s="27"/>
      <c r="I200" s="27"/>
      <c r="J200" s="27"/>
      <c r="K200" s="27"/>
      <c r="L200" s="27"/>
      <c r="M200" s="27"/>
      <c r="N200" s="27"/>
      <c r="O200" s="30" t="str">
        <f aca="false">IF($A200="","",COUNTIF($D200:$N200,"Yes"))</f>
        <v/>
      </c>
      <c r="P200" s="30" t="str">
        <f aca="false">IF($A200="","",COUNTA($D$3:$N$3))</f>
        <v/>
      </c>
      <c r="Q200" s="35" t="str">
        <f aca="false">IF($A200="","",IFERROR($O200/$P200,""))</f>
        <v/>
      </c>
      <c r="R200" s="31" t="str">
        <f aca="false">IF($A200="","",IF($Q200=1,"Complete",IF($Q200&gt;=0.7,"Almost Complete",IF($Q200&gt;0,"In Progress","Not Started"))))</f>
        <v/>
      </c>
      <c r="S200" s="28"/>
      <c r="T200" s="29"/>
      <c r="U200" s="32"/>
    </row>
    <row r="201" customFormat="false" ht="15.75" hidden="false" customHeight="true" outlineLevel="0" collapsed="false">
      <c r="A201" s="27"/>
      <c r="B201" s="33" t="str">
        <f aca="false">IFERROR(INDEX(Customers!$C$4:$C$1003,MATCH($A201,Customers!$A$4:$A$1003,0)),"")</f>
        <v/>
      </c>
      <c r="C201" s="31" t="str">
        <f aca="false">IFERROR(INDEX(Customers!$F$4:$F$1003,MATCH($A201,Customers!$A$4:$A$1003,0)),"")</f>
        <v/>
      </c>
      <c r="D201" s="27"/>
      <c r="E201" s="27"/>
      <c r="F201" s="27"/>
      <c r="G201" s="27"/>
      <c r="H201" s="27"/>
      <c r="I201" s="27"/>
      <c r="J201" s="27"/>
      <c r="K201" s="27"/>
      <c r="L201" s="27"/>
      <c r="M201" s="27"/>
      <c r="N201" s="27"/>
      <c r="O201" s="30" t="str">
        <f aca="false">IF($A201="","",COUNTIF($D201:$N201,"Yes"))</f>
        <v/>
      </c>
      <c r="P201" s="30" t="str">
        <f aca="false">IF($A201="","",COUNTA($D$3:$N$3))</f>
        <v/>
      </c>
      <c r="Q201" s="35" t="str">
        <f aca="false">IF($A201="","",IFERROR($O201/$P201,""))</f>
        <v/>
      </c>
      <c r="R201" s="31" t="str">
        <f aca="false">IF($A201="","",IF($Q201=1,"Complete",IF($Q201&gt;=0.7,"Almost Complete",IF($Q201&gt;0,"In Progress","Not Started"))))</f>
        <v/>
      </c>
      <c r="S201" s="28"/>
      <c r="T201" s="29"/>
      <c r="U201" s="32"/>
    </row>
    <row r="202" customFormat="false" ht="15.75" hidden="false" customHeight="true" outlineLevel="0" collapsed="false">
      <c r="A202" s="27"/>
      <c r="B202" s="33" t="str">
        <f aca="false">IFERROR(INDEX(Customers!$C$4:$C$1003,MATCH($A202,Customers!$A$4:$A$1003,0)),"")</f>
        <v/>
      </c>
      <c r="C202" s="31" t="str">
        <f aca="false">IFERROR(INDEX(Customers!$F$4:$F$1003,MATCH($A202,Customers!$A$4:$A$1003,0)),"")</f>
        <v/>
      </c>
      <c r="D202" s="27"/>
      <c r="E202" s="27"/>
      <c r="F202" s="27"/>
      <c r="G202" s="27"/>
      <c r="H202" s="27"/>
      <c r="I202" s="27"/>
      <c r="J202" s="27"/>
      <c r="K202" s="27"/>
      <c r="L202" s="27"/>
      <c r="M202" s="27"/>
      <c r="N202" s="27"/>
      <c r="O202" s="30" t="str">
        <f aca="false">IF($A202="","",COUNTIF($D202:$N202,"Yes"))</f>
        <v/>
      </c>
      <c r="P202" s="30" t="str">
        <f aca="false">IF($A202="","",COUNTA($D$3:$N$3))</f>
        <v/>
      </c>
      <c r="Q202" s="35" t="str">
        <f aca="false">IF($A202="","",IFERROR($O202/$P202,""))</f>
        <v/>
      </c>
      <c r="R202" s="31" t="str">
        <f aca="false">IF($A202="","",IF($Q202=1,"Complete",IF($Q202&gt;=0.7,"Almost Complete",IF($Q202&gt;0,"In Progress","Not Started"))))</f>
        <v/>
      </c>
      <c r="S202" s="28"/>
      <c r="T202" s="29"/>
      <c r="U202" s="32"/>
    </row>
    <row r="203" customFormat="false" ht="15.75" hidden="false" customHeight="true" outlineLevel="0" collapsed="false">
      <c r="A203" s="27"/>
      <c r="B203" s="33" t="str">
        <f aca="false">IFERROR(INDEX(Customers!$C$4:$C$1003,MATCH($A203,Customers!$A$4:$A$1003,0)),"")</f>
        <v/>
      </c>
      <c r="C203" s="31" t="str">
        <f aca="false">IFERROR(INDEX(Customers!$F$4:$F$1003,MATCH($A203,Customers!$A$4:$A$1003,0)),"")</f>
        <v/>
      </c>
      <c r="D203" s="27"/>
      <c r="E203" s="27"/>
      <c r="F203" s="27"/>
      <c r="G203" s="27"/>
      <c r="H203" s="27"/>
      <c r="I203" s="27"/>
      <c r="J203" s="27"/>
      <c r="K203" s="27"/>
      <c r="L203" s="27"/>
      <c r="M203" s="27"/>
      <c r="N203" s="27"/>
      <c r="O203" s="30" t="str">
        <f aca="false">IF($A203="","",COUNTIF($D203:$N203,"Yes"))</f>
        <v/>
      </c>
      <c r="P203" s="30" t="str">
        <f aca="false">IF($A203="","",COUNTA($D$3:$N$3))</f>
        <v/>
      </c>
      <c r="Q203" s="35" t="str">
        <f aca="false">IF($A203="","",IFERROR($O203/$P203,""))</f>
        <v/>
      </c>
      <c r="R203" s="31" t="str">
        <f aca="false">IF($A203="","",IF($Q203=1,"Complete",IF($Q203&gt;=0.7,"Almost Complete",IF($Q203&gt;0,"In Progress","Not Started"))))</f>
        <v/>
      </c>
      <c r="S203" s="28"/>
      <c r="T203" s="29"/>
      <c r="U203" s="32"/>
    </row>
  </sheetData>
  <autoFilter ref="A3:U203"/>
  <mergeCells count="2">
    <mergeCell ref="A1:U1"/>
    <mergeCell ref="A2:U2"/>
  </mergeCells>
  <conditionalFormatting sqref="A4:U203">
    <cfRule type="expression" priority="2" aboveAverage="0" equalAverage="0" bottom="0" percent="0" rank="0" text="" dxfId="17">
      <formula>MOD(ROW(),2)=0</formula>
    </cfRule>
  </conditionalFormatting>
  <conditionalFormatting sqref="D4:N203">
    <cfRule type="cellIs" priority="3" operator="equal" aboveAverage="0" equalAverage="0" bottom="0" percent="0" rank="0" text="" dxfId="19">
      <formula>"Yes"</formula>
    </cfRule>
    <cfRule type="cellIs" priority="4" operator="equal" aboveAverage="0" equalAverage="0" bottom="0" percent="0" rank="0" text="" dxfId="22">
      <formula>"No"</formula>
    </cfRule>
    <cfRule type="cellIs" priority="5" operator="equal" aboveAverage="0" equalAverage="0" bottom="0" percent="0" rank="0" text="" dxfId="23">
      <formula>"N/A"</formula>
    </cfRule>
  </conditionalFormatting>
  <conditionalFormatting sqref="Q4:Q203">
    <cfRule type="colorScale" priority="6">
      <colorScale>
        <cfvo type="num" val="0"/>
        <cfvo type="num" val="0.5"/>
        <cfvo type="num" val="1"/>
        <color rgb="FFFFC7CE"/>
        <color rgb="FFFFEB9C"/>
        <color rgb="FFC6EFCE"/>
      </colorScale>
    </cfRule>
  </conditionalFormatting>
  <conditionalFormatting sqref="R4:R203">
    <cfRule type="cellIs" priority="7" operator="equal" aboveAverage="0" equalAverage="0" bottom="0" percent="0" rank="0" text="" dxfId="19">
      <formula>"Complete"</formula>
    </cfRule>
    <cfRule type="cellIs" priority="8" operator="equal" aboveAverage="0" equalAverage="0" bottom="0" percent="0" rank="0" text="" dxfId="18">
      <formula>"Almost Complete"</formula>
    </cfRule>
    <cfRule type="cellIs" priority="9" operator="equal" aboveAverage="0" equalAverage="0" bottom="0" percent="0" rank="0" text="" dxfId="20">
      <formula>"In Progress"</formula>
    </cfRule>
    <cfRule type="cellIs" priority="10" operator="equal" aboveAverage="0" equalAverage="0" bottom="0" percent="0" rank="0" text="" dxfId="23">
      <formula>"Not Started"</formula>
    </cfRule>
  </conditionalFormatting>
  <dataValidations count="3">
    <dataValidation allowBlank="true" error="Please choose one of the values from the drop-down list." errorStyle="stop" errorTitle="Invalid entry" operator="between" showDropDown="false" showErrorMessage="false" showInputMessage="false" sqref="D4:N203" type="list">
      <formula1>Settings!$M$32:$M$34</formula1>
      <formula2>0</formula2>
    </dataValidation>
    <dataValidation allowBlank="true" error="Please choose one of the values from the drop-down list." errorStyle="stop" errorTitle="Invalid entry" operator="between" showDropDown="false" showErrorMessage="false" showInputMessage="false" sqref="S4:S203" type="list">
      <formula1>'Employee Management'!$B$4:$B$43</formula1>
      <formula2>0</formula2>
    </dataValidation>
    <dataValidation allowBlank="true" error="Enter a valid date (dd/mm/yyyy)." errorStyle="stop" errorTitle="Invalid date" operator="between" showDropDown="false" showErrorMessage="false" showInputMessage="false" sqref="T4:T203"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Q2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2734375" defaultRowHeight="15" customHeight="false"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20"/>
    <col collapsed="false" customWidth="true" hidden="false" outlineLevel="0" max="4" min="4" style="0" width="15"/>
    <col collapsed="false" customWidth="true" hidden="false" outlineLevel="0" max="5" min="5" style="0" width="17"/>
    <col collapsed="false" customWidth="true" hidden="false" outlineLevel="0" max="6" min="6" style="0" width="26"/>
    <col collapsed="false" customWidth="true" hidden="false" outlineLevel="0" max="7" min="7" style="0" width="13"/>
    <col collapsed="false" customWidth="true" hidden="false" outlineLevel="0" max="8" min="8" style="0" width="16"/>
    <col collapsed="false" customWidth="true" hidden="false" outlineLevel="0" max="9" min="9" style="0" width="17"/>
    <col collapsed="false" customWidth="true" hidden="false" outlineLevel="0" max="10" min="10" style="0" width="12"/>
    <col collapsed="false" customWidth="true" hidden="false" outlineLevel="0" max="12" min="11" style="0" width="14"/>
    <col collapsed="false" customWidth="true" hidden="false" outlineLevel="0" max="13" min="13" style="0" width="19"/>
    <col collapsed="false" customWidth="true" hidden="false" outlineLevel="0" max="14" min="14" style="0" width="12"/>
    <col collapsed="false" customWidth="true" hidden="false" outlineLevel="0" max="15" min="15" style="0" width="18"/>
    <col collapsed="false" customWidth="true" hidden="false" outlineLevel="0" max="16" min="16" style="0" width="13"/>
    <col collapsed="false" customWidth="true" hidden="false" outlineLevel="0" max="17" min="17" style="0" width="34"/>
  </cols>
  <sheetData>
    <row r="1" customFormat="false" ht="30" hidden="false" customHeight="true" outlineLevel="0" collapsed="false">
      <c r="A1" s="1" t="s">
        <v>617</v>
      </c>
      <c r="B1" s="1"/>
      <c r="C1" s="1"/>
      <c r="D1" s="1"/>
      <c r="E1" s="1"/>
      <c r="F1" s="1"/>
      <c r="G1" s="1"/>
      <c r="H1" s="1"/>
      <c r="I1" s="1"/>
      <c r="J1" s="1"/>
      <c r="K1" s="1"/>
      <c r="L1" s="1"/>
      <c r="M1" s="1"/>
      <c r="N1" s="1"/>
      <c r="O1" s="1"/>
      <c r="P1" s="1"/>
      <c r="Q1" s="1"/>
    </row>
    <row r="2" customFormat="false" ht="15.75" hidden="false" customHeight="true" outlineLevel="0" collapsed="false">
      <c r="A2" s="2" t="s">
        <v>618</v>
      </c>
      <c r="B2" s="2"/>
      <c r="C2" s="2"/>
      <c r="D2" s="2"/>
      <c r="E2" s="2"/>
      <c r="F2" s="2"/>
      <c r="G2" s="2"/>
      <c r="H2" s="2"/>
      <c r="I2" s="2"/>
      <c r="J2" s="2"/>
      <c r="K2" s="2"/>
      <c r="L2" s="2"/>
      <c r="M2" s="2"/>
      <c r="N2" s="2"/>
      <c r="O2" s="2"/>
      <c r="P2" s="2"/>
      <c r="Q2" s="2"/>
    </row>
    <row r="3" customFormat="false" ht="31.5" hidden="false" customHeight="true" outlineLevel="0" collapsed="false">
      <c r="A3" s="26" t="s">
        <v>619</v>
      </c>
      <c r="B3" s="26" t="s">
        <v>32</v>
      </c>
      <c r="C3" s="26" t="s">
        <v>620</v>
      </c>
      <c r="D3" s="26" t="s">
        <v>621</v>
      </c>
      <c r="E3" s="26" t="s">
        <v>258</v>
      </c>
      <c r="F3" s="26" t="s">
        <v>35</v>
      </c>
      <c r="G3" s="26" t="s">
        <v>622</v>
      </c>
      <c r="H3" s="26" t="s">
        <v>623</v>
      </c>
      <c r="I3" s="26" t="s">
        <v>624</v>
      </c>
      <c r="J3" s="26" t="s">
        <v>625</v>
      </c>
      <c r="K3" s="26" t="s">
        <v>626</v>
      </c>
      <c r="L3" s="26" t="s">
        <v>627</v>
      </c>
      <c r="M3" s="26" t="s">
        <v>628</v>
      </c>
      <c r="N3" s="26" t="s">
        <v>629</v>
      </c>
      <c r="O3" s="26" t="s">
        <v>630</v>
      </c>
      <c r="P3" s="26" t="s">
        <v>631</v>
      </c>
      <c r="Q3" s="26" t="s">
        <v>54</v>
      </c>
    </row>
    <row r="4" customFormat="false" ht="15.75" hidden="false" customHeight="true" outlineLevel="0" collapsed="false">
      <c r="A4" s="27" t="s">
        <v>632</v>
      </c>
      <c r="B4" s="28" t="s">
        <v>390</v>
      </c>
      <c r="C4" s="28" t="s">
        <v>633</v>
      </c>
      <c r="D4" s="27" t="s">
        <v>634</v>
      </c>
      <c r="E4" s="28" t="s">
        <v>635</v>
      </c>
      <c r="F4" s="28" t="s">
        <v>636</v>
      </c>
      <c r="G4" s="29" t="n">
        <v>44958</v>
      </c>
      <c r="H4" s="27" t="s">
        <v>351</v>
      </c>
      <c r="I4" s="41" t="n">
        <v>4000</v>
      </c>
      <c r="J4" s="30" t="n">
        <f aca="false">IF($B4="","",COUNTIF('Lead Management'!$Q$4:$Q$1003,$B4))</f>
        <v>0</v>
      </c>
      <c r="K4" s="30" t="n">
        <f aca="false">IF($B4="","",COUNTIF(Consultation!$G$4:$G$1003,$B4))</f>
        <v>0</v>
      </c>
      <c r="L4" s="30" t="n">
        <f aca="false">IF($B4="","",COUNTIF(Customers!$K$4:$K$1003,$B4))</f>
        <v>0</v>
      </c>
      <c r="M4" s="34" t="n">
        <f aca="false">IF($B4="","",SUMIF(Customers!$K$4:$K$1003,$B4,Customers!$M$4:$M$1003))</f>
        <v>0</v>
      </c>
      <c r="N4" s="48" t="n">
        <v>0</v>
      </c>
      <c r="O4" s="34" t="n">
        <f aca="false">IF($B4="","",$M4*$N4)</f>
        <v>0</v>
      </c>
      <c r="P4" s="35" t="str">
        <f aca="false">IF(OR($B4="",$J4=0),"",$L4/$J4)</f>
        <v/>
      </c>
      <c r="Q4" s="32" t="s">
        <v>637</v>
      </c>
    </row>
    <row r="5" customFormat="false" ht="15.75" hidden="false" customHeight="true" outlineLevel="0" collapsed="false">
      <c r="A5" s="27" t="s">
        <v>638</v>
      </c>
      <c r="B5" s="28" t="s">
        <v>67</v>
      </c>
      <c r="C5" s="28" t="s">
        <v>639</v>
      </c>
      <c r="D5" s="27" t="s">
        <v>640</v>
      </c>
      <c r="E5" s="28" t="s">
        <v>641</v>
      </c>
      <c r="F5" s="28" t="s">
        <v>642</v>
      </c>
      <c r="G5" s="29" t="n">
        <v>45061</v>
      </c>
      <c r="H5" s="27" t="s">
        <v>351</v>
      </c>
      <c r="I5" s="41" t="n">
        <v>2200</v>
      </c>
      <c r="J5" s="30" t="n">
        <f aca="false">IF($B5="","",COUNTIF('Lead Management'!$Q$4:$Q$1003,$B5))</f>
        <v>10</v>
      </c>
      <c r="K5" s="30" t="n">
        <f aca="false">IF($B5="","",COUNTIF(Consultation!$G$4:$G$1003,$B5))</f>
        <v>0</v>
      </c>
      <c r="L5" s="30" t="n">
        <f aca="false">IF($B5="","",COUNTIF(Customers!$K$4:$K$1003,$B5))</f>
        <v>4</v>
      </c>
      <c r="M5" s="34" t="n">
        <f aca="false">IF($B5="","",SUMIF(Customers!$K$4:$K$1003,$B5,Customers!$M$4:$M$1003))</f>
        <v>77000</v>
      </c>
      <c r="N5" s="48" t="n">
        <v>0.03</v>
      </c>
      <c r="O5" s="34" t="n">
        <f aca="false">IF($B5="","",$M5*$N5)</f>
        <v>2310</v>
      </c>
      <c r="P5" s="35" t="n">
        <f aca="false">IF(OR($B5="",$J5=0),"",$L5/$J5)</f>
        <v>0.4</v>
      </c>
      <c r="Q5" s="32"/>
    </row>
    <row r="6" customFormat="false" ht="15.75" hidden="false" customHeight="true" outlineLevel="0" collapsed="false">
      <c r="A6" s="27" t="s">
        <v>643</v>
      </c>
      <c r="B6" s="28" t="s">
        <v>79</v>
      </c>
      <c r="C6" s="28" t="s">
        <v>639</v>
      </c>
      <c r="D6" s="27" t="s">
        <v>640</v>
      </c>
      <c r="E6" s="28" t="s">
        <v>644</v>
      </c>
      <c r="F6" s="28" t="s">
        <v>645</v>
      </c>
      <c r="G6" s="29" t="n">
        <v>45301</v>
      </c>
      <c r="H6" s="27" t="s">
        <v>351</v>
      </c>
      <c r="I6" s="41" t="n">
        <v>2200</v>
      </c>
      <c r="J6" s="30" t="n">
        <f aca="false">IF($B6="","",COUNTIF('Lead Management'!$Q$4:$Q$1003,$B6))</f>
        <v>10</v>
      </c>
      <c r="K6" s="30" t="n">
        <f aca="false">IF($B6="","",COUNTIF(Consultation!$G$4:$G$1003,$B6))</f>
        <v>0</v>
      </c>
      <c r="L6" s="30" t="n">
        <f aca="false">IF($B6="","",COUNTIF(Customers!$K$4:$K$1003,$B6))</f>
        <v>4</v>
      </c>
      <c r="M6" s="34" t="n">
        <f aca="false">IF($B6="","",SUMIF(Customers!$K$4:$K$1003,$B6,Customers!$M$4:$M$1003))</f>
        <v>77250</v>
      </c>
      <c r="N6" s="48" t="n">
        <v>0.03</v>
      </c>
      <c r="O6" s="34" t="n">
        <f aca="false">IF($B6="","",$M6*$N6)</f>
        <v>2317.5</v>
      </c>
      <c r="P6" s="35" t="n">
        <f aca="false">IF(OR($B6="",$J6=0),"",$L6/$J6)</f>
        <v>0.4</v>
      </c>
      <c r="Q6" s="32"/>
    </row>
    <row r="7" customFormat="false" ht="15.75" hidden="false" customHeight="true" outlineLevel="0" collapsed="false">
      <c r="A7" s="27" t="s">
        <v>646</v>
      </c>
      <c r="B7" s="28" t="s">
        <v>273</v>
      </c>
      <c r="C7" s="28" t="s">
        <v>261</v>
      </c>
      <c r="D7" s="27" t="s">
        <v>647</v>
      </c>
      <c r="E7" s="28" t="s">
        <v>648</v>
      </c>
      <c r="F7" s="28" t="s">
        <v>649</v>
      </c>
      <c r="G7" s="29" t="n">
        <v>45355</v>
      </c>
      <c r="H7" s="27" t="s">
        <v>351</v>
      </c>
      <c r="I7" s="41" t="n">
        <v>2000</v>
      </c>
      <c r="J7" s="30" t="n">
        <f aca="false">IF($B7="","",COUNTIF('Lead Management'!$Q$4:$Q$1003,$B7))</f>
        <v>0</v>
      </c>
      <c r="K7" s="30" t="n">
        <f aca="false">IF($B7="","",COUNTIF(Consultation!$G$4:$G$1003,$B7))</f>
        <v>9</v>
      </c>
      <c r="L7" s="30" t="n">
        <f aca="false">IF($B7="","",COUNTIF(Customers!$K$4:$K$1003,$B7))</f>
        <v>0</v>
      </c>
      <c r="M7" s="34" t="n">
        <f aca="false">IF($B7="","",SUMIF(Customers!$K$4:$K$1003,$B7,Customers!$M$4:$M$1003))</f>
        <v>0</v>
      </c>
      <c r="N7" s="48" t="n">
        <v>0.02</v>
      </c>
      <c r="O7" s="34" t="n">
        <f aca="false">IF($B7="","",$M7*$N7)</f>
        <v>0</v>
      </c>
      <c r="P7" s="35" t="str">
        <f aca="false">IF(OR($B7="",$J7=0),"",$L7/$J7)</f>
        <v/>
      </c>
      <c r="Q7" s="32"/>
    </row>
    <row r="8" customFormat="false" ht="15.75" hidden="false" customHeight="true" outlineLevel="0" collapsed="false">
      <c r="A8" s="27" t="s">
        <v>650</v>
      </c>
      <c r="B8" s="28" t="s">
        <v>101</v>
      </c>
      <c r="C8" s="28" t="s">
        <v>651</v>
      </c>
      <c r="D8" s="27" t="s">
        <v>652</v>
      </c>
      <c r="E8" s="28" t="s">
        <v>653</v>
      </c>
      <c r="F8" s="28" t="s">
        <v>654</v>
      </c>
      <c r="G8" s="29" t="n">
        <v>45463</v>
      </c>
      <c r="H8" s="27" t="s">
        <v>351</v>
      </c>
      <c r="I8" s="41" t="n">
        <v>1800</v>
      </c>
      <c r="J8" s="30" t="n">
        <f aca="false">IF($B8="","",COUNTIF('Lead Management'!$Q$4:$Q$1003,$B8))</f>
        <v>0</v>
      </c>
      <c r="K8" s="30" t="n">
        <f aca="false">IF($B8="","",COUNTIF(Consultation!$G$4:$G$1003,$B8))</f>
        <v>0</v>
      </c>
      <c r="L8" s="30" t="n">
        <f aca="false">IF($B8="","",COUNTIF(Customers!$K$4:$K$1003,$B8))</f>
        <v>0</v>
      </c>
      <c r="M8" s="34" t="n">
        <f aca="false">IF($B8="","",SUMIF(Customers!$K$4:$K$1003,$B8,Customers!$M$4:$M$1003))</f>
        <v>0</v>
      </c>
      <c r="N8" s="48" t="n">
        <v>0</v>
      </c>
      <c r="O8" s="34" t="n">
        <f aca="false">IF($B8="","",$M8*$N8)</f>
        <v>0</v>
      </c>
      <c r="P8" s="35" t="str">
        <f aca="false">IF(OR($B8="",$J8=0),"",$L8/$J8)</f>
        <v/>
      </c>
      <c r="Q8" s="32"/>
    </row>
    <row r="9" customFormat="false" ht="15.75" hidden="false" customHeight="true" outlineLevel="0" collapsed="false">
      <c r="A9" s="27" t="s">
        <v>655</v>
      </c>
      <c r="B9" s="28" t="s">
        <v>452</v>
      </c>
      <c r="C9" s="28" t="s">
        <v>656</v>
      </c>
      <c r="D9" s="27" t="s">
        <v>657</v>
      </c>
      <c r="E9" s="28" t="s">
        <v>658</v>
      </c>
      <c r="F9" s="28" t="s">
        <v>659</v>
      </c>
      <c r="G9" s="29" t="n">
        <v>45537</v>
      </c>
      <c r="H9" s="27" t="s">
        <v>351</v>
      </c>
      <c r="I9" s="41" t="n">
        <v>2000</v>
      </c>
      <c r="J9" s="30" t="n">
        <f aca="false">IF($B9="","",COUNTIF('Lead Management'!$Q$4:$Q$1003,$B9))</f>
        <v>0</v>
      </c>
      <c r="K9" s="30" t="n">
        <f aca="false">IF($B9="","",COUNTIF(Consultation!$G$4:$G$1003,$B9))</f>
        <v>0</v>
      </c>
      <c r="L9" s="30" t="n">
        <f aca="false">IF($B9="","",COUNTIF(Customers!$K$4:$K$1003,$B9))</f>
        <v>0</v>
      </c>
      <c r="M9" s="34" t="n">
        <f aca="false">IF($B9="","",SUMIF(Customers!$K$4:$K$1003,$B9,Customers!$M$4:$M$1003))</f>
        <v>0</v>
      </c>
      <c r="N9" s="48" t="n">
        <v>0</v>
      </c>
      <c r="O9" s="34" t="n">
        <f aca="false">IF($B9="","",$M9*$N9)</f>
        <v>0</v>
      </c>
      <c r="P9" s="35" t="str">
        <f aca="false">IF(OR($B9="",$J9=0),"",$L9/$J9)</f>
        <v/>
      </c>
      <c r="Q9" s="32"/>
    </row>
    <row r="10" customFormat="false" ht="15.75" hidden="false" customHeight="true" outlineLevel="0" collapsed="false">
      <c r="A10" s="27" t="s">
        <v>660</v>
      </c>
      <c r="B10" s="28" t="s">
        <v>661</v>
      </c>
      <c r="C10" s="28" t="s">
        <v>662</v>
      </c>
      <c r="D10" s="27" t="s">
        <v>663</v>
      </c>
      <c r="E10" s="28" t="s">
        <v>664</v>
      </c>
      <c r="F10" s="28" t="s">
        <v>665</v>
      </c>
      <c r="G10" s="29" t="n">
        <v>45705</v>
      </c>
      <c r="H10" s="27" t="s">
        <v>351</v>
      </c>
      <c r="I10" s="41" t="n">
        <v>1800</v>
      </c>
      <c r="J10" s="30" t="n">
        <f aca="false">IF($B10="","",COUNTIF('Lead Management'!$Q$4:$Q$1003,$B10))</f>
        <v>0</v>
      </c>
      <c r="K10" s="30" t="n">
        <f aca="false">IF($B10="","",COUNTIF(Consultation!$G$4:$G$1003,$B10))</f>
        <v>0</v>
      </c>
      <c r="L10" s="30" t="n">
        <f aca="false">IF($B10="","",COUNTIF(Customers!$K$4:$K$1003,$B10))</f>
        <v>0</v>
      </c>
      <c r="M10" s="34" t="n">
        <f aca="false">IF($B10="","",SUMIF(Customers!$K$4:$K$1003,$B10,Customers!$M$4:$M$1003))</f>
        <v>0</v>
      </c>
      <c r="N10" s="48" t="n">
        <v>0</v>
      </c>
      <c r="O10" s="34" t="n">
        <f aca="false">IF($B10="","",$M10*$N10)</f>
        <v>0</v>
      </c>
      <c r="P10" s="35" t="str">
        <f aca="false">IF(OR($B10="",$J10=0),"",$L10/$J10)</f>
        <v/>
      </c>
      <c r="Q10" s="32"/>
    </row>
    <row r="11" customFormat="false" ht="15.75" hidden="false" customHeight="true" outlineLevel="0" collapsed="false">
      <c r="A11" s="27" t="s">
        <v>666</v>
      </c>
      <c r="B11" s="28" t="s">
        <v>90</v>
      </c>
      <c r="C11" s="28" t="s">
        <v>667</v>
      </c>
      <c r="D11" s="27" t="s">
        <v>652</v>
      </c>
      <c r="E11" s="28" t="s">
        <v>668</v>
      </c>
      <c r="F11" s="28" t="s">
        <v>669</v>
      </c>
      <c r="G11" s="29" t="n">
        <v>45748</v>
      </c>
      <c r="H11" s="27" t="s">
        <v>351</v>
      </c>
      <c r="I11" s="41" t="n">
        <v>3000</v>
      </c>
      <c r="J11" s="30" t="n">
        <f aca="false">IF($B11="","",COUNTIF('Lead Management'!$Q$4:$Q$1003,$B11))</f>
        <v>10</v>
      </c>
      <c r="K11" s="30" t="n">
        <f aca="false">IF($B11="","",COUNTIF(Consultation!$G$4:$G$1003,$B11))</f>
        <v>9</v>
      </c>
      <c r="L11" s="30" t="n">
        <f aca="false">IF($B11="","",COUNTIF(Customers!$K$4:$K$1003,$B11))</f>
        <v>4</v>
      </c>
      <c r="M11" s="34" t="n">
        <f aca="false">IF($B11="","",SUMIF(Customers!$K$4:$K$1003,$B11,Customers!$M$4:$M$1003))</f>
        <v>71000</v>
      </c>
      <c r="N11" s="48" t="n">
        <v>0.02</v>
      </c>
      <c r="O11" s="34" t="n">
        <f aca="false">IF($B11="","",$M11*$N11)</f>
        <v>1420</v>
      </c>
      <c r="P11" s="35" t="n">
        <f aca="false">IF(OR($B11="",$J11=0),"",$L11/$J11)</f>
        <v>0.4</v>
      </c>
      <c r="Q11" s="32"/>
    </row>
    <row r="12" customFormat="false" ht="15.75" hidden="false" customHeight="true" outlineLevel="0" collapsed="false">
      <c r="A12" s="27"/>
      <c r="B12" s="28"/>
      <c r="C12" s="28"/>
      <c r="D12" s="27"/>
      <c r="E12" s="28"/>
      <c r="F12" s="28"/>
      <c r="G12" s="29"/>
      <c r="H12" s="27"/>
      <c r="I12" s="41"/>
      <c r="J12" s="30" t="str">
        <f aca="false">IF($B12="","",COUNTIF('Lead Management'!$Q$4:$Q$1003,$B12))</f>
        <v/>
      </c>
      <c r="K12" s="30" t="str">
        <f aca="false">IF($B12="","",COUNTIF(Consultation!$G$4:$G$1003,$B12))</f>
        <v/>
      </c>
      <c r="L12" s="30" t="str">
        <f aca="false">IF($B12="","",COUNTIF(Customers!$K$4:$K$1003,$B12))</f>
        <v/>
      </c>
      <c r="M12" s="34" t="str">
        <f aca="false">IF($B12="","",SUMIF(Customers!$K$4:$K$1003,$B12,Customers!$M$4:$M$1003))</f>
        <v/>
      </c>
      <c r="N12" s="48"/>
      <c r="O12" s="34" t="str">
        <f aca="false">IF($B12="","",$M12*$N12)</f>
        <v/>
      </c>
      <c r="P12" s="35" t="str">
        <f aca="false">IF(OR($B12="",$J12=0),"",$L12/$J12)</f>
        <v/>
      </c>
      <c r="Q12" s="32"/>
    </row>
    <row r="13" customFormat="false" ht="15.75" hidden="false" customHeight="true" outlineLevel="0" collapsed="false">
      <c r="A13" s="27"/>
      <c r="B13" s="28"/>
      <c r="C13" s="28"/>
      <c r="D13" s="27"/>
      <c r="E13" s="28"/>
      <c r="F13" s="28"/>
      <c r="G13" s="29"/>
      <c r="H13" s="27"/>
      <c r="I13" s="41"/>
      <c r="J13" s="30" t="str">
        <f aca="false">IF($B13="","",COUNTIF('Lead Management'!$Q$4:$Q$1003,$B13))</f>
        <v/>
      </c>
      <c r="K13" s="30" t="str">
        <f aca="false">IF($B13="","",COUNTIF(Consultation!$G$4:$G$1003,$B13))</f>
        <v/>
      </c>
      <c r="L13" s="30" t="str">
        <f aca="false">IF($B13="","",COUNTIF(Customers!$K$4:$K$1003,$B13))</f>
        <v/>
      </c>
      <c r="M13" s="34" t="str">
        <f aca="false">IF($B13="","",SUMIF(Customers!$K$4:$K$1003,$B13,Customers!$M$4:$M$1003))</f>
        <v/>
      </c>
      <c r="N13" s="48"/>
      <c r="O13" s="34" t="str">
        <f aca="false">IF($B13="","",$M13*$N13)</f>
        <v/>
      </c>
      <c r="P13" s="35" t="str">
        <f aca="false">IF(OR($B13="",$J13=0),"",$L13/$J13)</f>
        <v/>
      </c>
      <c r="Q13" s="32"/>
    </row>
    <row r="14" customFormat="false" ht="15.75" hidden="false" customHeight="true" outlineLevel="0" collapsed="false">
      <c r="A14" s="27"/>
      <c r="B14" s="28"/>
      <c r="C14" s="28"/>
      <c r="D14" s="27"/>
      <c r="E14" s="28"/>
      <c r="F14" s="28"/>
      <c r="G14" s="29"/>
      <c r="H14" s="27"/>
      <c r="I14" s="41"/>
      <c r="J14" s="30" t="str">
        <f aca="false">IF($B14="","",COUNTIF('Lead Management'!$Q$4:$Q$1003,$B14))</f>
        <v/>
      </c>
      <c r="K14" s="30" t="str">
        <f aca="false">IF($B14="","",COUNTIF(Consultation!$G$4:$G$1003,$B14))</f>
        <v/>
      </c>
      <c r="L14" s="30" t="str">
        <f aca="false">IF($B14="","",COUNTIF(Customers!$K$4:$K$1003,$B14))</f>
        <v/>
      </c>
      <c r="M14" s="34" t="str">
        <f aca="false">IF($B14="","",SUMIF(Customers!$K$4:$K$1003,$B14,Customers!$M$4:$M$1003))</f>
        <v/>
      </c>
      <c r="N14" s="48"/>
      <c r="O14" s="34" t="str">
        <f aca="false">IF($B14="","",$M14*$N14)</f>
        <v/>
      </c>
      <c r="P14" s="35" t="str">
        <f aca="false">IF(OR($B14="",$J14=0),"",$L14/$J14)</f>
        <v/>
      </c>
      <c r="Q14" s="32"/>
    </row>
    <row r="15" customFormat="false" ht="15.75" hidden="false" customHeight="true" outlineLevel="0" collapsed="false">
      <c r="A15" s="27"/>
      <c r="B15" s="28"/>
      <c r="C15" s="28"/>
      <c r="D15" s="27"/>
      <c r="E15" s="28"/>
      <c r="F15" s="28"/>
      <c r="G15" s="29"/>
      <c r="H15" s="27"/>
      <c r="I15" s="41"/>
      <c r="J15" s="30" t="str">
        <f aca="false">IF($B15="","",COUNTIF('Lead Management'!$Q$4:$Q$1003,$B15))</f>
        <v/>
      </c>
      <c r="K15" s="30" t="str">
        <f aca="false">IF($B15="","",COUNTIF(Consultation!$G$4:$G$1003,$B15))</f>
        <v/>
      </c>
      <c r="L15" s="30" t="str">
        <f aca="false">IF($B15="","",COUNTIF(Customers!$K$4:$K$1003,$B15))</f>
        <v/>
      </c>
      <c r="M15" s="34" t="str">
        <f aca="false">IF($B15="","",SUMIF(Customers!$K$4:$K$1003,$B15,Customers!$M$4:$M$1003))</f>
        <v/>
      </c>
      <c r="N15" s="48"/>
      <c r="O15" s="34" t="str">
        <f aca="false">IF($B15="","",$M15*$N15)</f>
        <v/>
      </c>
      <c r="P15" s="35" t="str">
        <f aca="false">IF(OR($B15="",$J15=0),"",$L15/$J15)</f>
        <v/>
      </c>
      <c r="Q15" s="32"/>
    </row>
    <row r="16" customFormat="false" ht="15.75" hidden="false" customHeight="true" outlineLevel="0" collapsed="false">
      <c r="A16" s="27"/>
      <c r="B16" s="28"/>
      <c r="C16" s="28"/>
      <c r="D16" s="27"/>
      <c r="E16" s="28"/>
      <c r="F16" s="28"/>
      <c r="G16" s="29"/>
      <c r="H16" s="27"/>
      <c r="I16" s="41"/>
      <c r="J16" s="30" t="str">
        <f aca="false">IF($B16="","",COUNTIF('Lead Management'!$Q$4:$Q$1003,$B16))</f>
        <v/>
      </c>
      <c r="K16" s="30" t="str">
        <f aca="false">IF($B16="","",COUNTIF(Consultation!$G$4:$G$1003,$B16))</f>
        <v/>
      </c>
      <c r="L16" s="30" t="str">
        <f aca="false">IF($B16="","",COUNTIF(Customers!$K$4:$K$1003,$B16))</f>
        <v/>
      </c>
      <c r="M16" s="34" t="str">
        <f aca="false">IF($B16="","",SUMIF(Customers!$K$4:$K$1003,$B16,Customers!$M$4:$M$1003))</f>
        <v/>
      </c>
      <c r="N16" s="48"/>
      <c r="O16" s="34" t="str">
        <f aca="false">IF($B16="","",$M16*$N16)</f>
        <v/>
      </c>
      <c r="P16" s="35" t="str">
        <f aca="false">IF(OR($B16="",$J16=0),"",$L16/$J16)</f>
        <v/>
      </c>
      <c r="Q16" s="32"/>
    </row>
    <row r="17" customFormat="false" ht="15.75" hidden="false" customHeight="true" outlineLevel="0" collapsed="false">
      <c r="A17" s="27"/>
      <c r="B17" s="28"/>
      <c r="C17" s="28"/>
      <c r="D17" s="27"/>
      <c r="E17" s="28"/>
      <c r="F17" s="28"/>
      <c r="G17" s="29"/>
      <c r="H17" s="27"/>
      <c r="I17" s="41"/>
      <c r="J17" s="30" t="str">
        <f aca="false">IF($B17="","",COUNTIF('Lead Management'!$Q$4:$Q$1003,$B17))</f>
        <v/>
      </c>
      <c r="K17" s="30" t="str">
        <f aca="false">IF($B17="","",COUNTIF(Consultation!$G$4:$G$1003,$B17))</f>
        <v/>
      </c>
      <c r="L17" s="30" t="str">
        <f aca="false">IF($B17="","",COUNTIF(Customers!$K$4:$K$1003,$B17))</f>
        <v/>
      </c>
      <c r="M17" s="34" t="str">
        <f aca="false">IF($B17="","",SUMIF(Customers!$K$4:$K$1003,$B17,Customers!$M$4:$M$1003))</f>
        <v/>
      </c>
      <c r="N17" s="48"/>
      <c r="O17" s="34" t="str">
        <f aca="false">IF($B17="","",$M17*$N17)</f>
        <v/>
      </c>
      <c r="P17" s="35" t="str">
        <f aca="false">IF(OR($B17="",$J17=0),"",$L17/$J17)</f>
        <v/>
      </c>
      <c r="Q17" s="32"/>
    </row>
    <row r="18" customFormat="false" ht="15.75" hidden="false" customHeight="true" outlineLevel="0" collapsed="false">
      <c r="A18" s="27"/>
      <c r="B18" s="28"/>
      <c r="C18" s="28"/>
      <c r="D18" s="27"/>
      <c r="E18" s="28"/>
      <c r="F18" s="28"/>
      <c r="G18" s="29"/>
      <c r="H18" s="27"/>
      <c r="I18" s="41"/>
      <c r="J18" s="30" t="str">
        <f aca="false">IF($B18="","",COUNTIF('Lead Management'!$Q$4:$Q$1003,$B18))</f>
        <v/>
      </c>
      <c r="K18" s="30" t="str">
        <f aca="false">IF($B18="","",COUNTIF(Consultation!$G$4:$G$1003,$B18))</f>
        <v/>
      </c>
      <c r="L18" s="30" t="str">
        <f aca="false">IF($B18="","",COUNTIF(Customers!$K$4:$K$1003,$B18))</f>
        <v/>
      </c>
      <c r="M18" s="34" t="str">
        <f aca="false">IF($B18="","",SUMIF(Customers!$K$4:$K$1003,$B18,Customers!$M$4:$M$1003))</f>
        <v/>
      </c>
      <c r="N18" s="48"/>
      <c r="O18" s="34" t="str">
        <f aca="false">IF($B18="","",$M18*$N18)</f>
        <v/>
      </c>
      <c r="P18" s="35" t="str">
        <f aca="false">IF(OR($B18="",$J18=0),"",$L18/$J18)</f>
        <v/>
      </c>
      <c r="Q18" s="32"/>
    </row>
    <row r="19" customFormat="false" ht="15.75" hidden="false" customHeight="true" outlineLevel="0" collapsed="false">
      <c r="A19" s="27"/>
      <c r="B19" s="28"/>
      <c r="C19" s="28"/>
      <c r="D19" s="27"/>
      <c r="E19" s="28"/>
      <c r="F19" s="28"/>
      <c r="G19" s="29"/>
      <c r="H19" s="27"/>
      <c r="I19" s="41"/>
      <c r="J19" s="30" t="str">
        <f aca="false">IF($B19="","",COUNTIF('Lead Management'!$Q$4:$Q$1003,$B19))</f>
        <v/>
      </c>
      <c r="K19" s="30" t="str">
        <f aca="false">IF($B19="","",COUNTIF(Consultation!$G$4:$G$1003,$B19))</f>
        <v/>
      </c>
      <c r="L19" s="30" t="str">
        <f aca="false">IF($B19="","",COUNTIF(Customers!$K$4:$K$1003,$B19))</f>
        <v/>
      </c>
      <c r="M19" s="34" t="str">
        <f aca="false">IF($B19="","",SUMIF(Customers!$K$4:$K$1003,$B19,Customers!$M$4:$M$1003))</f>
        <v/>
      </c>
      <c r="N19" s="48"/>
      <c r="O19" s="34" t="str">
        <f aca="false">IF($B19="","",$M19*$N19)</f>
        <v/>
      </c>
      <c r="P19" s="35" t="str">
        <f aca="false">IF(OR($B19="",$J19=0),"",$L19/$J19)</f>
        <v/>
      </c>
      <c r="Q19" s="32"/>
    </row>
    <row r="20" customFormat="false" ht="15.75" hidden="false" customHeight="true" outlineLevel="0" collapsed="false">
      <c r="A20" s="27"/>
      <c r="B20" s="28"/>
      <c r="C20" s="28"/>
      <c r="D20" s="27"/>
      <c r="E20" s="28"/>
      <c r="F20" s="28"/>
      <c r="G20" s="29"/>
      <c r="H20" s="27"/>
      <c r="I20" s="41"/>
      <c r="J20" s="30" t="str">
        <f aca="false">IF($B20="","",COUNTIF('Lead Management'!$Q$4:$Q$1003,$B20))</f>
        <v/>
      </c>
      <c r="K20" s="30" t="str">
        <f aca="false">IF($B20="","",COUNTIF(Consultation!$G$4:$G$1003,$B20))</f>
        <v/>
      </c>
      <c r="L20" s="30" t="str">
        <f aca="false">IF($B20="","",COUNTIF(Customers!$K$4:$K$1003,$B20))</f>
        <v/>
      </c>
      <c r="M20" s="34" t="str">
        <f aca="false">IF($B20="","",SUMIF(Customers!$K$4:$K$1003,$B20,Customers!$M$4:$M$1003))</f>
        <v/>
      </c>
      <c r="N20" s="48"/>
      <c r="O20" s="34" t="str">
        <f aca="false">IF($B20="","",$M20*$N20)</f>
        <v/>
      </c>
      <c r="P20" s="35" t="str">
        <f aca="false">IF(OR($B20="",$J20=0),"",$L20/$J20)</f>
        <v/>
      </c>
      <c r="Q20" s="32"/>
    </row>
    <row r="21" customFormat="false" ht="15.75" hidden="false" customHeight="true" outlineLevel="0" collapsed="false">
      <c r="A21" s="27"/>
      <c r="B21" s="28"/>
      <c r="C21" s="28"/>
      <c r="D21" s="27"/>
      <c r="E21" s="28"/>
      <c r="F21" s="28"/>
      <c r="G21" s="29"/>
      <c r="H21" s="27"/>
      <c r="I21" s="41"/>
      <c r="J21" s="30" t="str">
        <f aca="false">IF($B21="","",COUNTIF('Lead Management'!$Q$4:$Q$1003,$B21))</f>
        <v/>
      </c>
      <c r="K21" s="30" t="str">
        <f aca="false">IF($B21="","",COUNTIF(Consultation!$G$4:$G$1003,$B21))</f>
        <v/>
      </c>
      <c r="L21" s="30" t="str">
        <f aca="false">IF($B21="","",COUNTIF(Customers!$K$4:$K$1003,$B21))</f>
        <v/>
      </c>
      <c r="M21" s="34" t="str">
        <f aca="false">IF($B21="","",SUMIF(Customers!$K$4:$K$1003,$B21,Customers!$M$4:$M$1003))</f>
        <v/>
      </c>
      <c r="N21" s="48"/>
      <c r="O21" s="34" t="str">
        <f aca="false">IF($B21="","",$M21*$N21)</f>
        <v/>
      </c>
      <c r="P21" s="35" t="str">
        <f aca="false">IF(OR($B21="",$J21=0),"",$L21/$J21)</f>
        <v/>
      </c>
      <c r="Q21" s="32"/>
    </row>
    <row r="22" customFormat="false" ht="15.75" hidden="false" customHeight="true" outlineLevel="0" collapsed="false">
      <c r="A22" s="27"/>
      <c r="B22" s="28"/>
      <c r="C22" s="28"/>
      <c r="D22" s="27"/>
      <c r="E22" s="28"/>
      <c r="F22" s="28"/>
      <c r="G22" s="29"/>
      <c r="H22" s="27"/>
      <c r="I22" s="41"/>
      <c r="J22" s="30" t="str">
        <f aca="false">IF($B22="","",COUNTIF('Lead Management'!$Q$4:$Q$1003,$B22))</f>
        <v/>
      </c>
      <c r="K22" s="30" t="str">
        <f aca="false">IF($B22="","",COUNTIF(Consultation!$G$4:$G$1003,$B22))</f>
        <v/>
      </c>
      <c r="L22" s="30" t="str">
        <f aca="false">IF($B22="","",COUNTIF(Customers!$K$4:$K$1003,$B22))</f>
        <v/>
      </c>
      <c r="M22" s="34" t="str">
        <f aca="false">IF($B22="","",SUMIF(Customers!$K$4:$K$1003,$B22,Customers!$M$4:$M$1003))</f>
        <v/>
      </c>
      <c r="N22" s="48"/>
      <c r="O22" s="34" t="str">
        <f aca="false">IF($B22="","",$M22*$N22)</f>
        <v/>
      </c>
      <c r="P22" s="35" t="str">
        <f aca="false">IF(OR($B22="",$J22=0),"",$L22/$J22)</f>
        <v/>
      </c>
      <c r="Q22" s="32"/>
    </row>
    <row r="23" customFormat="false" ht="15.75" hidden="false" customHeight="true" outlineLevel="0" collapsed="false">
      <c r="A23" s="27"/>
      <c r="B23" s="28"/>
      <c r="C23" s="28"/>
      <c r="D23" s="27"/>
      <c r="E23" s="28"/>
      <c r="F23" s="28"/>
      <c r="G23" s="29"/>
      <c r="H23" s="27"/>
      <c r="I23" s="41"/>
      <c r="J23" s="30" t="str">
        <f aca="false">IF($B23="","",COUNTIF('Lead Management'!$Q$4:$Q$1003,$B23))</f>
        <v/>
      </c>
      <c r="K23" s="30" t="str">
        <f aca="false">IF($B23="","",COUNTIF(Consultation!$G$4:$G$1003,$B23))</f>
        <v/>
      </c>
      <c r="L23" s="30" t="str">
        <f aca="false">IF($B23="","",COUNTIF(Customers!$K$4:$K$1003,$B23))</f>
        <v/>
      </c>
      <c r="M23" s="34" t="str">
        <f aca="false">IF($B23="","",SUMIF(Customers!$K$4:$K$1003,$B23,Customers!$M$4:$M$1003))</f>
        <v/>
      </c>
      <c r="N23" s="48"/>
      <c r="O23" s="34" t="str">
        <f aca="false">IF($B23="","",$M23*$N23)</f>
        <v/>
      </c>
      <c r="P23" s="35" t="str">
        <f aca="false">IF(OR($B23="",$J23=0),"",$L23/$J23)</f>
        <v/>
      </c>
      <c r="Q23" s="32"/>
    </row>
    <row r="24" customFormat="false" ht="15.75" hidden="false" customHeight="true" outlineLevel="0" collapsed="false">
      <c r="A24" s="27"/>
      <c r="B24" s="28"/>
      <c r="C24" s="28"/>
      <c r="D24" s="27"/>
      <c r="E24" s="28"/>
      <c r="F24" s="28"/>
      <c r="G24" s="29"/>
      <c r="H24" s="27"/>
      <c r="I24" s="41"/>
      <c r="J24" s="30" t="str">
        <f aca="false">IF($B24="","",COUNTIF('Lead Management'!$Q$4:$Q$1003,$B24))</f>
        <v/>
      </c>
      <c r="K24" s="30" t="str">
        <f aca="false">IF($B24="","",COUNTIF(Consultation!$G$4:$G$1003,$B24))</f>
        <v/>
      </c>
      <c r="L24" s="30" t="str">
        <f aca="false">IF($B24="","",COUNTIF(Customers!$K$4:$K$1003,$B24))</f>
        <v/>
      </c>
      <c r="M24" s="34" t="str">
        <f aca="false">IF($B24="","",SUMIF(Customers!$K$4:$K$1003,$B24,Customers!$M$4:$M$1003))</f>
        <v/>
      </c>
      <c r="N24" s="48"/>
      <c r="O24" s="34" t="str">
        <f aca="false">IF($B24="","",$M24*$N24)</f>
        <v/>
      </c>
      <c r="P24" s="35" t="str">
        <f aca="false">IF(OR($B24="",$J24=0),"",$L24/$J24)</f>
        <v/>
      </c>
      <c r="Q24" s="32"/>
    </row>
    <row r="25" customFormat="false" ht="15.75" hidden="false" customHeight="true" outlineLevel="0" collapsed="false">
      <c r="A25" s="27"/>
      <c r="B25" s="28"/>
      <c r="C25" s="28"/>
      <c r="D25" s="27"/>
      <c r="E25" s="28"/>
      <c r="F25" s="28"/>
      <c r="G25" s="29"/>
      <c r="H25" s="27"/>
      <c r="I25" s="41"/>
      <c r="J25" s="30" t="str">
        <f aca="false">IF($B25="","",COUNTIF('Lead Management'!$Q$4:$Q$1003,$B25))</f>
        <v/>
      </c>
      <c r="K25" s="30" t="str">
        <f aca="false">IF($B25="","",COUNTIF(Consultation!$G$4:$G$1003,$B25))</f>
        <v/>
      </c>
      <c r="L25" s="30" t="str">
        <f aca="false">IF($B25="","",COUNTIF(Customers!$K$4:$K$1003,$B25))</f>
        <v/>
      </c>
      <c r="M25" s="34" t="str">
        <f aca="false">IF($B25="","",SUMIF(Customers!$K$4:$K$1003,$B25,Customers!$M$4:$M$1003))</f>
        <v/>
      </c>
      <c r="N25" s="48"/>
      <c r="O25" s="34" t="str">
        <f aca="false">IF($B25="","",$M25*$N25)</f>
        <v/>
      </c>
      <c r="P25" s="35" t="str">
        <f aca="false">IF(OR($B25="",$J25=0),"",$L25/$J25)</f>
        <v/>
      </c>
      <c r="Q25" s="32"/>
    </row>
    <row r="26" customFormat="false" ht="15.75" hidden="false" customHeight="true" outlineLevel="0" collapsed="false">
      <c r="A26" s="27"/>
      <c r="B26" s="28"/>
      <c r="C26" s="28"/>
      <c r="D26" s="27"/>
      <c r="E26" s="28"/>
      <c r="F26" s="28"/>
      <c r="G26" s="29"/>
      <c r="H26" s="27"/>
      <c r="I26" s="41"/>
      <c r="J26" s="30" t="str">
        <f aca="false">IF($B26="","",COUNTIF('Lead Management'!$Q$4:$Q$1003,$B26))</f>
        <v/>
      </c>
      <c r="K26" s="30" t="str">
        <f aca="false">IF($B26="","",COUNTIF(Consultation!$G$4:$G$1003,$B26))</f>
        <v/>
      </c>
      <c r="L26" s="30" t="str">
        <f aca="false">IF($B26="","",COUNTIF(Customers!$K$4:$K$1003,$B26))</f>
        <v/>
      </c>
      <c r="M26" s="34" t="str">
        <f aca="false">IF($B26="","",SUMIF(Customers!$K$4:$K$1003,$B26,Customers!$M$4:$M$1003))</f>
        <v/>
      </c>
      <c r="N26" s="48"/>
      <c r="O26" s="34" t="str">
        <f aca="false">IF($B26="","",$M26*$N26)</f>
        <v/>
      </c>
      <c r="P26" s="35" t="str">
        <f aca="false">IF(OR($B26="",$J26=0),"",$L26/$J26)</f>
        <v/>
      </c>
      <c r="Q26" s="32"/>
    </row>
    <row r="27" customFormat="false" ht="15.75" hidden="false" customHeight="true" outlineLevel="0" collapsed="false">
      <c r="A27" s="27"/>
      <c r="B27" s="28"/>
      <c r="C27" s="28"/>
      <c r="D27" s="27"/>
      <c r="E27" s="28"/>
      <c r="F27" s="28"/>
      <c r="G27" s="29"/>
      <c r="H27" s="27"/>
      <c r="I27" s="41"/>
      <c r="J27" s="30" t="str">
        <f aca="false">IF($B27="","",COUNTIF('Lead Management'!$Q$4:$Q$1003,$B27))</f>
        <v/>
      </c>
      <c r="K27" s="30" t="str">
        <f aca="false">IF($B27="","",COUNTIF(Consultation!$G$4:$G$1003,$B27))</f>
        <v/>
      </c>
      <c r="L27" s="30" t="str">
        <f aca="false">IF($B27="","",COUNTIF(Customers!$K$4:$K$1003,$B27))</f>
        <v/>
      </c>
      <c r="M27" s="34" t="str">
        <f aca="false">IF($B27="","",SUMIF(Customers!$K$4:$K$1003,$B27,Customers!$M$4:$M$1003))</f>
        <v/>
      </c>
      <c r="N27" s="48"/>
      <c r="O27" s="34" t="str">
        <f aca="false">IF($B27="","",$M27*$N27)</f>
        <v/>
      </c>
      <c r="P27" s="35" t="str">
        <f aca="false">IF(OR($B27="",$J27=0),"",$L27/$J27)</f>
        <v/>
      </c>
      <c r="Q27" s="32"/>
    </row>
    <row r="28" customFormat="false" ht="15.75" hidden="false" customHeight="true" outlineLevel="0" collapsed="false">
      <c r="A28" s="27"/>
      <c r="B28" s="28"/>
      <c r="C28" s="28"/>
      <c r="D28" s="27"/>
      <c r="E28" s="28"/>
      <c r="F28" s="28"/>
      <c r="G28" s="29"/>
      <c r="H28" s="27"/>
      <c r="I28" s="41"/>
      <c r="J28" s="30" t="str">
        <f aca="false">IF($B28="","",COUNTIF('Lead Management'!$Q$4:$Q$1003,$B28))</f>
        <v/>
      </c>
      <c r="K28" s="30" t="str">
        <f aca="false">IF($B28="","",COUNTIF(Consultation!$G$4:$G$1003,$B28))</f>
        <v/>
      </c>
      <c r="L28" s="30" t="str">
        <f aca="false">IF($B28="","",COUNTIF(Customers!$K$4:$K$1003,$B28))</f>
        <v/>
      </c>
      <c r="M28" s="34" t="str">
        <f aca="false">IF($B28="","",SUMIF(Customers!$K$4:$K$1003,$B28,Customers!$M$4:$M$1003))</f>
        <v/>
      </c>
      <c r="N28" s="48"/>
      <c r="O28" s="34" t="str">
        <f aca="false">IF($B28="","",$M28*$N28)</f>
        <v/>
      </c>
      <c r="P28" s="35" t="str">
        <f aca="false">IF(OR($B28="",$J28=0),"",$L28/$J28)</f>
        <v/>
      </c>
      <c r="Q28" s="32"/>
    </row>
    <row r="29" customFormat="false" ht="15.75" hidden="false" customHeight="true" outlineLevel="0" collapsed="false">
      <c r="A29" s="27"/>
      <c r="B29" s="28"/>
      <c r="C29" s="28"/>
      <c r="D29" s="27"/>
      <c r="E29" s="28"/>
      <c r="F29" s="28"/>
      <c r="G29" s="29"/>
      <c r="H29" s="27"/>
      <c r="I29" s="41"/>
      <c r="J29" s="30" t="str">
        <f aca="false">IF($B29="","",COUNTIF('Lead Management'!$Q$4:$Q$1003,$B29))</f>
        <v/>
      </c>
      <c r="K29" s="30" t="str">
        <f aca="false">IF($B29="","",COUNTIF(Consultation!$G$4:$G$1003,$B29))</f>
        <v/>
      </c>
      <c r="L29" s="30" t="str">
        <f aca="false">IF($B29="","",COUNTIF(Customers!$K$4:$K$1003,$B29))</f>
        <v/>
      </c>
      <c r="M29" s="34" t="str">
        <f aca="false">IF($B29="","",SUMIF(Customers!$K$4:$K$1003,$B29,Customers!$M$4:$M$1003))</f>
        <v/>
      </c>
      <c r="N29" s="48"/>
      <c r="O29" s="34" t="str">
        <f aca="false">IF($B29="","",$M29*$N29)</f>
        <v/>
      </c>
      <c r="P29" s="35" t="str">
        <f aca="false">IF(OR($B29="",$J29=0),"",$L29/$J29)</f>
        <v/>
      </c>
      <c r="Q29" s="32"/>
    </row>
    <row r="30" customFormat="false" ht="15.75" hidden="false" customHeight="true" outlineLevel="0" collapsed="false">
      <c r="A30" s="27"/>
      <c r="B30" s="28"/>
      <c r="C30" s="28"/>
      <c r="D30" s="27"/>
      <c r="E30" s="28"/>
      <c r="F30" s="28"/>
      <c r="G30" s="29"/>
      <c r="H30" s="27"/>
      <c r="I30" s="41"/>
      <c r="J30" s="30" t="str">
        <f aca="false">IF($B30="","",COUNTIF('Lead Management'!$Q$4:$Q$1003,$B30))</f>
        <v/>
      </c>
      <c r="K30" s="30" t="str">
        <f aca="false">IF($B30="","",COUNTIF(Consultation!$G$4:$G$1003,$B30))</f>
        <v/>
      </c>
      <c r="L30" s="30" t="str">
        <f aca="false">IF($B30="","",COUNTIF(Customers!$K$4:$K$1003,$B30))</f>
        <v/>
      </c>
      <c r="M30" s="34" t="str">
        <f aca="false">IF($B30="","",SUMIF(Customers!$K$4:$K$1003,$B30,Customers!$M$4:$M$1003))</f>
        <v/>
      </c>
      <c r="N30" s="48"/>
      <c r="O30" s="34" t="str">
        <f aca="false">IF($B30="","",$M30*$N30)</f>
        <v/>
      </c>
      <c r="P30" s="35" t="str">
        <f aca="false">IF(OR($B30="",$J30=0),"",$L30/$J30)</f>
        <v/>
      </c>
      <c r="Q30" s="32"/>
    </row>
    <row r="31" customFormat="false" ht="15.75" hidden="false" customHeight="true" outlineLevel="0" collapsed="false">
      <c r="A31" s="27"/>
      <c r="B31" s="28"/>
      <c r="C31" s="28"/>
      <c r="D31" s="27"/>
      <c r="E31" s="28"/>
      <c r="F31" s="28"/>
      <c r="G31" s="29"/>
      <c r="H31" s="27"/>
      <c r="I31" s="41"/>
      <c r="J31" s="30" t="str">
        <f aca="false">IF($B31="","",COUNTIF('Lead Management'!$Q$4:$Q$1003,$B31))</f>
        <v/>
      </c>
      <c r="K31" s="30" t="str">
        <f aca="false">IF($B31="","",COUNTIF(Consultation!$G$4:$G$1003,$B31))</f>
        <v/>
      </c>
      <c r="L31" s="30" t="str">
        <f aca="false">IF($B31="","",COUNTIF(Customers!$K$4:$K$1003,$B31))</f>
        <v/>
      </c>
      <c r="M31" s="34" t="str">
        <f aca="false">IF($B31="","",SUMIF(Customers!$K$4:$K$1003,$B31,Customers!$M$4:$M$1003))</f>
        <v/>
      </c>
      <c r="N31" s="48"/>
      <c r="O31" s="34" t="str">
        <f aca="false">IF($B31="","",$M31*$N31)</f>
        <v/>
      </c>
      <c r="P31" s="35" t="str">
        <f aca="false">IF(OR($B31="",$J31=0),"",$L31/$J31)</f>
        <v/>
      </c>
      <c r="Q31" s="32"/>
    </row>
    <row r="32" customFormat="false" ht="15.75" hidden="false" customHeight="true" outlineLevel="0" collapsed="false">
      <c r="A32" s="27"/>
      <c r="B32" s="28"/>
      <c r="C32" s="28"/>
      <c r="D32" s="27"/>
      <c r="E32" s="28"/>
      <c r="F32" s="28"/>
      <c r="G32" s="29"/>
      <c r="H32" s="27"/>
      <c r="I32" s="41"/>
      <c r="J32" s="30" t="str">
        <f aca="false">IF($B32="","",COUNTIF('Lead Management'!$Q$4:$Q$1003,$B32))</f>
        <v/>
      </c>
      <c r="K32" s="30" t="str">
        <f aca="false">IF($B32="","",COUNTIF(Consultation!$G$4:$G$1003,$B32))</f>
        <v/>
      </c>
      <c r="L32" s="30" t="str">
        <f aca="false">IF($B32="","",COUNTIF(Customers!$K$4:$K$1003,$B32))</f>
        <v/>
      </c>
      <c r="M32" s="34" t="str">
        <f aca="false">IF($B32="","",SUMIF(Customers!$K$4:$K$1003,$B32,Customers!$M$4:$M$1003))</f>
        <v/>
      </c>
      <c r="N32" s="48"/>
      <c r="O32" s="34" t="str">
        <f aca="false">IF($B32="","",$M32*$N32)</f>
        <v/>
      </c>
      <c r="P32" s="35" t="str">
        <f aca="false">IF(OR($B32="",$J32=0),"",$L32/$J32)</f>
        <v/>
      </c>
      <c r="Q32" s="32"/>
    </row>
    <row r="33" customFormat="false" ht="15.75" hidden="false" customHeight="true" outlineLevel="0" collapsed="false">
      <c r="A33" s="27"/>
      <c r="B33" s="28"/>
      <c r="C33" s="28"/>
      <c r="D33" s="27"/>
      <c r="E33" s="28"/>
      <c r="F33" s="28"/>
      <c r="G33" s="29"/>
      <c r="H33" s="27"/>
      <c r="I33" s="41"/>
      <c r="J33" s="30" t="str">
        <f aca="false">IF($B33="","",COUNTIF('Lead Management'!$Q$4:$Q$1003,$B33))</f>
        <v/>
      </c>
      <c r="K33" s="30" t="str">
        <f aca="false">IF($B33="","",COUNTIF(Consultation!$G$4:$G$1003,$B33))</f>
        <v/>
      </c>
      <c r="L33" s="30" t="str">
        <f aca="false">IF($B33="","",COUNTIF(Customers!$K$4:$K$1003,$B33))</f>
        <v/>
      </c>
      <c r="M33" s="34" t="str">
        <f aca="false">IF($B33="","",SUMIF(Customers!$K$4:$K$1003,$B33,Customers!$M$4:$M$1003))</f>
        <v/>
      </c>
      <c r="N33" s="48"/>
      <c r="O33" s="34" t="str">
        <f aca="false">IF($B33="","",$M33*$N33)</f>
        <v/>
      </c>
      <c r="P33" s="35" t="str">
        <f aca="false">IF(OR($B33="",$J33=0),"",$L33/$J33)</f>
        <v/>
      </c>
      <c r="Q33" s="32"/>
    </row>
    <row r="34" customFormat="false" ht="15.75" hidden="false" customHeight="true" outlineLevel="0" collapsed="false">
      <c r="A34" s="27"/>
      <c r="B34" s="28"/>
      <c r="C34" s="28"/>
      <c r="D34" s="27"/>
      <c r="E34" s="28"/>
      <c r="F34" s="28"/>
      <c r="G34" s="29"/>
      <c r="H34" s="27"/>
      <c r="I34" s="41"/>
      <c r="J34" s="30" t="str">
        <f aca="false">IF($B34="","",COUNTIF('Lead Management'!$Q$4:$Q$1003,$B34))</f>
        <v/>
      </c>
      <c r="K34" s="30" t="str">
        <f aca="false">IF($B34="","",COUNTIF(Consultation!$G$4:$G$1003,$B34))</f>
        <v/>
      </c>
      <c r="L34" s="30" t="str">
        <f aca="false">IF($B34="","",COUNTIF(Customers!$K$4:$K$1003,$B34))</f>
        <v/>
      </c>
      <c r="M34" s="34" t="str">
        <f aca="false">IF($B34="","",SUMIF(Customers!$K$4:$K$1003,$B34,Customers!$M$4:$M$1003))</f>
        <v/>
      </c>
      <c r="N34" s="48"/>
      <c r="O34" s="34" t="str">
        <f aca="false">IF($B34="","",$M34*$N34)</f>
        <v/>
      </c>
      <c r="P34" s="35" t="str">
        <f aca="false">IF(OR($B34="",$J34=0),"",$L34/$J34)</f>
        <v/>
      </c>
      <c r="Q34" s="32"/>
    </row>
    <row r="35" customFormat="false" ht="15.75" hidden="false" customHeight="true" outlineLevel="0" collapsed="false">
      <c r="A35" s="27"/>
      <c r="B35" s="28"/>
      <c r="C35" s="28"/>
      <c r="D35" s="27"/>
      <c r="E35" s="28"/>
      <c r="F35" s="28"/>
      <c r="G35" s="29"/>
      <c r="H35" s="27"/>
      <c r="I35" s="41"/>
      <c r="J35" s="30" t="str">
        <f aca="false">IF($B35="","",COUNTIF('Lead Management'!$Q$4:$Q$1003,$B35))</f>
        <v/>
      </c>
      <c r="K35" s="30" t="str">
        <f aca="false">IF($B35="","",COUNTIF(Consultation!$G$4:$G$1003,$B35))</f>
        <v/>
      </c>
      <c r="L35" s="30" t="str">
        <f aca="false">IF($B35="","",COUNTIF(Customers!$K$4:$K$1003,$B35))</f>
        <v/>
      </c>
      <c r="M35" s="34" t="str">
        <f aca="false">IF($B35="","",SUMIF(Customers!$K$4:$K$1003,$B35,Customers!$M$4:$M$1003))</f>
        <v/>
      </c>
      <c r="N35" s="48"/>
      <c r="O35" s="34" t="str">
        <f aca="false">IF($B35="","",$M35*$N35)</f>
        <v/>
      </c>
      <c r="P35" s="35" t="str">
        <f aca="false">IF(OR($B35="",$J35=0),"",$L35/$J35)</f>
        <v/>
      </c>
      <c r="Q35" s="32"/>
    </row>
    <row r="36" customFormat="false" ht="15.75" hidden="false" customHeight="true" outlineLevel="0" collapsed="false">
      <c r="A36" s="27"/>
      <c r="B36" s="28"/>
      <c r="C36" s="28"/>
      <c r="D36" s="27"/>
      <c r="E36" s="28"/>
      <c r="F36" s="28"/>
      <c r="G36" s="29"/>
      <c r="H36" s="27"/>
      <c r="I36" s="41"/>
      <c r="J36" s="30" t="str">
        <f aca="false">IF($B36="","",COUNTIF('Lead Management'!$Q$4:$Q$1003,$B36))</f>
        <v/>
      </c>
      <c r="K36" s="30" t="str">
        <f aca="false">IF($B36="","",COUNTIF(Consultation!$G$4:$G$1003,$B36))</f>
        <v/>
      </c>
      <c r="L36" s="30" t="str">
        <f aca="false">IF($B36="","",COUNTIF(Customers!$K$4:$K$1003,$B36))</f>
        <v/>
      </c>
      <c r="M36" s="34" t="str">
        <f aca="false">IF($B36="","",SUMIF(Customers!$K$4:$K$1003,$B36,Customers!$M$4:$M$1003))</f>
        <v/>
      </c>
      <c r="N36" s="48"/>
      <c r="O36" s="34" t="str">
        <f aca="false">IF($B36="","",$M36*$N36)</f>
        <v/>
      </c>
      <c r="P36" s="35" t="str">
        <f aca="false">IF(OR($B36="",$J36=0),"",$L36/$J36)</f>
        <v/>
      </c>
      <c r="Q36" s="32"/>
    </row>
    <row r="37" customFormat="false" ht="15.75" hidden="false" customHeight="true" outlineLevel="0" collapsed="false">
      <c r="A37" s="27"/>
      <c r="B37" s="28"/>
      <c r="C37" s="28"/>
      <c r="D37" s="27"/>
      <c r="E37" s="28"/>
      <c r="F37" s="28"/>
      <c r="G37" s="29"/>
      <c r="H37" s="27"/>
      <c r="I37" s="41"/>
      <c r="J37" s="30" t="str">
        <f aca="false">IF($B37="","",COUNTIF('Lead Management'!$Q$4:$Q$1003,$B37))</f>
        <v/>
      </c>
      <c r="K37" s="30" t="str">
        <f aca="false">IF($B37="","",COUNTIF(Consultation!$G$4:$G$1003,$B37))</f>
        <v/>
      </c>
      <c r="L37" s="30" t="str">
        <f aca="false">IF($B37="","",COUNTIF(Customers!$K$4:$K$1003,$B37))</f>
        <v/>
      </c>
      <c r="M37" s="34" t="str">
        <f aca="false">IF($B37="","",SUMIF(Customers!$K$4:$K$1003,$B37,Customers!$M$4:$M$1003))</f>
        <v/>
      </c>
      <c r="N37" s="48"/>
      <c r="O37" s="34" t="str">
        <f aca="false">IF($B37="","",$M37*$N37)</f>
        <v/>
      </c>
      <c r="P37" s="35" t="str">
        <f aca="false">IF(OR($B37="",$J37=0),"",$L37/$J37)</f>
        <v/>
      </c>
      <c r="Q37" s="32"/>
    </row>
    <row r="38" customFormat="false" ht="15.75" hidden="false" customHeight="true" outlineLevel="0" collapsed="false">
      <c r="A38" s="27"/>
      <c r="B38" s="28"/>
      <c r="C38" s="28"/>
      <c r="D38" s="27"/>
      <c r="E38" s="28"/>
      <c r="F38" s="28"/>
      <c r="G38" s="29"/>
      <c r="H38" s="27"/>
      <c r="I38" s="41"/>
      <c r="J38" s="30" t="str">
        <f aca="false">IF($B38="","",COUNTIF('Lead Management'!$Q$4:$Q$1003,$B38))</f>
        <v/>
      </c>
      <c r="K38" s="30" t="str">
        <f aca="false">IF($B38="","",COUNTIF(Consultation!$G$4:$G$1003,$B38))</f>
        <v/>
      </c>
      <c r="L38" s="30" t="str">
        <f aca="false">IF($B38="","",COUNTIF(Customers!$K$4:$K$1003,$B38))</f>
        <v/>
      </c>
      <c r="M38" s="34" t="str">
        <f aca="false">IF($B38="","",SUMIF(Customers!$K$4:$K$1003,$B38,Customers!$M$4:$M$1003))</f>
        <v/>
      </c>
      <c r="N38" s="48"/>
      <c r="O38" s="34" t="str">
        <f aca="false">IF($B38="","",$M38*$N38)</f>
        <v/>
      </c>
      <c r="P38" s="35" t="str">
        <f aca="false">IF(OR($B38="",$J38=0),"",$L38/$J38)</f>
        <v/>
      </c>
      <c r="Q38" s="32"/>
    </row>
    <row r="39" customFormat="false" ht="15.75" hidden="false" customHeight="true" outlineLevel="0" collapsed="false">
      <c r="A39" s="27"/>
      <c r="B39" s="28"/>
      <c r="C39" s="28"/>
      <c r="D39" s="27"/>
      <c r="E39" s="28"/>
      <c r="F39" s="28"/>
      <c r="G39" s="29"/>
      <c r="H39" s="27"/>
      <c r="I39" s="41"/>
      <c r="J39" s="30" t="str">
        <f aca="false">IF($B39="","",COUNTIF('Lead Management'!$Q$4:$Q$1003,$B39))</f>
        <v/>
      </c>
      <c r="K39" s="30" t="str">
        <f aca="false">IF($B39="","",COUNTIF(Consultation!$G$4:$G$1003,$B39))</f>
        <v/>
      </c>
      <c r="L39" s="30" t="str">
        <f aca="false">IF($B39="","",COUNTIF(Customers!$K$4:$K$1003,$B39))</f>
        <v/>
      </c>
      <c r="M39" s="34" t="str">
        <f aca="false">IF($B39="","",SUMIF(Customers!$K$4:$K$1003,$B39,Customers!$M$4:$M$1003))</f>
        <v/>
      </c>
      <c r="N39" s="48"/>
      <c r="O39" s="34" t="str">
        <f aca="false">IF($B39="","",$M39*$N39)</f>
        <v/>
      </c>
      <c r="P39" s="35" t="str">
        <f aca="false">IF(OR($B39="",$J39=0),"",$L39/$J39)</f>
        <v/>
      </c>
      <c r="Q39" s="32"/>
    </row>
    <row r="40" customFormat="false" ht="15.75" hidden="false" customHeight="true" outlineLevel="0" collapsed="false">
      <c r="A40" s="27"/>
      <c r="B40" s="28"/>
      <c r="C40" s="28"/>
      <c r="D40" s="27"/>
      <c r="E40" s="28"/>
      <c r="F40" s="28"/>
      <c r="G40" s="29"/>
      <c r="H40" s="27"/>
      <c r="I40" s="41"/>
      <c r="J40" s="30" t="str">
        <f aca="false">IF($B40="","",COUNTIF('Lead Management'!$Q$4:$Q$1003,$B40))</f>
        <v/>
      </c>
      <c r="K40" s="30" t="str">
        <f aca="false">IF($B40="","",COUNTIF(Consultation!$G$4:$G$1003,$B40))</f>
        <v/>
      </c>
      <c r="L40" s="30" t="str">
        <f aca="false">IF($B40="","",COUNTIF(Customers!$K$4:$K$1003,$B40))</f>
        <v/>
      </c>
      <c r="M40" s="34" t="str">
        <f aca="false">IF($B40="","",SUMIF(Customers!$K$4:$K$1003,$B40,Customers!$M$4:$M$1003))</f>
        <v/>
      </c>
      <c r="N40" s="48"/>
      <c r="O40" s="34" t="str">
        <f aca="false">IF($B40="","",$M40*$N40)</f>
        <v/>
      </c>
      <c r="P40" s="35" t="str">
        <f aca="false">IF(OR($B40="",$J40=0),"",$L40/$J40)</f>
        <v/>
      </c>
      <c r="Q40" s="32"/>
    </row>
    <row r="41" customFormat="false" ht="15.75" hidden="false" customHeight="true" outlineLevel="0" collapsed="false">
      <c r="A41" s="27"/>
      <c r="B41" s="28"/>
      <c r="C41" s="28"/>
      <c r="D41" s="27"/>
      <c r="E41" s="28"/>
      <c r="F41" s="28"/>
      <c r="G41" s="29"/>
      <c r="H41" s="27"/>
      <c r="I41" s="41"/>
      <c r="J41" s="30" t="str">
        <f aca="false">IF($B41="","",COUNTIF('Lead Management'!$Q$4:$Q$1003,$B41))</f>
        <v/>
      </c>
      <c r="K41" s="30" t="str">
        <f aca="false">IF($B41="","",COUNTIF(Consultation!$G$4:$G$1003,$B41))</f>
        <v/>
      </c>
      <c r="L41" s="30" t="str">
        <f aca="false">IF($B41="","",COUNTIF(Customers!$K$4:$K$1003,$B41))</f>
        <v/>
      </c>
      <c r="M41" s="34" t="str">
        <f aca="false">IF($B41="","",SUMIF(Customers!$K$4:$K$1003,$B41,Customers!$M$4:$M$1003))</f>
        <v/>
      </c>
      <c r="N41" s="48"/>
      <c r="O41" s="34" t="str">
        <f aca="false">IF($B41="","",$M41*$N41)</f>
        <v/>
      </c>
      <c r="P41" s="35" t="str">
        <f aca="false">IF(OR($B41="",$J41=0),"",$L41/$J41)</f>
        <v/>
      </c>
      <c r="Q41" s="32"/>
    </row>
    <row r="42" customFormat="false" ht="15.75" hidden="false" customHeight="true" outlineLevel="0" collapsed="false">
      <c r="A42" s="27"/>
      <c r="B42" s="28"/>
      <c r="C42" s="28"/>
      <c r="D42" s="27"/>
      <c r="E42" s="28"/>
      <c r="F42" s="28"/>
      <c r="G42" s="29"/>
      <c r="H42" s="27"/>
      <c r="I42" s="41"/>
      <c r="J42" s="30" t="str">
        <f aca="false">IF($B42="","",COUNTIF('Lead Management'!$Q$4:$Q$1003,$B42))</f>
        <v/>
      </c>
      <c r="K42" s="30" t="str">
        <f aca="false">IF($B42="","",COUNTIF(Consultation!$G$4:$G$1003,$B42))</f>
        <v/>
      </c>
      <c r="L42" s="30" t="str">
        <f aca="false">IF($B42="","",COUNTIF(Customers!$K$4:$K$1003,$B42))</f>
        <v/>
      </c>
      <c r="M42" s="34" t="str">
        <f aca="false">IF($B42="","",SUMIF(Customers!$K$4:$K$1003,$B42,Customers!$M$4:$M$1003))</f>
        <v/>
      </c>
      <c r="N42" s="48"/>
      <c r="O42" s="34" t="str">
        <f aca="false">IF($B42="","",$M42*$N42)</f>
        <v/>
      </c>
      <c r="P42" s="35" t="str">
        <f aca="false">IF(OR($B42="",$J42=0),"",$L42/$J42)</f>
        <v/>
      </c>
      <c r="Q42" s="32"/>
    </row>
    <row r="43" customFormat="false" ht="15.75" hidden="false" customHeight="true" outlineLevel="0" collapsed="false">
      <c r="A43" s="27"/>
      <c r="B43" s="28"/>
      <c r="C43" s="28"/>
      <c r="D43" s="27"/>
      <c r="E43" s="28"/>
      <c r="F43" s="28"/>
      <c r="G43" s="29"/>
      <c r="H43" s="27"/>
      <c r="I43" s="41"/>
      <c r="J43" s="30" t="str">
        <f aca="false">IF($B43="","",COUNTIF('Lead Management'!$Q$4:$Q$1003,$B43))</f>
        <v/>
      </c>
      <c r="K43" s="30" t="str">
        <f aca="false">IF($B43="","",COUNTIF(Consultation!$G$4:$G$1003,$B43))</f>
        <v/>
      </c>
      <c r="L43" s="30" t="str">
        <f aca="false">IF($B43="","",COUNTIF(Customers!$K$4:$K$1003,$B43))</f>
        <v/>
      </c>
      <c r="M43" s="34" t="str">
        <f aca="false">IF($B43="","",SUMIF(Customers!$K$4:$K$1003,$B43,Customers!$M$4:$M$1003))</f>
        <v/>
      </c>
      <c r="N43" s="48"/>
      <c r="O43" s="34" t="str">
        <f aca="false">IF($B43="","",$M43*$N43)</f>
        <v/>
      </c>
      <c r="P43" s="35" t="str">
        <f aca="false">IF(OR($B43="",$J43=0),"",$L43/$J43)</f>
        <v/>
      </c>
      <c r="Q43" s="32"/>
    </row>
    <row r="44" customFormat="false" ht="15.75" hidden="false" customHeight="true" outlineLevel="0" collapsed="false">
      <c r="A44" s="27"/>
      <c r="B44" s="28"/>
      <c r="C44" s="28"/>
      <c r="D44" s="27"/>
      <c r="E44" s="28"/>
      <c r="F44" s="28"/>
      <c r="G44" s="29"/>
      <c r="H44" s="27"/>
      <c r="I44" s="41"/>
      <c r="J44" s="30" t="str">
        <f aca="false">IF($B44="","",COUNTIF('Lead Management'!$Q$4:$Q$1003,$B44))</f>
        <v/>
      </c>
      <c r="K44" s="30" t="str">
        <f aca="false">IF($B44="","",COUNTIF(Consultation!$G$4:$G$1003,$B44))</f>
        <v/>
      </c>
      <c r="L44" s="30" t="str">
        <f aca="false">IF($B44="","",COUNTIF(Customers!$K$4:$K$1003,$B44))</f>
        <v/>
      </c>
      <c r="M44" s="34" t="str">
        <f aca="false">IF($B44="","",SUMIF(Customers!$K$4:$K$1003,$B44,Customers!$M$4:$M$1003))</f>
        <v/>
      </c>
      <c r="N44" s="48"/>
      <c r="O44" s="34" t="str">
        <f aca="false">IF($B44="","",$M44*$N44)</f>
        <v/>
      </c>
      <c r="P44" s="35" t="str">
        <f aca="false">IF(OR($B44="",$J44=0),"",$L44/$J44)</f>
        <v/>
      </c>
      <c r="Q44" s="32"/>
    </row>
    <row r="45" customFormat="false" ht="15.75" hidden="false" customHeight="true" outlineLevel="0" collapsed="false">
      <c r="A45" s="27"/>
      <c r="B45" s="28"/>
      <c r="C45" s="28"/>
      <c r="D45" s="27"/>
      <c r="E45" s="28"/>
      <c r="F45" s="28"/>
      <c r="G45" s="29"/>
      <c r="H45" s="27"/>
      <c r="I45" s="41"/>
      <c r="J45" s="30" t="str">
        <f aca="false">IF($B45="","",COUNTIF('Lead Management'!$Q$4:$Q$1003,$B45))</f>
        <v/>
      </c>
      <c r="K45" s="30" t="str">
        <f aca="false">IF($B45="","",COUNTIF(Consultation!$G$4:$G$1003,$B45))</f>
        <v/>
      </c>
      <c r="L45" s="30" t="str">
        <f aca="false">IF($B45="","",COUNTIF(Customers!$K$4:$K$1003,$B45))</f>
        <v/>
      </c>
      <c r="M45" s="34" t="str">
        <f aca="false">IF($B45="","",SUMIF(Customers!$K$4:$K$1003,$B45,Customers!$M$4:$M$1003))</f>
        <v/>
      </c>
      <c r="N45" s="48"/>
      <c r="O45" s="34" t="str">
        <f aca="false">IF($B45="","",$M45*$N45)</f>
        <v/>
      </c>
      <c r="P45" s="35" t="str">
        <f aca="false">IF(OR($B45="",$J45=0),"",$L45/$J45)</f>
        <v/>
      </c>
      <c r="Q45" s="32"/>
    </row>
    <row r="46" customFormat="false" ht="15.75" hidden="false" customHeight="true" outlineLevel="0" collapsed="false">
      <c r="A46" s="27"/>
      <c r="B46" s="28"/>
      <c r="C46" s="28"/>
      <c r="D46" s="27"/>
      <c r="E46" s="28"/>
      <c r="F46" s="28"/>
      <c r="G46" s="29"/>
      <c r="H46" s="27"/>
      <c r="I46" s="41"/>
      <c r="J46" s="30" t="str">
        <f aca="false">IF($B46="","",COUNTIF('Lead Management'!$Q$4:$Q$1003,$B46))</f>
        <v/>
      </c>
      <c r="K46" s="30" t="str">
        <f aca="false">IF($B46="","",COUNTIF(Consultation!$G$4:$G$1003,$B46))</f>
        <v/>
      </c>
      <c r="L46" s="30" t="str">
        <f aca="false">IF($B46="","",COUNTIF(Customers!$K$4:$K$1003,$B46))</f>
        <v/>
      </c>
      <c r="M46" s="34" t="str">
        <f aca="false">IF($B46="","",SUMIF(Customers!$K$4:$K$1003,$B46,Customers!$M$4:$M$1003))</f>
        <v/>
      </c>
      <c r="N46" s="48"/>
      <c r="O46" s="34" t="str">
        <f aca="false">IF($B46="","",$M46*$N46)</f>
        <v/>
      </c>
      <c r="P46" s="35" t="str">
        <f aca="false">IF(OR($B46="",$J46=0),"",$L46/$J46)</f>
        <v/>
      </c>
      <c r="Q46" s="32"/>
    </row>
    <row r="47" customFormat="false" ht="15.75" hidden="false" customHeight="true" outlineLevel="0" collapsed="false">
      <c r="A47" s="27"/>
      <c r="B47" s="28"/>
      <c r="C47" s="28"/>
      <c r="D47" s="27"/>
      <c r="E47" s="28"/>
      <c r="F47" s="28"/>
      <c r="G47" s="29"/>
      <c r="H47" s="27"/>
      <c r="I47" s="41"/>
      <c r="J47" s="30" t="str">
        <f aca="false">IF($B47="","",COUNTIF('Lead Management'!$Q$4:$Q$1003,$B47))</f>
        <v/>
      </c>
      <c r="K47" s="30" t="str">
        <f aca="false">IF($B47="","",COUNTIF(Consultation!$G$4:$G$1003,$B47))</f>
        <v/>
      </c>
      <c r="L47" s="30" t="str">
        <f aca="false">IF($B47="","",COUNTIF(Customers!$K$4:$K$1003,$B47))</f>
        <v/>
      </c>
      <c r="M47" s="34" t="str">
        <f aca="false">IF($B47="","",SUMIF(Customers!$K$4:$K$1003,$B47,Customers!$M$4:$M$1003))</f>
        <v/>
      </c>
      <c r="N47" s="48"/>
      <c r="O47" s="34" t="str">
        <f aca="false">IF($B47="","",$M47*$N47)</f>
        <v/>
      </c>
      <c r="P47" s="35" t="str">
        <f aca="false">IF(OR($B47="",$J47=0),"",$L47/$J47)</f>
        <v/>
      </c>
      <c r="Q47" s="32"/>
    </row>
    <row r="48" customFormat="false" ht="15.75" hidden="false" customHeight="true" outlineLevel="0" collapsed="false">
      <c r="A48" s="27"/>
      <c r="B48" s="28"/>
      <c r="C48" s="28"/>
      <c r="D48" s="27"/>
      <c r="E48" s="28"/>
      <c r="F48" s="28"/>
      <c r="G48" s="29"/>
      <c r="H48" s="27"/>
      <c r="I48" s="41"/>
      <c r="J48" s="30" t="str">
        <f aca="false">IF($B48="","",COUNTIF('Lead Management'!$Q$4:$Q$1003,$B48))</f>
        <v/>
      </c>
      <c r="K48" s="30" t="str">
        <f aca="false">IF($B48="","",COUNTIF(Consultation!$G$4:$G$1003,$B48))</f>
        <v/>
      </c>
      <c r="L48" s="30" t="str">
        <f aca="false">IF($B48="","",COUNTIF(Customers!$K$4:$K$1003,$B48))</f>
        <v/>
      </c>
      <c r="M48" s="34" t="str">
        <f aca="false">IF($B48="","",SUMIF(Customers!$K$4:$K$1003,$B48,Customers!$M$4:$M$1003))</f>
        <v/>
      </c>
      <c r="N48" s="48"/>
      <c r="O48" s="34" t="str">
        <f aca="false">IF($B48="","",$M48*$N48)</f>
        <v/>
      </c>
      <c r="P48" s="35" t="str">
        <f aca="false">IF(OR($B48="",$J48=0),"",$L48/$J48)</f>
        <v/>
      </c>
      <c r="Q48" s="32"/>
    </row>
    <row r="49" customFormat="false" ht="15.75" hidden="false" customHeight="true" outlineLevel="0" collapsed="false">
      <c r="A49" s="27"/>
      <c r="B49" s="28"/>
      <c r="C49" s="28"/>
      <c r="D49" s="27"/>
      <c r="E49" s="28"/>
      <c r="F49" s="28"/>
      <c r="G49" s="29"/>
      <c r="H49" s="27"/>
      <c r="I49" s="41"/>
      <c r="J49" s="30" t="str">
        <f aca="false">IF($B49="","",COUNTIF('Lead Management'!$Q$4:$Q$1003,$B49))</f>
        <v/>
      </c>
      <c r="K49" s="30" t="str">
        <f aca="false">IF($B49="","",COUNTIF(Consultation!$G$4:$G$1003,$B49))</f>
        <v/>
      </c>
      <c r="L49" s="30" t="str">
        <f aca="false">IF($B49="","",COUNTIF(Customers!$K$4:$K$1003,$B49))</f>
        <v/>
      </c>
      <c r="M49" s="34" t="str">
        <f aca="false">IF($B49="","",SUMIF(Customers!$K$4:$K$1003,$B49,Customers!$M$4:$M$1003))</f>
        <v/>
      </c>
      <c r="N49" s="48"/>
      <c r="O49" s="34" t="str">
        <f aca="false">IF($B49="","",$M49*$N49)</f>
        <v/>
      </c>
      <c r="P49" s="35" t="str">
        <f aca="false">IF(OR($B49="",$J49=0),"",$L49/$J49)</f>
        <v/>
      </c>
      <c r="Q49" s="32"/>
    </row>
    <row r="50" customFormat="false" ht="15.75" hidden="false" customHeight="true" outlineLevel="0" collapsed="false">
      <c r="A50" s="27"/>
      <c r="B50" s="28"/>
      <c r="C50" s="28"/>
      <c r="D50" s="27"/>
      <c r="E50" s="28"/>
      <c r="F50" s="28"/>
      <c r="G50" s="29"/>
      <c r="H50" s="27"/>
      <c r="I50" s="41"/>
      <c r="J50" s="30" t="str">
        <f aca="false">IF($B50="","",COUNTIF('Lead Management'!$Q$4:$Q$1003,$B50))</f>
        <v/>
      </c>
      <c r="K50" s="30" t="str">
        <f aca="false">IF($B50="","",COUNTIF(Consultation!$G$4:$G$1003,$B50))</f>
        <v/>
      </c>
      <c r="L50" s="30" t="str">
        <f aca="false">IF($B50="","",COUNTIF(Customers!$K$4:$K$1003,$B50))</f>
        <v/>
      </c>
      <c r="M50" s="34" t="str">
        <f aca="false">IF($B50="","",SUMIF(Customers!$K$4:$K$1003,$B50,Customers!$M$4:$M$1003))</f>
        <v/>
      </c>
      <c r="N50" s="48"/>
      <c r="O50" s="34" t="str">
        <f aca="false">IF($B50="","",$M50*$N50)</f>
        <v/>
      </c>
      <c r="P50" s="35" t="str">
        <f aca="false">IF(OR($B50="",$J50=0),"",$L50/$J50)</f>
        <v/>
      </c>
      <c r="Q50" s="32"/>
    </row>
    <row r="51" customFormat="false" ht="15.75" hidden="false" customHeight="true" outlineLevel="0" collapsed="false">
      <c r="A51" s="27"/>
      <c r="B51" s="28"/>
      <c r="C51" s="28"/>
      <c r="D51" s="27"/>
      <c r="E51" s="28"/>
      <c r="F51" s="28"/>
      <c r="G51" s="29"/>
      <c r="H51" s="27"/>
      <c r="I51" s="41"/>
      <c r="J51" s="30" t="str">
        <f aca="false">IF($B51="","",COUNTIF('Lead Management'!$Q$4:$Q$1003,$B51))</f>
        <v/>
      </c>
      <c r="K51" s="30" t="str">
        <f aca="false">IF($B51="","",COUNTIF(Consultation!$G$4:$G$1003,$B51))</f>
        <v/>
      </c>
      <c r="L51" s="30" t="str">
        <f aca="false">IF($B51="","",COUNTIF(Customers!$K$4:$K$1003,$B51))</f>
        <v/>
      </c>
      <c r="M51" s="34" t="str">
        <f aca="false">IF($B51="","",SUMIF(Customers!$K$4:$K$1003,$B51,Customers!$M$4:$M$1003))</f>
        <v/>
      </c>
      <c r="N51" s="48"/>
      <c r="O51" s="34" t="str">
        <f aca="false">IF($B51="","",$M51*$N51)</f>
        <v/>
      </c>
      <c r="P51" s="35" t="str">
        <f aca="false">IF(OR($B51="",$J51=0),"",$L51/$J51)</f>
        <v/>
      </c>
      <c r="Q51" s="32"/>
    </row>
    <row r="52" customFormat="false" ht="15.75" hidden="false" customHeight="true" outlineLevel="0" collapsed="false">
      <c r="A52" s="27"/>
      <c r="B52" s="28"/>
      <c r="C52" s="28"/>
      <c r="D52" s="27"/>
      <c r="E52" s="28"/>
      <c r="F52" s="28"/>
      <c r="G52" s="29"/>
      <c r="H52" s="27"/>
      <c r="I52" s="41"/>
      <c r="J52" s="30" t="str">
        <f aca="false">IF($B52="","",COUNTIF('Lead Management'!$Q$4:$Q$1003,$B52))</f>
        <v/>
      </c>
      <c r="K52" s="30" t="str">
        <f aca="false">IF($B52="","",COUNTIF(Consultation!$G$4:$G$1003,$B52))</f>
        <v/>
      </c>
      <c r="L52" s="30" t="str">
        <f aca="false">IF($B52="","",COUNTIF(Customers!$K$4:$K$1003,$B52))</f>
        <v/>
      </c>
      <c r="M52" s="34" t="str">
        <f aca="false">IF($B52="","",SUMIF(Customers!$K$4:$K$1003,$B52,Customers!$M$4:$M$1003))</f>
        <v/>
      </c>
      <c r="N52" s="48"/>
      <c r="O52" s="34" t="str">
        <f aca="false">IF($B52="","",$M52*$N52)</f>
        <v/>
      </c>
      <c r="P52" s="35" t="str">
        <f aca="false">IF(OR($B52="",$J52=0),"",$L52/$J52)</f>
        <v/>
      </c>
      <c r="Q52" s="32"/>
    </row>
    <row r="53" customFormat="false" ht="15.75" hidden="false" customHeight="true" outlineLevel="0" collapsed="false">
      <c r="A53" s="27"/>
      <c r="B53" s="28"/>
      <c r="C53" s="28"/>
      <c r="D53" s="27"/>
      <c r="E53" s="28"/>
      <c r="F53" s="28"/>
      <c r="G53" s="29"/>
      <c r="H53" s="27"/>
      <c r="I53" s="41"/>
      <c r="J53" s="30" t="str">
        <f aca="false">IF($B53="","",COUNTIF('Lead Management'!$Q$4:$Q$1003,$B53))</f>
        <v/>
      </c>
      <c r="K53" s="30" t="str">
        <f aca="false">IF($B53="","",COUNTIF(Consultation!$G$4:$G$1003,$B53))</f>
        <v/>
      </c>
      <c r="L53" s="30" t="str">
        <f aca="false">IF($B53="","",COUNTIF(Customers!$K$4:$K$1003,$B53))</f>
        <v/>
      </c>
      <c r="M53" s="34" t="str">
        <f aca="false">IF($B53="","",SUMIF(Customers!$K$4:$K$1003,$B53,Customers!$M$4:$M$1003))</f>
        <v/>
      </c>
      <c r="N53" s="48"/>
      <c r="O53" s="34" t="str">
        <f aca="false">IF($B53="","",$M53*$N53)</f>
        <v/>
      </c>
      <c r="P53" s="35" t="str">
        <f aca="false">IF(OR($B53="",$J53=0),"",$L53/$J53)</f>
        <v/>
      </c>
      <c r="Q53" s="32"/>
    </row>
    <row r="54" customFormat="false" ht="15.75" hidden="false" customHeight="true" outlineLevel="0" collapsed="false">
      <c r="A54" s="27"/>
      <c r="B54" s="28"/>
      <c r="C54" s="28"/>
      <c r="D54" s="27"/>
      <c r="E54" s="28"/>
      <c r="F54" s="28"/>
      <c r="G54" s="29"/>
      <c r="H54" s="27"/>
      <c r="I54" s="41"/>
      <c r="J54" s="30" t="str">
        <f aca="false">IF($B54="","",COUNTIF('Lead Management'!$Q$4:$Q$1003,$B54))</f>
        <v/>
      </c>
      <c r="K54" s="30" t="str">
        <f aca="false">IF($B54="","",COUNTIF(Consultation!$G$4:$G$1003,$B54))</f>
        <v/>
      </c>
      <c r="L54" s="30" t="str">
        <f aca="false">IF($B54="","",COUNTIF(Customers!$K$4:$K$1003,$B54))</f>
        <v/>
      </c>
      <c r="M54" s="34" t="str">
        <f aca="false">IF($B54="","",SUMIF(Customers!$K$4:$K$1003,$B54,Customers!$M$4:$M$1003))</f>
        <v/>
      </c>
      <c r="N54" s="48"/>
      <c r="O54" s="34" t="str">
        <f aca="false">IF($B54="","",$M54*$N54)</f>
        <v/>
      </c>
      <c r="P54" s="35" t="str">
        <f aca="false">IF(OR($B54="",$J54=0),"",$L54/$J54)</f>
        <v/>
      </c>
      <c r="Q54" s="32"/>
    </row>
    <row r="55" customFormat="false" ht="15.75" hidden="false" customHeight="true" outlineLevel="0" collapsed="false">
      <c r="A55" s="27"/>
      <c r="B55" s="28"/>
      <c r="C55" s="28"/>
      <c r="D55" s="27"/>
      <c r="E55" s="28"/>
      <c r="F55" s="28"/>
      <c r="G55" s="29"/>
      <c r="H55" s="27"/>
      <c r="I55" s="41"/>
      <c r="J55" s="30" t="str">
        <f aca="false">IF($B55="","",COUNTIF('Lead Management'!$Q$4:$Q$1003,$B55))</f>
        <v/>
      </c>
      <c r="K55" s="30" t="str">
        <f aca="false">IF($B55="","",COUNTIF(Consultation!$G$4:$G$1003,$B55))</f>
        <v/>
      </c>
      <c r="L55" s="30" t="str">
        <f aca="false">IF($B55="","",COUNTIF(Customers!$K$4:$K$1003,$B55))</f>
        <v/>
      </c>
      <c r="M55" s="34" t="str">
        <f aca="false">IF($B55="","",SUMIF(Customers!$K$4:$K$1003,$B55,Customers!$M$4:$M$1003))</f>
        <v/>
      </c>
      <c r="N55" s="48"/>
      <c r="O55" s="34" t="str">
        <f aca="false">IF($B55="","",$M55*$N55)</f>
        <v/>
      </c>
      <c r="P55" s="35" t="str">
        <f aca="false">IF(OR($B55="",$J55=0),"",$L55/$J55)</f>
        <v/>
      </c>
      <c r="Q55" s="32"/>
    </row>
    <row r="56" customFormat="false" ht="15.75" hidden="false" customHeight="true" outlineLevel="0" collapsed="false">
      <c r="A56" s="27"/>
      <c r="B56" s="28"/>
      <c r="C56" s="28"/>
      <c r="D56" s="27"/>
      <c r="E56" s="28"/>
      <c r="F56" s="28"/>
      <c r="G56" s="29"/>
      <c r="H56" s="27"/>
      <c r="I56" s="41"/>
      <c r="J56" s="30" t="str">
        <f aca="false">IF($B56="","",COUNTIF('Lead Management'!$Q$4:$Q$1003,$B56))</f>
        <v/>
      </c>
      <c r="K56" s="30" t="str">
        <f aca="false">IF($B56="","",COUNTIF(Consultation!$G$4:$G$1003,$B56))</f>
        <v/>
      </c>
      <c r="L56" s="30" t="str">
        <f aca="false">IF($B56="","",COUNTIF(Customers!$K$4:$K$1003,$B56))</f>
        <v/>
      </c>
      <c r="M56" s="34" t="str">
        <f aca="false">IF($B56="","",SUMIF(Customers!$K$4:$K$1003,$B56,Customers!$M$4:$M$1003))</f>
        <v/>
      </c>
      <c r="N56" s="48"/>
      <c r="O56" s="34" t="str">
        <f aca="false">IF($B56="","",$M56*$N56)</f>
        <v/>
      </c>
      <c r="P56" s="35" t="str">
        <f aca="false">IF(OR($B56="",$J56=0),"",$L56/$J56)</f>
        <v/>
      </c>
      <c r="Q56" s="32"/>
    </row>
    <row r="57" customFormat="false" ht="15.75" hidden="false" customHeight="true" outlineLevel="0" collapsed="false">
      <c r="A57" s="27"/>
      <c r="B57" s="28"/>
      <c r="C57" s="28"/>
      <c r="D57" s="27"/>
      <c r="E57" s="28"/>
      <c r="F57" s="28"/>
      <c r="G57" s="29"/>
      <c r="H57" s="27"/>
      <c r="I57" s="41"/>
      <c r="J57" s="30" t="str">
        <f aca="false">IF($B57="","",COUNTIF('Lead Management'!$Q$4:$Q$1003,$B57))</f>
        <v/>
      </c>
      <c r="K57" s="30" t="str">
        <f aca="false">IF($B57="","",COUNTIF(Consultation!$G$4:$G$1003,$B57))</f>
        <v/>
      </c>
      <c r="L57" s="30" t="str">
        <f aca="false">IF($B57="","",COUNTIF(Customers!$K$4:$K$1003,$B57))</f>
        <v/>
      </c>
      <c r="M57" s="34" t="str">
        <f aca="false">IF($B57="","",SUMIF(Customers!$K$4:$K$1003,$B57,Customers!$M$4:$M$1003))</f>
        <v/>
      </c>
      <c r="N57" s="48"/>
      <c r="O57" s="34" t="str">
        <f aca="false">IF($B57="","",$M57*$N57)</f>
        <v/>
      </c>
      <c r="P57" s="35" t="str">
        <f aca="false">IF(OR($B57="",$J57=0),"",$L57/$J57)</f>
        <v/>
      </c>
      <c r="Q57" s="32"/>
    </row>
    <row r="58" customFormat="false" ht="15.75" hidden="false" customHeight="true" outlineLevel="0" collapsed="false">
      <c r="A58" s="27"/>
      <c r="B58" s="28"/>
      <c r="C58" s="28"/>
      <c r="D58" s="27"/>
      <c r="E58" s="28"/>
      <c r="F58" s="28"/>
      <c r="G58" s="29"/>
      <c r="H58" s="27"/>
      <c r="I58" s="41"/>
      <c r="J58" s="30" t="str">
        <f aca="false">IF($B58="","",COUNTIF('Lead Management'!$Q$4:$Q$1003,$B58))</f>
        <v/>
      </c>
      <c r="K58" s="30" t="str">
        <f aca="false">IF($B58="","",COUNTIF(Consultation!$G$4:$G$1003,$B58))</f>
        <v/>
      </c>
      <c r="L58" s="30" t="str">
        <f aca="false">IF($B58="","",COUNTIF(Customers!$K$4:$K$1003,$B58))</f>
        <v/>
      </c>
      <c r="M58" s="34" t="str">
        <f aca="false">IF($B58="","",SUMIF(Customers!$K$4:$K$1003,$B58,Customers!$M$4:$M$1003))</f>
        <v/>
      </c>
      <c r="N58" s="48"/>
      <c r="O58" s="34" t="str">
        <f aca="false">IF($B58="","",$M58*$N58)</f>
        <v/>
      </c>
      <c r="P58" s="35" t="str">
        <f aca="false">IF(OR($B58="",$J58=0),"",$L58/$J58)</f>
        <v/>
      </c>
      <c r="Q58" s="32"/>
    </row>
    <row r="59" customFormat="false" ht="15.75" hidden="false" customHeight="true" outlineLevel="0" collapsed="false">
      <c r="A59" s="27"/>
      <c r="B59" s="28"/>
      <c r="C59" s="28"/>
      <c r="D59" s="27"/>
      <c r="E59" s="28"/>
      <c r="F59" s="28"/>
      <c r="G59" s="29"/>
      <c r="H59" s="27"/>
      <c r="I59" s="41"/>
      <c r="J59" s="30" t="str">
        <f aca="false">IF($B59="","",COUNTIF('Lead Management'!$Q$4:$Q$1003,$B59))</f>
        <v/>
      </c>
      <c r="K59" s="30" t="str">
        <f aca="false">IF($B59="","",COUNTIF(Consultation!$G$4:$G$1003,$B59))</f>
        <v/>
      </c>
      <c r="L59" s="30" t="str">
        <f aca="false">IF($B59="","",COUNTIF(Customers!$K$4:$K$1003,$B59))</f>
        <v/>
      </c>
      <c r="M59" s="34" t="str">
        <f aca="false">IF($B59="","",SUMIF(Customers!$K$4:$K$1003,$B59,Customers!$M$4:$M$1003))</f>
        <v/>
      </c>
      <c r="N59" s="48"/>
      <c r="O59" s="34" t="str">
        <f aca="false">IF($B59="","",$M59*$N59)</f>
        <v/>
      </c>
      <c r="P59" s="35" t="str">
        <f aca="false">IF(OR($B59="",$J59=0),"",$L59/$J59)</f>
        <v/>
      </c>
      <c r="Q59" s="32"/>
    </row>
    <row r="60" customFormat="false" ht="15.75" hidden="false" customHeight="true" outlineLevel="0" collapsed="false">
      <c r="A60" s="27"/>
      <c r="B60" s="28"/>
      <c r="C60" s="28"/>
      <c r="D60" s="27"/>
      <c r="E60" s="28"/>
      <c r="F60" s="28"/>
      <c r="G60" s="29"/>
      <c r="H60" s="27"/>
      <c r="I60" s="41"/>
      <c r="J60" s="30" t="str">
        <f aca="false">IF($B60="","",COUNTIF('Lead Management'!$Q$4:$Q$1003,$B60))</f>
        <v/>
      </c>
      <c r="K60" s="30" t="str">
        <f aca="false">IF($B60="","",COUNTIF(Consultation!$G$4:$G$1003,$B60))</f>
        <v/>
      </c>
      <c r="L60" s="30" t="str">
        <f aca="false">IF($B60="","",COUNTIF(Customers!$K$4:$K$1003,$B60))</f>
        <v/>
      </c>
      <c r="M60" s="34" t="str">
        <f aca="false">IF($B60="","",SUMIF(Customers!$K$4:$K$1003,$B60,Customers!$M$4:$M$1003))</f>
        <v/>
      </c>
      <c r="N60" s="48"/>
      <c r="O60" s="34" t="str">
        <f aca="false">IF($B60="","",$M60*$N60)</f>
        <v/>
      </c>
      <c r="P60" s="35" t="str">
        <f aca="false">IF(OR($B60="",$J60=0),"",$L60/$J60)</f>
        <v/>
      </c>
      <c r="Q60" s="32"/>
    </row>
    <row r="61" customFormat="false" ht="15.75" hidden="false" customHeight="true" outlineLevel="0" collapsed="false">
      <c r="A61" s="27"/>
      <c r="B61" s="28"/>
      <c r="C61" s="28"/>
      <c r="D61" s="27"/>
      <c r="E61" s="28"/>
      <c r="F61" s="28"/>
      <c r="G61" s="29"/>
      <c r="H61" s="27"/>
      <c r="I61" s="41"/>
      <c r="J61" s="30" t="str">
        <f aca="false">IF($B61="","",COUNTIF('Lead Management'!$Q$4:$Q$1003,$B61))</f>
        <v/>
      </c>
      <c r="K61" s="30" t="str">
        <f aca="false">IF($B61="","",COUNTIF(Consultation!$G$4:$G$1003,$B61))</f>
        <v/>
      </c>
      <c r="L61" s="30" t="str">
        <f aca="false">IF($B61="","",COUNTIF(Customers!$K$4:$K$1003,$B61))</f>
        <v/>
      </c>
      <c r="M61" s="34" t="str">
        <f aca="false">IF($B61="","",SUMIF(Customers!$K$4:$K$1003,$B61,Customers!$M$4:$M$1003))</f>
        <v/>
      </c>
      <c r="N61" s="48"/>
      <c r="O61" s="34" t="str">
        <f aca="false">IF($B61="","",$M61*$N61)</f>
        <v/>
      </c>
      <c r="P61" s="35" t="str">
        <f aca="false">IF(OR($B61="",$J61=0),"",$L61/$J61)</f>
        <v/>
      </c>
      <c r="Q61" s="32"/>
    </row>
    <row r="62" customFormat="false" ht="15.75" hidden="false" customHeight="true" outlineLevel="0" collapsed="false">
      <c r="A62" s="27"/>
      <c r="B62" s="28"/>
      <c r="C62" s="28"/>
      <c r="D62" s="27"/>
      <c r="E62" s="28"/>
      <c r="F62" s="28"/>
      <c r="G62" s="29"/>
      <c r="H62" s="27"/>
      <c r="I62" s="41"/>
      <c r="J62" s="30" t="str">
        <f aca="false">IF($B62="","",COUNTIF('Lead Management'!$Q$4:$Q$1003,$B62))</f>
        <v/>
      </c>
      <c r="K62" s="30" t="str">
        <f aca="false">IF($B62="","",COUNTIF(Consultation!$G$4:$G$1003,$B62))</f>
        <v/>
      </c>
      <c r="L62" s="30" t="str">
        <f aca="false">IF($B62="","",COUNTIF(Customers!$K$4:$K$1003,$B62))</f>
        <v/>
      </c>
      <c r="M62" s="34" t="str">
        <f aca="false">IF($B62="","",SUMIF(Customers!$K$4:$K$1003,$B62,Customers!$M$4:$M$1003))</f>
        <v/>
      </c>
      <c r="N62" s="48"/>
      <c r="O62" s="34" t="str">
        <f aca="false">IF($B62="","",$M62*$N62)</f>
        <v/>
      </c>
      <c r="P62" s="35" t="str">
        <f aca="false">IF(OR($B62="",$J62=0),"",$L62/$J62)</f>
        <v/>
      </c>
      <c r="Q62" s="32"/>
    </row>
    <row r="63" customFormat="false" ht="15.75" hidden="false" customHeight="true" outlineLevel="0" collapsed="false">
      <c r="A63" s="27"/>
      <c r="B63" s="28"/>
      <c r="C63" s="28"/>
      <c r="D63" s="27"/>
      <c r="E63" s="28"/>
      <c r="F63" s="28"/>
      <c r="G63" s="29"/>
      <c r="H63" s="27"/>
      <c r="I63" s="41"/>
      <c r="J63" s="30" t="str">
        <f aca="false">IF($B63="","",COUNTIF('Lead Management'!$Q$4:$Q$1003,$B63))</f>
        <v/>
      </c>
      <c r="K63" s="30" t="str">
        <f aca="false">IF($B63="","",COUNTIF(Consultation!$G$4:$G$1003,$B63))</f>
        <v/>
      </c>
      <c r="L63" s="30" t="str">
        <f aca="false">IF($B63="","",COUNTIF(Customers!$K$4:$K$1003,$B63))</f>
        <v/>
      </c>
      <c r="M63" s="34" t="str">
        <f aca="false">IF($B63="","",SUMIF(Customers!$K$4:$K$1003,$B63,Customers!$M$4:$M$1003))</f>
        <v/>
      </c>
      <c r="N63" s="48"/>
      <c r="O63" s="34" t="str">
        <f aca="false">IF($B63="","",$M63*$N63)</f>
        <v/>
      </c>
      <c r="P63" s="35" t="str">
        <f aca="false">IF(OR($B63="",$J63=0),"",$L63/$J63)</f>
        <v/>
      </c>
      <c r="Q63" s="32"/>
    </row>
    <row r="64" customFormat="false" ht="15.75" hidden="false" customHeight="true" outlineLevel="0" collapsed="false">
      <c r="A64" s="27"/>
      <c r="B64" s="28"/>
      <c r="C64" s="28"/>
      <c r="D64" s="27"/>
      <c r="E64" s="28"/>
      <c r="F64" s="28"/>
      <c r="G64" s="29"/>
      <c r="H64" s="27"/>
      <c r="I64" s="41"/>
      <c r="J64" s="30" t="str">
        <f aca="false">IF($B64="","",COUNTIF('Lead Management'!$Q$4:$Q$1003,$B64))</f>
        <v/>
      </c>
      <c r="K64" s="30" t="str">
        <f aca="false">IF($B64="","",COUNTIF(Consultation!$G$4:$G$1003,$B64))</f>
        <v/>
      </c>
      <c r="L64" s="30" t="str">
        <f aca="false">IF($B64="","",COUNTIF(Customers!$K$4:$K$1003,$B64))</f>
        <v/>
      </c>
      <c r="M64" s="34" t="str">
        <f aca="false">IF($B64="","",SUMIF(Customers!$K$4:$K$1003,$B64,Customers!$M$4:$M$1003))</f>
        <v/>
      </c>
      <c r="N64" s="48"/>
      <c r="O64" s="34" t="str">
        <f aca="false">IF($B64="","",$M64*$N64)</f>
        <v/>
      </c>
      <c r="P64" s="35" t="str">
        <f aca="false">IF(OR($B64="",$J64=0),"",$L64/$J64)</f>
        <v/>
      </c>
      <c r="Q64" s="32"/>
    </row>
    <row r="65" customFormat="false" ht="15.75" hidden="false" customHeight="true" outlineLevel="0" collapsed="false">
      <c r="A65" s="27"/>
      <c r="B65" s="28"/>
      <c r="C65" s="28"/>
      <c r="D65" s="27"/>
      <c r="E65" s="28"/>
      <c r="F65" s="28"/>
      <c r="G65" s="29"/>
      <c r="H65" s="27"/>
      <c r="I65" s="41"/>
      <c r="J65" s="30" t="str">
        <f aca="false">IF($B65="","",COUNTIF('Lead Management'!$Q$4:$Q$1003,$B65))</f>
        <v/>
      </c>
      <c r="K65" s="30" t="str">
        <f aca="false">IF($B65="","",COUNTIF(Consultation!$G$4:$G$1003,$B65))</f>
        <v/>
      </c>
      <c r="L65" s="30" t="str">
        <f aca="false">IF($B65="","",COUNTIF(Customers!$K$4:$K$1003,$B65))</f>
        <v/>
      </c>
      <c r="M65" s="34" t="str">
        <f aca="false">IF($B65="","",SUMIF(Customers!$K$4:$K$1003,$B65,Customers!$M$4:$M$1003))</f>
        <v/>
      </c>
      <c r="N65" s="48"/>
      <c r="O65" s="34" t="str">
        <f aca="false">IF($B65="","",$M65*$N65)</f>
        <v/>
      </c>
      <c r="P65" s="35" t="str">
        <f aca="false">IF(OR($B65="",$J65=0),"",$L65/$J65)</f>
        <v/>
      </c>
      <c r="Q65" s="32"/>
    </row>
    <row r="66" customFormat="false" ht="15.75" hidden="false" customHeight="true" outlineLevel="0" collapsed="false">
      <c r="A66" s="27"/>
      <c r="B66" s="28"/>
      <c r="C66" s="28"/>
      <c r="D66" s="27"/>
      <c r="E66" s="28"/>
      <c r="F66" s="28"/>
      <c r="G66" s="29"/>
      <c r="H66" s="27"/>
      <c r="I66" s="41"/>
      <c r="J66" s="30" t="str">
        <f aca="false">IF($B66="","",COUNTIF('Lead Management'!$Q$4:$Q$1003,$B66))</f>
        <v/>
      </c>
      <c r="K66" s="30" t="str">
        <f aca="false">IF($B66="","",COUNTIF(Consultation!$G$4:$G$1003,$B66))</f>
        <v/>
      </c>
      <c r="L66" s="30" t="str">
        <f aca="false">IF($B66="","",COUNTIF(Customers!$K$4:$K$1003,$B66))</f>
        <v/>
      </c>
      <c r="M66" s="34" t="str">
        <f aca="false">IF($B66="","",SUMIF(Customers!$K$4:$K$1003,$B66,Customers!$M$4:$M$1003))</f>
        <v/>
      </c>
      <c r="N66" s="48"/>
      <c r="O66" s="34" t="str">
        <f aca="false">IF($B66="","",$M66*$N66)</f>
        <v/>
      </c>
      <c r="P66" s="35" t="str">
        <f aca="false">IF(OR($B66="",$J66=0),"",$L66/$J66)</f>
        <v/>
      </c>
      <c r="Q66" s="32"/>
    </row>
    <row r="67" customFormat="false" ht="15.75" hidden="false" customHeight="true" outlineLevel="0" collapsed="false">
      <c r="A67" s="27"/>
      <c r="B67" s="28"/>
      <c r="C67" s="28"/>
      <c r="D67" s="27"/>
      <c r="E67" s="28"/>
      <c r="F67" s="28"/>
      <c r="G67" s="29"/>
      <c r="H67" s="27"/>
      <c r="I67" s="41"/>
      <c r="J67" s="30" t="str">
        <f aca="false">IF($B67="","",COUNTIF('Lead Management'!$Q$4:$Q$1003,$B67))</f>
        <v/>
      </c>
      <c r="K67" s="30" t="str">
        <f aca="false">IF($B67="","",COUNTIF(Consultation!$G$4:$G$1003,$B67))</f>
        <v/>
      </c>
      <c r="L67" s="30" t="str">
        <f aca="false">IF($B67="","",COUNTIF(Customers!$K$4:$K$1003,$B67))</f>
        <v/>
      </c>
      <c r="M67" s="34" t="str">
        <f aca="false">IF($B67="","",SUMIF(Customers!$K$4:$K$1003,$B67,Customers!$M$4:$M$1003))</f>
        <v/>
      </c>
      <c r="N67" s="48"/>
      <c r="O67" s="34" t="str">
        <f aca="false">IF($B67="","",$M67*$N67)</f>
        <v/>
      </c>
      <c r="P67" s="35" t="str">
        <f aca="false">IF(OR($B67="",$J67=0),"",$L67/$J67)</f>
        <v/>
      </c>
      <c r="Q67" s="32"/>
    </row>
    <row r="68" customFormat="false" ht="15.75" hidden="false" customHeight="true" outlineLevel="0" collapsed="false">
      <c r="A68" s="27"/>
      <c r="B68" s="28"/>
      <c r="C68" s="28"/>
      <c r="D68" s="27"/>
      <c r="E68" s="28"/>
      <c r="F68" s="28"/>
      <c r="G68" s="29"/>
      <c r="H68" s="27"/>
      <c r="I68" s="41"/>
      <c r="J68" s="30" t="str">
        <f aca="false">IF($B68="","",COUNTIF('Lead Management'!$Q$4:$Q$1003,$B68))</f>
        <v/>
      </c>
      <c r="K68" s="30" t="str">
        <f aca="false">IF($B68="","",COUNTIF(Consultation!$G$4:$G$1003,$B68))</f>
        <v/>
      </c>
      <c r="L68" s="30" t="str">
        <f aca="false">IF($B68="","",COUNTIF(Customers!$K$4:$K$1003,$B68))</f>
        <v/>
      </c>
      <c r="M68" s="34" t="str">
        <f aca="false">IF($B68="","",SUMIF(Customers!$K$4:$K$1003,$B68,Customers!$M$4:$M$1003))</f>
        <v/>
      </c>
      <c r="N68" s="48"/>
      <c r="O68" s="34" t="str">
        <f aca="false">IF($B68="","",$M68*$N68)</f>
        <v/>
      </c>
      <c r="P68" s="35" t="str">
        <f aca="false">IF(OR($B68="",$J68=0),"",$L68/$J68)</f>
        <v/>
      </c>
      <c r="Q68" s="32"/>
    </row>
    <row r="69" customFormat="false" ht="15.75" hidden="false" customHeight="true" outlineLevel="0" collapsed="false">
      <c r="A69" s="27"/>
      <c r="B69" s="28"/>
      <c r="C69" s="28"/>
      <c r="D69" s="27"/>
      <c r="E69" s="28"/>
      <c r="F69" s="28"/>
      <c r="G69" s="29"/>
      <c r="H69" s="27"/>
      <c r="I69" s="41"/>
      <c r="J69" s="30" t="str">
        <f aca="false">IF($B69="","",COUNTIF('Lead Management'!$Q$4:$Q$1003,$B69))</f>
        <v/>
      </c>
      <c r="K69" s="30" t="str">
        <f aca="false">IF($B69="","",COUNTIF(Consultation!$G$4:$G$1003,$B69))</f>
        <v/>
      </c>
      <c r="L69" s="30" t="str">
        <f aca="false">IF($B69="","",COUNTIF(Customers!$K$4:$K$1003,$B69))</f>
        <v/>
      </c>
      <c r="M69" s="34" t="str">
        <f aca="false">IF($B69="","",SUMIF(Customers!$K$4:$K$1003,$B69,Customers!$M$4:$M$1003))</f>
        <v/>
      </c>
      <c r="N69" s="48"/>
      <c r="O69" s="34" t="str">
        <f aca="false">IF($B69="","",$M69*$N69)</f>
        <v/>
      </c>
      <c r="P69" s="35" t="str">
        <f aca="false">IF(OR($B69="",$J69=0),"",$L69/$J69)</f>
        <v/>
      </c>
      <c r="Q69" s="32"/>
    </row>
    <row r="70" customFormat="false" ht="15.75" hidden="false" customHeight="true" outlineLevel="0" collapsed="false">
      <c r="A70" s="27"/>
      <c r="B70" s="28"/>
      <c r="C70" s="28"/>
      <c r="D70" s="27"/>
      <c r="E70" s="28"/>
      <c r="F70" s="28"/>
      <c r="G70" s="29"/>
      <c r="H70" s="27"/>
      <c r="I70" s="41"/>
      <c r="J70" s="30" t="str">
        <f aca="false">IF($B70="","",COUNTIF('Lead Management'!$Q$4:$Q$1003,$B70))</f>
        <v/>
      </c>
      <c r="K70" s="30" t="str">
        <f aca="false">IF($B70="","",COUNTIF(Consultation!$G$4:$G$1003,$B70))</f>
        <v/>
      </c>
      <c r="L70" s="30" t="str">
        <f aca="false">IF($B70="","",COUNTIF(Customers!$K$4:$K$1003,$B70))</f>
        <v/>
      </c>
      <c r="M70" s="34" t="str">
        <f aca="false">IF($B70="","",SUMIF(Customers!$K$4:$K$1003,$B70,Customers!$M$4:$M$1003))</f>
        <v/>
      </c>
      <c r="N70" s="48"/>
      <c r="O70" s="34" t="str">
        <f aca="false">IF($B70="","",$M70*$N70)</f>
        <v/>
      </c>
      <c r="P70" s="35" t="str">
        <f aca="false">IF(OR($B70="",$J70=0),"",$L70/$J70)</f>
        <v/>
      </c>
      <c r="Q70" s="32"/>
    </row>
    <row r="71" customFormat="false" ht="15.75" hidden="false" customHeight="true" outlineLevel="0" collapsed="false">
      <c r="A71" s="27"/>
      <c r="B71" s="28"/>
      <c r="C71" s="28"/>
      <c r="D71" s="27"/>
      <c r="E71" s="28"/>
      <c r="F71" s="28"/>
      <c r="G71" s="29"/>
      <c r="H71" s="27"/>
      <c r="I71" s="41"/>
      <c r="J71" s="30" t="str">
        <f aca="false">IF($B71="","",COUNTIF('Lead Management'!$Q$4:$Q$1003,$B71))</f>
        <v/>
      </c>
      <c r="K71" s="30" t="str">
        <f aca="false">IF($B71="","",COUNTIF(Consultation!$G$4:$G$1003,$B71))</f>
        <v/>
      </c>
      <c r="L71" s="30" t="str">
        <f aca="false">IF($B71="","",COUNTIF(Customers!$K$4:$K$1003,$B71))</f>
        <v/>
      </c>
      <c r="M71" s="34" t="str">
        <f aca="false">IF($B71="","",SUMIF(Customers!$K$4:$K$1003,$B71,Customers!$M$4:$M$1003))</f>
        <v/>
      </c>
      <c r="N71" s="48"/>
      <c r="O71" s="34" t="str">
        <f aca="false">IF($B71="","",$M71*$N71)</f>
        <v/>
      </c>
      <c r="P71" s="35" t="str">
        <f aca="false">IF(OR($B71="",$J71=0),"",$L71/$J71)</f>
        <v/>
      </c>
      <c r="Q71" s="32"/>
    </row>
    <row r="72" customFormat="false" ht="15.75" hidden="false" customHeight="true" outlineLevel="0" collapsed="false">
      <c r="A72" s="27"/>
      <c r="B72" s="28"/>
      <c r="C72" s="28"/>
      <c r="D72" s="27"/>
      <c r="E72" s="28"/>
      <c r="F72" s="28"/>
      <c r="G72" s="29"/>
      <c r="H72" s="27"/>
      <c r="I72" s="41"/>
      <c r="J72" s="30" t="str">
        <f aca="false">IF($B72="","",COUNTIF('Lead Management'!$Q$4:$Q$1003,$B72))</f>
        <v/>
      </c>
      <c r="K72" s="30" t="str">
        <f aca="false">IF($B72="","",COUNTIF(Consultation!$G$4:$G$1003,$B72))</f>
        <v/>
      </c>
      <c r="L72" s="30" t="str">
        <f aca="false">IF($B72="","",COUNTIF(Customers!$K$4:$K$1003,$B72))</f>
        <v/>
      </c>
      <c r="M72" s="34" t="str">
        <f aca="false">IF($B72="","",SUMIF(Customers!$K$4:$K$1003,$B72,Customers!$M$4:$M$1003))</f>
        <v/>
      </c>
      <c r="N72" s="48"/>
      <c r="O72" s="34" t="str">
        <f aca="false">IF($B72="","",$M72*$N72)</f>
        <v/>
      </c>
      <c r="P72" s="35" t="str">
        <f aca="false">IF(OR($B72="",$J72=0),"",$L72/$J72)</f>
        <v/>
      </c>
      <c r="Q72" s="32"/>
    </row>
    <row r="73" customFormat="false" ht="15.75" hidden="false" customHeight="true" outlineLevel="0" collapsed="false">
      <c r="A73" s="27"/>
      <c r="B73" s="28"/>
      <c r="C73" s="28"/>
      <c r="D73" s="27"/>
      <c r="E73" s="28"/>
      <c r="F73" s="28"/>
      <c r="G73" s="29"/>
      <c r="H73" s="27"/>
      <c r="I73" s="41"/>
      <c r="J73" s="30" t="str">
        <f aca="false">IF($B73="","",COUNTIF('Lead Management'!$Q$4:$Q$1003,$B73))</f>
        <v/>
      </c>
      <c r="K73" s="30" t="str">
        <f aca="false">IF($B73="","",COUNTIF(Consultation!$G$4:$G$1003,$B73))</f>
        <v/>
      </c>
      <c r="L73" s="30" t="str">
        <f aca="false">IF($B73="","",COUNTIF(Customers!$K$4:$K$1003,$B73))</f>
        <v/>
      </c>
      <c r="M73" s="34" t="str">
        <f aca="false">IF($B73="","",SUMIF(Customers!$K$4:$K$1003,$B73,Customers!$M$4:$M$1003))</f>
        <v/>
      </c>
      <c r="N73" s="48"/>
      <c r="O73" s="34" t="str">
        <f aca="false">IF($B73="","",$M73*$N73)</f>
        <v/>
      </c>
      <c r="P73" s="35" t="str">
        <f aca="false">IF(OR($B73="",$J73=0),"",$L73/$J73)</f>
        <v/>
      </c>
      <c r="Q73" s="32"/>
    </row>
    <row r="74" customFormat="false" ht="15.75" hidden="false" customHeight="true" outlineLevel="0" collapsed="false">
      <c r="A74" s="27"/>
      <c r="B74" s="28"/>
      <c r="C74" s="28"/>
      <c r="D74" s="27"/>
      <c r="E74" s="28"/>
      <c r="F74" s="28"/>
      <c r="G74" s="29"/>
      <c r="H74" s="27"/>
      <c r="I74" s="41"/>
      <c r="J74" s="30" t="str">
        <f aca="false">IF($B74="","",COUNTIF('Lead Management'!$Q$4:$Q$1003,$B74))</f>
        <v/>
      </c>
      <c r="K74" s="30" t="str">
        <f aca="false">IF($B74="","",COUNTIF(Consultation!$G$4:$G$1003,$B74))</f>
        <v/>
      </c>
      <c r="L74" s="30" t="str">
        <f aca="false">IF($B74="","",COUNTIF(Customers!$K$4:$K$1003,$B74))</f>
        <v/>
      </c>
      <c r="M74" s="34" t="str">
        <f aca="false">IF($B74="","",SUMIF(Customers!$K$4:$K$1003,$B74,Customers!$M$4:$M$1003))</f>
        <v/>
      </c>
      <c r="N74" s="48"/>
      <c r="O74" s="34" t="str">
        <f aca="false">IF($B74="","",$M74*$N74)</f>
        <v/>
      </c>
      <c r="P74" s="35" t="str">
        <f aca="false">IF(OR($B74="",$J74=0),"",$L74/$J74)</f>
        <v/>
      </c>
      <c r="Q74" s="32"/>
    </row>
    <row r="75" customFormat="false" ht="15.75" hidden="false" customHeight="true" outlineLevel="0" collapsed="false">
      <c r="A75" s="27"/>
      <c r="B75" s="28"/>
      <c r="C75" s="28"/>
      <c r="D75" s="27"/>
      <c r="E75" s="28"/>
      <c r="F75" s="28"/>
      <c r="G75" s="29"/>
      <c r="H75" s="27"/>
      <c r="I75" s="41"/>
      <c r="J75" s="30" t="str">
        <f aca="false">IF($B75="","",COUNTIF('Lead Management'!$Q$4:$Q$1003,$B75))</f>
        <v/>
      </c>
      <c r="K75" s="30" t="str">
        <f aca="false">IF($B75="","",COUNTIF(Consultation!$G$4:$G$1003,$B75))</f>
        <v/>
      </c>
      <c r="L75" s="30" t="str">
        <f aca="false">IF($B75="","",COUNTIF(Customers!$K$4:$K$1003,$B75))</f>
        <v/>
      </c>
      <c r="M75" s="34" t="str">
        <f aca="false">IF($B75="","",SUMIF(Customers!$K$4:$K$1003,$B75,Customers!$M$4:$M$1003))</f>
        <v/>
      </c>
      <c r="N75" s="48"/>
      <c r="O75" s="34" t="str">
        <f aca="false">IF($B75="","",$M75*$N75)</f>
        <v/>
      </c>
      <c r="P75" s="35" t="str">
        <f aca="false">IF(OR($B75="",$J75=0),"",$L75/$J75)</f>
        <v/>
      </c>
      <c r="Q75" s="32"/>
    </row>
    <row r="76" customFormat="false" ht="15.75" hidden="false" customHeight="true" outlineLevel="0" collapsed="false">
      <c r="A76" s="27"/>
      <c r="B76" s="28"/>
      <c r="C76" s="28"/>
      <c r="D76" s="27"/>
      <c r="E76" s="28"/>
      <c r="F76" s="28"/>
      <c r="G76" s="29"/>
      <c r="H76" s="27"/>
      <c r="I76" s="41"/>
      <c r="J76" s="30" t="str">
        <f aca="false">IF($B76="","",COUNTIF('Lead Management'!$Q$4:$Q$1003,$B76))</f>
        <v/>
      </c>
      <c r="K76" s="30" t="str">
        <f aca="false">IF($B76="","",COUNTIF(Consultation!$G$4:$G$1003,$B76))</f>
        <v/>
      </c>
      <c r="L76" s="30" t="str">
        <f aca="false">IF($B76="","",COUNTIF(Customers!$K$4:$K$1003,$B76))</f>
        <v/>
      </c>
      <c r="M76" s="34" t="str">
        <f aca="false">IF($B76="","",SUMIF(Customers!$K$4:$K$1003,$B76,Customers!$M$4:$M$1003))</f>
        <v/>
      </c>
      <c r="N76" s="48"/>
      <c r="O76" s="34" t="str">
        <f aca="false">IF($B76="","",$M76*$N76)</f>
        <v/>
      </c>
      <c r="P76" s="35" t="str">
        <f aca="false">IF(OR($B76="",$J76=0),"",$L76/$J76)</f>
        <v/>
      </c>
      <c r="Q76" s="32"/>
    </row>
    <row r="77" customFormat="false" ht="15.75" hidden="false" customHeight="true" outlineLevel="0" collapsed="false">
      <c r="A77" s="27"/>
      <c r="B77" s="28"/>
      <c r="C77" s="28"/>
      <c r="D77" s="27"/>
      <c r="E77" s="28"/>
      <c r="F77" s="28"/>
      <c r="G77" s="29"/>
      <c r="H77" s="27"/>
      <c r="I77" s="41"/>
      <c r="J77" s="30" t="str">
        <f aca="false">IF($B77="","",COUNTIF('Lead Management'!$Q$4:$Q$1003,$B77))</f>
        <v/>
      </c>
      <c r="K77" s="30" t="str">
        <f aca="false">IF($B77="","",COUNTIF(Consultation!$G$4:$G$1003,$B77))</f>
        <v/>
      </c>
      <c r="L77" s="30" t="str">
        <f aca="false">IF($B77="","",COUNTIF(Customers!$K$4:$K$1003,$B77))</f>
        <v/>
      </c>
      <c r="M77" s="34" t="str">
        <f aca="false">IF($B77="","",SUMIF(Customers!$K$4:$K$1003,$B77,Customers!$M$4:$M$1003))</f>
        <v/>
      </c>
      <c r="N77" s="48"/>
      <c r="O77" s="34" t="str">
        <f aca="false">IF($B77="","",$M77*$N77)</f>
        <v/>
      </c>
      <c r="P77" s="35" t="str">
        <f aca="false">IF(OR($B77="",$J77=0),"",$L77/$J77)</f>
        <v/>
      </c>
      <c r="Q77" s="32"/>
    </row>
    <row r="78" customFormat="false" ht="15.75" hidden="false" customHeight="true" outlineLevel="0" collapsed="false">
      <c r="A78" s="27"/>
      <c r="B78" s="28"/>
      <c r="C78" s="28"/>
      <c r="D78" s="27"/>
      <c r="E78" s="28"/>
      <c r="F78" s="28"/>
      <c r="G78" s="29"/>
      <c r="H78" s="27"/>
      <c r="I78" s="41"/>
      <c r="J78" s="30" t="str">
        <f aca="false">IF($B78="","",COUNTIF('Lead Management'!$Q$4:$Q$1003,$B78))</f>
        <v/>
      </c>
      <c r="K78" s="30" t="str">
        <f aca="false">IF($B78="","",COUNTIF(Consultation!$G$4:$G$1003,$B78))</f>
        <v/>
      </c>
      <c r="L78" s="30" t="str">
        <f aca="false">IF($B78="","",COUNTIF(Customers!$K$4:$K$1003,$B78))</f>
        <v/>
      </c>
      <c r="M78" s="34" t="str">
        <f aca="false">IF($B78="","",SUMIF(Customers!$K$4:$K$1003,$B78,Customers!$M$4:$M$1003))</f>
        <v/>
      </c>
      <c r="N78" s="48"/>
      <c r="O78" s="34" t="str">
        <f aca="false">IF($B78="","",$M78*$N78)</f>
        <v/>
      </c>
      <c r="P78" s="35" t="str">
        <f aca="false">IF(OR($B78="",$J78=0),"",$L78/$J78)</f>
        <v/>
      </c>
      <c r="Q78" s="32"/>
    </row>
    <row r="79" customFormat="false" ht="15.75" hidden="false" customHeight="true" outlineLevel="0" collapsed="false">
      <c r="A79" s="27"/>
      <c r="B79" s="28"/>
      <c r="C79" s="28"/>
      <c r="D79" s="27"/>
      <c r="E79" s="28"/>
      <c r="F79" s="28"/>
      <c r="G79" s="29"/>
      <c r="H79" s="27"/>
      <c r="I79" s="41"/>
      <c r="J79" s="30" t="str">
        <f aca="false">IF($B79="","",COUNTIF('Lead Management'!$Q$4:$Q$1003,$B79))</f>
        <v/>
      </c>
      <c r="K79" s="30" t="str">
        <f aca="false">IF($B79="","",COUNTIF(Consultation!$G$4:$G$1003,$B79))</f>
        <v/>
      </c>
      <c r="L79" s="30" t="str">
        <f aca="false">IF($B79="","",COUNTIF(Customers!$K$4:$K$1003,$B79))</f>
        <v/>
      </c>
      <c r="M79" s="34" t="str">
        <f aca="false">IF($B79="","",SUMIF(Customers!$K$4:$K$1003,$B79,Customers!$M$4:$M$1003))</f>
        <v/>
      </c>
      <c r="N79" s="48"/>
      <c r="O79" s="34" t="str">
        <f aca="false">IF($B79="","",$M79*$N79)</f>
        <v/>
      </c>
      <c r="P79" s="35" t="str">
        <f aca="false">IF(OR($B79="",$J79=0),"",$L79/$J79)</f>
        <v/>
      </c>
      <c r="Q79" s="32"/>
    </row>
    <row r="80" customFormat="false" ht="15.75" hidden="false" customHeight="true" outlineLevel="0" collapsed="false">
      <c r="A80" s="27"/>
      <c r="B80" s="28"/>
      <c r="C80" s="28"/>
      <c r="D80" s="27"/>
      <c r="E80" s="28"/>
      <c r="F80" s="28"/>
      <c r="G80" s="29"/>
      <c r="H80" s="27"/>
      <c r="I80" s="41"/>
      <c r="J80" s="30" t="str">
        <f aca="false">IF($B80="","",COUNTIF('Lead Management'!$Q$4:$Q$1003,$B80))</f>
        <v/>
      </c>
      <c r="K80" s="30" t="str">
        <f aca="false">IF($B80="","",COUNTIF(Consultation!$G$4:$G$1003,$B80))</f>
        <v/>
      </c>
      <c r="L80" s="30" t="str">
        <f aca="false">IF($B80="","",COUNTIF(Customers!$K$4:$K$1003,$B80))</f>
        <v/>
      </c>
      <c r="M80" s="34" t="str">
        <f aca="false">IF($B80="","",SUMIF(Customers!$K$4:$K$1003,$B80,Customers!$M$4:$M$1003))</f>
        <v/>
      </c>
      <c r="N80" s="48"/>
      <c r="O80" s="34" t="str">
        <f aca="false">IF($B80="","",$M80*$N80)</f>
        <v/>
      </c>
      <c r="P80" s="35" t="str">
        <f aca="false">IF(OR($B80="",$J80=0),"",$L80/$J80)</f>
        <v/>
      </c>
      <c r="Q80" s="32"/>
    </row>
    <row r="81" customFormat="false" ht="15.75" hidden="false" customHeight="true" outlineLevel="0" collapsed="false">
      <c r="A81" s="27"/>
      <c r="B81" s="28"/>
      <c r="C81" s="28"/>
      <c r="D81" s="27"/>
      <c r="E81" s="28"/>
      <c r="F81" s="28"/>
      <c r="G81" s="29"/>
      <c r="H81" s="27"/>
      <c r="I81" s="41"/>
      <c r="J81" s="30" t="str">
        <f aca="false">IF($B81="","",COUNTIF('Lead Management'!$Q$4:$Q$1003,$B81))</f>
        <v/>
      </c>
      <c r="K81" s="30" t="str">
        <f aca="false">IF($B81="","",COUNTIF(Consultation!$G$4:$G$1003,$B81))</f>
        <v/>
      </c>
      <c r="L81" s="30" t="str">
        <f aca="false">IF($B81="","",COUNTIF(Customers!$K$4:$K$1003,$B81))</f>
        <v/>
      </c>
      <c r="M81" s="34" t="str">
        <f aca="false">IF($B81="","",SUMIF(Customers!$K$4:$K$1003,$B81,Customers!$M$4:$M$1003))</f>
        <v/>
      </c>
      <c r="N81" s="48"/>
      <c r="O81" s="34" t="str">
        <f aca="false">IF($B81="","",$M81*$N81)</f>
        <v/>
      </c>
      <c r="P81" s="35" t="str">
        <f aca="false">IF(OR($B81="",$J81=0),"",$L81/$J81)</f>
        <v/>
      </c>
      <c r="Q81" s="32"/>
    </row>
    <row r="82" customFormat="false" ht="15.75" hidden="false" customHeight="true" outlineLevel="0" collapsed="false">
      <c r="A82" s="27"/>
      <c r="B82" s="28"/>
      <c r="C82" s="28"/>
      <c r="D82" s="27"/>
      <c r="E82" s="28"/>
      <c r="F82" s="28"/>
      <c r="G82" s="29"/>
      <c r="H82" s="27"/>
      <c r="I82" s="41"/>
      <c r="J82" s="30" t="str">
        <f aca="false">IF($B82="","",COUNTIF('Lead Management'!$Q$4:$Q$1003,$B82))</f>
        <v/>
      </c>
      <c r="K82" s="30" t="str">
        <f aca="false">IF($B82="","",COUNTIF(Consultation!$G$4:$G$1003,$B82))</f>
        <v/>
      </c>
      <c r="L82" s="30" t="str">
        <f aca="false">IF($B82="","",COUNTIF(Customers!$K$4:$K$1003,$B82))</f>
        <v/>
      </c>
      <c r="M82" s="34" t="str">
        <f aca="false">IF($B82="","",SUMIF(Customers!$K$4:$K$1003,$B82,Customers!$M$4:$M$1003))</f>
        <v/>
      </c>
      <c r="N82" s="48"/>
      <c r="O82" s="34" t="str">
        <f aca="false">IF($B82="","",$M82*$N82)</f>
        <v/>
      </c>
      <c r="P82" s="35" t="str">
        <f aca="false">IF(OR($B82="",$J82=0),"",$L82/$J82)</f>
        <v/>
      </c>
      <c r="Q82" s="32"/>
    </row>
    <row r="83" customFormat="false" ht="15.75" hidden="false" customHeight="true" outlineLevel="0" collapsed="false">
      <c r="A83" s="27"/>
      <c r="B83" s="28"/>
      <c r="C83" s="28"/>
      <c r="D83" s="27"/>
      <c r="E83" s="28"/>
      <c r="F83" s="28"/>
      <c r="G83" s="29"/>
      <c r="H83" s="27"/>
      <c r="I83" s="41"/>
      <c r="J83" s="30" t="str">
        <f aca="false">IF($B83="","",COUNTIF('Lead Management'!$Q$4:$Q$1003,$B83))</f>
        <v/>
      </c>
      <c r="K83" s="30" t="str">
        <f aca="false">IF($B83="","",COUNTIF(Consultation!$G$4:$G$1003,$B83))</f>
        <v/>
      </c>
      <c r="L83" s="30" t="str">
        <f aca="false">IF($B83="","",COUNTIF(Customers!$K$4:$K$1003,$B83))</f>
        <v/>
      </c>
      <c r="M83" s="34" t="str">
        <f aca="false">IF($B83="","",SUMIF(Customers!$K$4:$K$1003,$B83,Customers!$M$4:$M$1003))</f>
        <v/>
      </c>
      <c r="N83" s="48"/>
      <c r="O83" s="34" t="str">
        <f aca="false">IF($B83="","",$M83*$N83)</f>
        <v/>
      </c>
      <c r="P83" s="35" t="str">
        <f aca="false">IF(OR($B83="",$J83=0),"",$L83/$J83)</f>
        <v/>
      </c>
      <c r="Q83" s="32"/>
    </row>
    <row r="84" customFormat="false" ht="15.75" hidden="false" customHeight="true" outlineLevel="0" collapsed="false">
      <c r="A84" s="27"/>
      <c r="B84" s="28"/>
      <c r="C84" s="28"/>
      <c r="D84" s="27"/>
      <c r="E84" s="28"/>
      <c r="F84" s="28"/>
      <c r="G84" s="29"/>
      <c r="H84" s="27"/>
      <c r="I84" s="41"/>
      <c r="J84" s="30" t="str">
        <f aca="false">IF($B84="","",COUNTIF('Lead Management'!$Q$4:$Q$1003,$B84))</f>
        <v/>
      </c>
      <c r="K84" s="30" t="str">
        <f aca="false">IF($B84="","",COUNTIF(Consultation!$G$4:$G$1003,$B84))</f>
        <v/>
      </c>
      <c r="L84" s="30" t="str">
        <f aca="false">IF($B84="","",COUNTIF(Customers!$K$4:$K$1003,$B84))</f>
        <v/>
      </c>
      <c r="M84" s="34" t="str">
        <f aca="false">IF($B84="","",SUMIF(Customers!$K$4:$K$1003,$B84,Customers!$M$4:$M$1003))</f>
        <v/>
      </c>
      <c r="N84" s="48"/>
      <c r="O84" s="34" t="str">
        <f aca="false">IF($B84="","",$M84*$N84)</f>
        <v/>
      </c>
      <c r="P84" s="35" t="str">
        <f aca="false">IF(OR($B84="",$J84=0),"",$L84/$J84)</f>
        <v/>
      </c>
      <c r="Q84" s="32"/>
    </row>
    <row r="85" customFormat="false" ht="15.75" hidden="false" customHeight="true" outlineLevel="0" collapsed="false">
      <c r="A85" s="27"/>
      <c r="B85" s="28"/>
      <c r="C85" s="28"/>
      <c r="D85" s="27"/>
      <c r="E85" s="28"/>
      <c r="F85" s="28"/>
      <c r="G85" s="29"/>
      <c r="H85" s="27"/>
      <c r="I85" s="41"/>
      <c r="J85" s="30" t="str">
        <f aca="false">IF($B85="","",COUNTIF('Lead Management'!$Q$4:$Q$1003,$B85))</f>
        <v/>
      </c>
      <c r="K85" s="30" t="str">
        <f aca="false">IF($B85="","",COUNTIF(Consultation!$G$4:$G$1003,$B85))</f>
        <v/>
      </c>
      <c r="L85" s="30" t="str">
        <f aca="false">IF($B85="","",COUNTIF(Customers!$K$4:$K$1003,$B85))</f>
        <v/>
      </c>
      <c r="M85" s="34" t="str">
        <f aca="false">IF($B85="","",SUMIF(Customers!$K$4:$K$1003,$B85,Customers!$M$4:$M$1003))</f>
        <v/>
      </c>
      <c r="N85" s="48"/>
      <c r="O85" s="34" t="str">
        <f aca="false">IF($B85="","",$M85*$N85)</f>
        <v/>
      </c>
      <c r="P85" s="35" t="str">
        <f aca="false">IF(OR($B85="",$J85=0),"",$L85/$J85)</f>
        <v/>
      </c>
      <c r="Q85" s="32"/>
    </row>
    <row r="86" customFormat="false" ht="15.75" hidden="false" customHeight="true" outlineLevel="0" collapsed="false">
      <c r="A86" s="27"/>
      <c r="B86" s="28"/>
      <c r="C86" s="28"/>
      <c r="D86" s="27"/>
      <c r="E86" s="28"/>
      <c r="F86" s="28"/>
      <c r="G86" s="29"/>
      <c r="H86" s="27"/>
      <c r="I86" s="41"/>
      <c r="J86" s="30" t="str">
        <f aca="false">IF($B86="","",COUNTIF('Lead Management'!$Q$4:$Q$1003,$B86))</f>
        <v/>
      </c>
      <c r="K86" s="30" t="str">
        <f aca="false">IF($B86="","",COUNTIF(Consultation!$G$4:$G$1003,$B86))</f>
        <v/>
      </c>
      <c r="L86" s="30" t="str">
        <f aca="false">IF($B86="","",COUNTIF(Customers!$K$4:$K$1003,$B86))</f>
        <v/>
      </c>
      <c r="M86" s="34" t="str">
        <f aca="false">IF($B86="","",SUMIF(Customers!$K$4:$K$1003,$B86,Customers!$M$4:$M$1003))</f>
        <v/>
      </c>
      <c r="N86" s="48"/>
      <c r="O86" s="34" t="str">
        <f aca="false">IF($B86="","",$M86*$N86)</f>
        <v/>
      </c>
      <c r="P86" s="35" t="str">
        <f aca="false">IF(OR($B86="",$J86=0),"",$L86/$J86)</f>
        <v/>
      </c>
      <c r="Q86" s="32"/>
    </row>
    <row r="87" customFormat="false" ht="15.75" hidden="false" customHeight="true" outlineLevel="0" collapsed="false">
      <c r="A87" s="27"/>
      <c r="B87" s="28"/>
      <c r="C87" s="28"/>
      <c r="D87" s="27"/>
      <c r="E87" s="28"/>
      <c r="F87" s="28"/>
      <c r="G87" s="29"/>
      <c r="H87" s="27"/>
      <c r="I87" s="41"/>
      <c r="J87" s="30" t="str">
        <f aca="false">IF($B87="","",COUNTIF('Lead Management'!$Q$4:$Q$1003,$B87))</f>
        <v/>
      </c>
      <c r="K87" s="30" t="str">
        <f aca="false">IF($B87="","",COUNTIF(Consultation!$G$4:$G$1003,$B87))</f>
        <v/>
      </c>
      <c r="L87" s="30" t="str">
        <f aca="false">IF($B87="","",COUNTIF(Customers!$K$4:$K$1003,$B87))</f>
        <v/>
      </c>
      <c r="M87" s="34" t="str">
        <f aca="false">IF($B87="","",SUMIF(Customers!$K$4:$K$1003,$B87,Customers!$M$4:$M$1003))</f>
        <v/>
      </c>
      <c r="N87" s="48"/>
      <c r="O87" s="34" t="str">
        <f aca="false">IF($B87="","",$M87*$N87)</f>
        <v/>
      </c>
      <c r="P87" s="35" t="str">
        <f aca="false">IF(OR($B87="",$J87=0),"",$L87/$J87)</f>
        <v/>
      </c>
      <c r="Q87" s="32"/>
    </row>
    <row r="88" customFormat="false" ht="15.75" hidden="false" customHeight="true" outlineLevel="0" collapsed="false">
      <c r="A88" s="27"/>
      <c r="B88" s="28"/>
      <c r="C88" s="28"/>
      <c r="D88" s="27"/>
      <c r="E88" s="28"/>
      <c r="F88" s="28"/>
      <c r="G88" s="29"/>
      <c r="H88" s="27"/>
      <c r="I88" s="41"/>
      <c r="J88" s="30" t="str">
        <f aca="false">IF($B88="","",COUNTIF('Lead Management'!$Q$4:$Q$1003,$B88))</f>
        <v/>
      </c>
      <c r="K88" s="30" t="str">
        <f aca="false">IF($B88="","",COUNTIF(Consultation!$G$4:$G$1003,$B88))</f>
        <v/>
      </c>
      <c r="L88" s="30" t="str">
        <f aca="false">IF($B88="","",COUNTIF(Customers!$K$4:$K$1003,$B88))</f>
        <v/>
      </c>
      <c r="M88" s="34" t="str">
        <f aca="false">IF($B88="","",SUMIF(Customers!$K$4:$K$1003,$B88,Customers!$M$4:$M$1003))</f>
        <v/>
      </c>
      <c r="N88" s="48"/>
      <c r="O88" s="34" t="str">
        <f aca="false">IF($B88="","",$M88*$N88)</f>
        <v/>
      </c>
      <c r="P88" s="35" t="str">
        <f aca="false">IF(OR($B88="",$J88=0),"",$L88/$J88)</f>
        <v/>
      </c>
      <c r="Q88" s="32"/>
    </row>
    <row r="89" customFormat="false" ht="15.75" hidden="false" customHeight="true" outlineLevel="0" collapsed="false">
      <c r="A89" s="27"/>
      <c r="B89" s="28"/>
      <c r="C89" s="28"/>
      <c r="D89" s="27"/>
      <c r="E89" s="28"/>
      <c r="F89" s="28"/>
      <c r="G89" s="29"/>
      <c r="H89" s="27"/>
      <c r="I89" s="41"/>
      <c r="J89" s="30" t="str">
        <f aca="false">IF($B89="","",COUNTIF('Lead Management'!$Q$4:$Q$1003,$B89))</f>
        <v/>
      </c>
      <c r="K89" s="30" t="str">
        <f aca="false">IF($B89="","",COUNTIF(Consultation!$G$4:$G$1003,$B89))</f>
        <v/>
      </c>
      <c r="L89" s="30" t="str">
        <f aca="false">IF($B89="","",COUNTIF(Customers!$K$4:$K$1003,$B89))</f>
        <v/>
      </c>
      <c r="M89" s="34" t="str">
        <f aca="false">IF($B89="","",SUMIF(Customers!$K$4:$K$1003,$B89,Customers!$M$4:$M$1003))</f>
        <v/>
      </c>
      <c r="N89" s="48"/>
      <c r="O89" s="34" t="str">
        <f aca="false">IF($B89="","",$M89*$N89)</f>
        <v/>
      </c>
      <c r="P89" s="35" t="str">
        <f aca="false">IF(OR($B89="",$J89=0),"",$L89/$J89)</f>
        <v/>
      </c>
      <c r="Q89" s="32"/>
    </row>
    <row r="90" customFormat="false" ht="15.75" hidden="false" customHeight="true" outlineLevel="0" collapsed="false">
      <c r="A90" s="27"/>
      <c r="B90" s="28"/>
      <c r="C90" s="28"/>
      <c r="D90" s="27"/>
      <c r="E90" s="28"/>
      <c r="F90" s="28"/>
      <c r="G90" s="29"/>
      <c r="H90" s="27"/>
      <c r="I90" s="41"/>
      <c r="J90" s="30" t="str">
        <f aca="false">IF($B90="","",COUNTIF('Lead Management'!$Q$4:$Q$1003,$B90))</f>
        <v/>
      </c>
      <c r="K90" s="30" t="str">
        <f aca="false">IF($B90="","",COUNTIF(Consultation!$G$4:$G$1003,$B90))</f>
        <v/>
      </c>
      <c r="L90" s="30" t="str">
        <f aca="false">IF($B90="","",COUNTIF(Customers!$K$4:$K$1003,$B90))</f>
        <v/>
      </c>
      <c r="M90" s="34" t="str">
        <f aca="false">IF($B90="","",SUMIF(Customers!$K$4:$K$1003,$B90,Customers!$M$4:$M$1003))</f>
        <v/>
      </c>
      <c r="N90" s="48"/>
      <c r="O90" s="34" t="str">
        <f aca="false">IF($B90="","",$M90*$N90)</f>
        <v/>
      </c>
      <c r="P90" s="35" t="str">
        <f aca="false">IF(OR($B90="",$J90=0),"",$L90/$J90)</f>
        <v/>
      </c>
      <c r="Q90" s="32"/>
    </row>
    <row r="91" customFormat="false" ht="15.75" hidden="false" customHeight="true" outlineLevel="0" collapsed="false">
      <c r="A91" s="27"/>
      <c r="B91" s="28"/>
      <c r="C91" s="28"/>
      <c r="D91" s="27"/>
      <c r="E91" s="28"/>
      <c r="F91" s="28"/>
      <c r="G91" s="29"/>
      <c r="H91" s="27"/>
      <c r="I91" s="41"/>
      <c r="J91" s="30" t="str">
        <f aca="false">IF($B91="","",COUNTIF('Lead Management'!$Q$4:$Q$1003,$B91))</f>
        <v/>
      </c>
      <c r="K91" s="30" t="str">
        <f aca="false">IF($B91="","",COUNTIF(Consultation!$G$4:$G$1003,$B91))</f>
        <v/>
      </c>
      <c r="L91" s="30" t="str">
        <f aca="false">IF($B91="","",COUNTIF(Customers!$K$4:$K$1003,$B91))</f>
        <v/>
      </c>
      <c r="M91" s="34" t="str">
        <f aca="false">IF($B91="","",SUMIF(Customers!$K$4:$K$1003,$B91,Customers!$M$4:$M$1003))</f>
        <v/>
      </c>
      <c r="N91" s="48"/>
      <c r="O91" s="34" t="str">
        <f aca="false">IF($B91="","",$M91*$N91)</f>
        <v/>
      </c>
      <c r="P91" s="35" t="str">
        <f aca="false">IF(OR($B91="",$J91=0),"",$L91/$J91)</f>
        <v/>
      </c>
      <c r="Q91" s="32"/>
    </row>
    <row r="92" customFormat="false" ht="15.75" hidden="false" customHeight="true" outlineLevel="0" collapsed="false">
      <c r="A92" s="27"/>
      <c r="B92" s="28"/>
      <c r="C92" s="28"/>
      <c r="D92" s="27"/>
      <c r="E92" s="28"/>
      <c r="F92" s="28"/>
      <c r="G92" s="29"/>
      <c r="H92" s="27"/>
      <c r="I92" s="41"/>
      <c r="J92" s="30" t="str">
        <f aca="false">IF($B92="","",COUNTIF('Lead Management'!$Q$4:$Q$1003,$B92))</f>
        <v/>
      </c>
      <c r="K92" s="30" t="str">
        <f aca="false">IF($B92="","",COUNTIF(Consultation!$G$4:$G$1003,$B92))</f>
        <v/>
      </c>
      <c r="L92" s="30" t="str">
        <f aca="false">IF($B92="","",COUNTIF(Customers!$K$4:$K$1003,$B92))</f>
        <v/>
      </c>
      <c r="M92" s="34" t="str">
        <f aca="false">IF($B92="","",SUMIF(Customers!$K$4:$K$1003,$B92,Customers!$M$4:$M$1003))</f>
        <v/>
      </c>
      <c r="N92" s="48"/>
      <c r="O92" s="34" t="str">
        <f aca="false">IF($B92="","",$M92*$N92)</f>
        <v/>
      </c>
      <c r="P92" s="35" t="str">
        <f aca="false">IF(OR($B92="",$J92=0),"",$L92/$J92)</f>
        <v/>
      </c>
      <c r="Q92" s="32"/>
    </row>
    <row r="93" customFormat="false" ht="15.75" hidden="false" customHeight="true" outlineLevel="0" collapsed="false">
      <c r="A93" s="27"/>
      <c r="B93" s="28"/>
      <c r="C93" s="28"/>
      <c r="D93" s="27"/>
      <c r="E93" s="28"/>
      <c r="F93" s="28"/>
      <c r="G93" s="29"/>
      <c r="H93" s="27"/>
      <c r="I93" s="41"/>
      <c r="J93" s="30" t="str">
        <f aca="false">IF($B93="","",COUNTIF('Lead Management'!$Q$4:$Q$1003,$B93))</f>
        <v/>
      </c>
      <c r="K93" s="30" t="str">
        <f aca="false">IF($B93="","",COUNTIF(Consultation!$G$4:$G$1003,$B93))</f>
        <v/>
      </c>
      <c r="L93" s="30" t="str">
        <f aca="false">IF($B93="","",COUNTIF(Customers!$K$4:$K$1003,$B93))</f>
        <v/>
      </c>
      <c r="M93" s="34" t="str">
        <f aca="false">IF($B93="","",SUMIF(Customers!$K$4:$K$1003,$B93,Customers!$M$4:$M$1003))</f>
        <v/>
      </c>
      <c r="N93" s="48"/>
      <c r="O93" s="34" t="str">
        <f aca="false">IF($B93="","",$M93*$N93)</f>
        <v/>
      </c>
      <c r="P93" s="35" t="str">
        <f aca="false">IF(OR($B93="",$J93=0),"",$L93/$J93)</f>
        <v/>
      </c>
      <c r="Q93" s="32"/>
    </row>
    <row r="94" customFormat="false" ht="15.75" hidden="false" customHeight="true" outlineLevel="0" collapsed="false">
      <c r="A94" s="27"/>
      <c r="B94" s="28"/>
      <c r="C94" s="28"/>
      <c r="D94" s="27"/>
      <c r="E94" s="28"/>
      <c r="F94" s="28"/>
      <c r="G94" s="29"/>
      <c r="H94" s="27"/>
      <c r="I94" s="41"/>
      <c r="J94" s="30" t="str">
        <f aca="false">IF($B94="","",COUNTIF('Lead Management'!$Q$4:$Q$1003,$B94))</f>
        <v/>
      </c>
      <c r="K94" s="30" t="str">
        <f aca="false">IF($B94="","",COUNTIF(Consultation!$G$4:$G$1003,$B94))</f>
        <v/>
      </c>
      <c r="L94" s="30" t="str">
        <f aca="false">IF($B94="","",COUNTIF(Customers!$K$4:$K$1003,$B94))</f>
        <v/>
      </c>
      <c r="M94" s="34" t="str">
        <f aca="false">IF($B94="","",SUMIF(Customers!$K$4:$K$1003,$B94,Customers!$M$4:$M$1003))</f>
        <v/>
      </c>
      <c r="N94" s="48"/>
      <c r="O94" s="34" t="str">
        <f aca="false">IF($B94="","",$M94*$N94)</f>
        <v/>
      </c>
      <c r="P94" s="35" t="str">
        <f aca="false">IF(OR($B94="",$J94=0),"",$L94/$J94)</f>
        <v/>
      </c>
      <c r="Q94" s="32"/>
    </row>
    <row r="95" customFormat="false" ht="15.75" hidden="false" customHeight="true" outlineLevel="0" collapsed="false">
      <c r="A95" s="27"/>
      <c r="B95" s="28"/>
      <c r="C95" s="28"/>
      <c r="D95" s="27"/>
      <c r="E95" s="28"/>
      <c r="F95" s="28"/>
      <c r="G95" s="29"/>
      <c r="H95" s="27"/>
      <c r="I95" s="41"/>
      <c r="J95" s="30" t="str">
        <f aca="false">IF($B95="","",COUNTIF('Lead Management'!$Q$4:$Q$1003,$B95))</f>
        <v/>
      </c>
      <c r="K95" s="30" t="str">
        <f aca="false">IF($B95="","",COUNTIF(Consultation!$G$4:$G$1003,$B95))</f>
        <v/>
      </c>
      <c r="L95" s="30" t="str">
        <f aca="false">IF($B95="","",COUNTIF(Customers!$K$4:$K$1003,$B95))</f>
        <v/>
      </c>
      <c r="M95" s="34" t="str">
        <f aca="false">IF($B95="","",SUMIF(Customers!$K$4:$K$1003,$B95,Customers!$M$4:$M$1003))</f>
        <v/>
      </c>
      <c r="N95" s="48"/>
      <c r="O95" s="34" t="str">
        <f aca="false">IF($B95="","",$M95*$N95)</f>
        <v/>
      </c>
      <c r="P95" s="35" t="str">
        <f aca="false">IF(OR($B95="",$J95=0),"",$L95/$J95)</f>
        <v/>
      </c>
      <c r="Q95" s="32"/>
    </row>
    <row r="96" customFormat="false" ht="15.75" hidden="false" customHeight="true" outlineLevel="0" collapsed="false">
      <c r="A96" s="27"/>
      <c r="B96" s="28"/>
      <c r="C96" s="28"/>
      <c r="D96" s="27"/>
      <c r="E96" s="28"/>
      <c r="F96" s="28"/>
      <c r="G96" s="29"/>
      <c r="H96" s="27"/>
      <c r="I96" s="41"/>
      <c r="J96" s="30" t="str">
        <f aca="false">IF($B96="","",COUNTIF('Lead Management'!$Q$4:$Q$1003,$B96))</f>
        <v/>
      </c>
      <c r="K96" s="30" t="str">
        <f aca="false">IF($B96="","",COUNTIF(Consultation!$G$4:$G$1003,$B96))</f>
        <v/>
      </c>
      <c r="L96" s="30" t="str">
        <f aca="false">IF($B96="","",COUNTIF(Customers!$K$4:$K$1003,$B96))</f>
        <v/>
      </c>
      <c r="M96" s="34" t="str">
        <f aca="false">IF($B96="","",SUMIF(Customers!$K$4:$K$1003,$B96,Customers!$M$4:$M$1003))</f>
        <v/>
      </c>
      <c r="N96" s="48"/>
      <c r="O96" s="34" t="str">
        <f aca="false">IF($B96="","",$M96*$N96)</f>
        <v/>
      </c>
      <c r="P96" s="35" t="str">
        <f aca="false">IF(OR($B96="",$J96=0),"",$L96/$J96)</f>
        <v/>
      </c>
      <c r="Q96" s="32"/>
    </row>
    <row r="97" customFormat="false" ht="15.75" hidden="false" customHeight="true" outlineLevel="0" collapsed="false">
      <c r="A97" s="27"/>
      <c r="B97" s="28"/>
      <c r="C97" s="28"/>
      <c r="D97" s="27"/>
      <c r="E97" s="28"/>
      <c r="F97" s="28"/>
      <c r="G97" s="29"/>
      <c r="H97" s="27"/>
      <c r="I97" s="41"/>
      <c r="J97" s="30" t="str">
        <f aca="false">IF($B97="","",COUNTIF('Lead Management'!$Q$4:$Q$1003,$B97))</f>
        <v/>
      </c>
      <c r="K97" s="30" t="str">
        <f aca="false">IF($B97="","",COUNTIF(Consultation!$G$4:$G$1003,$B97))</f>
        <v/>
      </c>
      <c r="L97" s="30" t="str">
        <f aca="false">IF($B97="","",COUNTIF(Customers!$K$4:$K$1003,$B97))</f>
        <v/>
      </c>
      <c r="M97" s="34" t="str">
        <f aca="false">IF($B97="","",SUMIF(Customers!$K$4:$K$1003,$B97,Customers!$M$4:$M$1003))</f>
        <v/>
      </c>
      <c r="N97" s="48"/>
      <c r="O97" s="34" t="str">
        <f aca="false">IF($B97="","",$M97*$N97)</f>
        <v/>
      </c>
      <c r="P97" s="35" t="str">
        <f aca="false">IF(OR($B97="",$J97=0),"",$L97/$J97)</f>
        <v/>
      </c>
      <c r="Q97" s="32"/>
    </row>
    <row r="98" customFormat="false" ht="15.75" hidden="false" customHeight="true" outlineLevel="0" collapsed="false">
      <c r="A98" s="27"/>
      <c r="B98" s="28"/>
      <c r="C98" s="28"/>
      <c r="D98" s="27"/>
      <c r="E98" s="28"/>
      <c r="F98" s="28"/>
      <c r="G98" s="29"/>
      <c r="H98" s="27"/>
      <c r="I98" s="41"/>
      <c r="J98" s="30" t="str">
        <f aca="false">IF($B98="","",COUNTIF('Lead Management'!$Q$4:$Q$1003,$B98))</f>
        <v/>
      </c>
      <c r="K98" s="30" t="str">
        <f aca="false">IF($B98="","",COUNTIF(Consultation!$G$4:$G$1003,$B98))</f>
        <v/>
      </c>
      <c r="L98" s="30" t="str">
        <f aca="false">IF($B98="","",COUNTIF(Customers!$K$4:$K$1003,$B98))</f>
        <v/>
      </c>
      <c r="M98" s="34" t="str">
        <f aca="false">IF($B98="","",SUMIF(Customers!$K$4:$K$1003,$B98,Customers!$M$4:$M$1003))</f>
        <v/>
      </c>
      <c r="N98" s="48"/>
      <c r="O98" s="34" t="str">
        <f aca="false">IF($B98="","",$M98*$N98)</f>
        <v/>
      </c>
      <c r="P98" s="35" t="str">
        <f aca="false">IF(OR($B98="",$J98=0),"",$L98/$J98)</f>
        <v/>
      </c>
      <c r="Q98" s="32"/>
    </row>
    <row r="99" customFormat="false" ht="15.75" hidden="false" customHeight="true" outlineLevel="0" collapsed="false">
      <c r="A99" s="27"/>
      <c r="B99" s="28"/>
      <c r="C99" s="28"/>
      <c r="D99" s="27"/>
      <c r="E99" s="28"/>
      <c r="F99" s="28"/>
      <c r="G99" s="29"/>
      <c r="H99" s="27"/>
      <c r="I99" s="41"/>
      <c r="J99" s="30" t="str">
        <f aca="false">IF($B99="","",COUNTIF('Lead Management'!$Q$4:$Q$1003,$B99))</f>
        <v/>
      </c>
      <c r="K99" s="30" t="str">
        <f aca="false">IF($B99="","",COUNTIF(Consultation!$G$4:$G$1003,$B99))</f>
        <v/>
      </c>
      <c r="L99" s="30" t="str">
        <f aca="false">IF($B99="","",COUNTIF(Customers!$K$4:$K$1003,$B99))</f>
        <v/>
      </c>
      <c r="M99" s="34" t="str">
        <f aca="false">IF($B99="","",SUMIF(Customers!$K$4:$K$1003,$B99,Customers!$M$4:$M$1003))</f>
        <v/>
      </c>
      <c r="N99" s="48"/>
      <c r="O99" s="34" t="str">
        <f aca="false">IF($B99="","",$M99*$N99)</f>
        <v/>
      </c>
      <c r="P99" s="35" t="str">
        <f aca="false">IF(OR($B99="",$J99=0),"",$L99/$J99)</f>
        <v/>
      </c>
      <c r="Q99" s="32"/>
    </row>
    <row r="100" customFormat="false" ht="15.75" hidden="false" customHeight="true" outlineLevel="0" collapsed="false">
      <c r="A100" s="27"/>
      <c r="B100" s="28"/>
      <c r="C100" s="28"/>
      <c r="D100" s="27"/>
      <c r="E100" s="28"/>
      <c r="F100" s="28"/>
      <c r="G100" s="29"/>
      <c r="H100" s="27"/>
      <c r="I100" s="41"/>
      <c r="J100" s="30" t="str">
        <f aca="false">IF($B100="","",COUNTIF('Lead Management'!$Q$4:$Q$1003,$B100))</f>
        <v/>
      </c>
      <c r="K100" s="30" t="str">
        <f aca="false">IF($B100="","",COUNTIF(Consultation!$G$4:$G$1003,$B100))</f>
        <v/>
      </c>
      <c r="L100" s="30" t="str">
        <f aca="false">IF($B100="","",COUNTIF(Customers!$K$4:$K$1003,$B100))</f>
        <v/>
      </c>
      <c r="M100" s="34" t="str">
        <f aca="false">IF($B100="","",SUMIF(Customers!$K$4:$K$1003,$B100,Customers!$M$4:$M$1003))</f>
        <v/>
      </c>
      <c r="N100" s="48"/>
      <c r="O100" s="34" t="str">
        <f aca="false">IF($B100="","",$M100*$N100)</f>
        <v/>
      </c>
      <c r="P100" s="35" t="str">
        <f aca="false">IF(OR($B100="",$J100=0),"",$L100/$J100)</f>
        <v/>
      </c>
      <c r="Q100" s="32"/>
    </row>
    <row r="101" customFormat="false" ht="15.75" hidden="false" customHeight="true" outlineLevel="0" collapsed="false">
      <c r="A101" s="27"/>
      <c r="B101" s="28"/>
      <c r="C101" s="28"/>
      <c r="D101" s="27"/>
      <c r="E101" s="28"/>
      <c r="F101" s="28"/>
      <c r="G101" s="29"/>
      <c r="H101" s="27"/>
      <c r="I101" s="41"/>
      <c r="J101" s="30" t="str">
        <f aca="false">IF($B101="","",COUNTIF('Lead Management'!$Q$4:$Q$1003,$B101))</f>
        <v/>
      </c>
      <c r="K101" s="30" t="str">
        <f aca="false">IF($B101="","",COUNTIF(Consultation!$G$4:$G$1003,$B101))</f>
        <v/>
      </c>
      <c r="L101" s="30" t="str">
        <f aca="false">IF($B101="","",COUNTIF(Customers!$K$4:$K$1003,$B101))</f>
        <v/>
      </c>
      <c r="M101" s="34" t="str">
        <f aca="false">IF($B101="","",SUMIF(Customers!$K$4:$K$1003,$B101,Customers!$M$4:$M$1003))</f>
        <v/>
      </c>
      <c r="N101" s="48"/>
      <c r="O101" s="34" t="str">
        <f aca="false">IF($B101="","",$M101*$N101)</f>
        <v/>
      </c>
      <c r="P101" s="35" t="str">
        <f aca="false">IF(OR($B101="",$J101=0),"",$L101/$J101)</f>
        <v/>
      </c>
      <c r="Q101" s="32"/>
    </row>
    <row r="102" customFormat="false" ht="15.75" hidden="false" customHeight="true" outlineLevel="0" collapsed="false">
      <c r="A102" s="27"/>
      <c r="B102" s="28"/>
      <c r="C102" s="28"/>
      <c r="D102" s="27"/>
      <c r="E102" s="28"/>
      <c r="F102" s="28"/>
      <c r="G102" s="29"/>
      <c r="H102" s="27"/>
      <c r="I102" s="41"/>
      <c r="J102" s="30" t="str">
        <f aca="false">IF($B102="","",COUNTIF('Lead Management'!$Q$4:$Q$1003,$B102))</f>
        <v/>
      </c>
      <c r="K102" s="30" t="str">
        <f aca="false">IF($B102="","",COUNTIF(Consultation!$G$4:$G$1003,$B102))</f>
        <v/>
      </c>
      <c r="L102" s="30" t="str">
        <f aca="false">IF($B102="","",COUNTIF(Customers!$K$4:$K$1003,$B102))</f>
        <v/>
      </c>
      <c r="M102" s="34" t="str">
        <f aca="false">IF($B102="","",SUMIF(Customers!$K$4:$K$1003,$B102,Customers!$M$4:$M$1003))</f>
        <v/>
      </c>
      <c r="N102" s="48"/>
      <c r="O102" s="34" t="str">
        <f aca="false">IF($B102="","",$M102*$N102)</f>
        <v/>
      </c>
      <c r="P102" s="35" t="str">
        <f aca="false">IF(OR($B102="",$J102=0),"",$L102/$J102)</f>
        <v/>
      </c>
      <c r="Q102" s="32"/>
    </row>
    <row r="103" customFormat="false" ht="15.75" hidden="false" customHeight="true" outlineLevel="0" collapsed="false">
      <c r="A103" s="27"/>
      <c r="B103" s="28"/>
      <c r="C103" s="28"/>
      <c r="D103" s="27"/>
      <c r="E103" s="28"/>
      <c r="F103" s="28"/>
      <c r="G103" s="29"/>
      <c r="H103" s="27"/>
      <c r="I103" s="41"/>
      <c r="J103" s="30" t="str">
        <f aca="false">IF($B103="","",COUNTIF('Lead Management'!$Q$4:$Q$1003,$B103))</f>
        <v/>
      </c>
      <c r="K103" s="30" t="str">
        <f aca="false">IF($B103="","",COUNTIF(Consultation!$G$4:$G$1003,$B103))</f>
        <v/>
      </c>
      <c r="L103" s="30" t="str">
        <f aca="false">IF($B103="","",COUNTIF(Customers!$K$4:$K$1003,$B103))</f>
        <v/>
      </c>
      <c r="M103" s="34" t="str">
        <f aca="false">IF($B103="","",SUMIF(Customers!$K$4:$K$1003,$B103,Customers!$M$4:$M$1003))</f>
        <v/>
      </c>
      <c r="N103" s="48"/>
      <c r="O103" s="34" t="str">
        <f aca="false">IF($B103="","",$M103*$N103)</f>
        <v/>
      </c>
      <c r="P103" s="35" t="str">
        <f aca="false">IF(OR($B103="",$J103=0),"",$L103/$J103)</f>
        <v/>
      </c>
      <c r="Q103" s="32"/>
    </row>
    <row r="104" customFormat="false" ht="15.75" hidden="false" customHeight="true" outlineLevel="0" collapsed="false">
      <c r="A104" s="27"/>
      <c r="B104" s="28"/>
      <c r="C104" s="28"/>
      <c r="D104" s="27"/>
      <c r="E104" s="28"/>
      <c r="F104" s="28"/>
      <c r="G104" s="29"/>
      <c r="H104" s="27"/>
      <c r="I104" s="41"/>
      <c r="J104" s="30" t="str">
        <f aca="false">IF($B104="","",COUNTIF('Lead Management'!$Q$4:$Q$1003,$B104))</f>
        <v/>
      </c>
      <c r="K104" s="30" t="str">
        <f aca="false">IF($B104="","",COUNTIF(Consultation!$G$4:$G$1003,$B104))</f>
        <v/>
      </c>
      <c r="L104" s="30" t="str">
        <f aca="false">IF($B104="","",COUNTIF(Customers!$K$4:$K$1003,$B104))</f>
        <v/>
      </c>
      <c r="M104" s="34" t="str">
        <f aca="false">IF($B104="","",SUMIF(Customers!$K$4:$K$1003,$B104,Customers!$M$4:$M$1003))</f>
        <v/>
      </c>
      <c r="N104" s="48"/>
      <c r="O104" s="34" t="str">
        <f aca="false">IF($B104="","",$M104*$N104)</f>
        <v/>
      </c>
      <c r="P104" s="35" t="str">
        <f aca="false">IF(OR($B104="",$J104=0),"",$L104/$J104)</f>
        <v/>
      </c>
      <c r="Q104" s="32"/>
    </row>
    <row r="105" customFormat="false" ht="15.75" hidden="false" customHeight="true" outlineLevel="0" collapsed="false">
      <c r="A105" s="27"/>
      <c r="B105" s="28"/>
      <c r="C105" s="28"/>
      <c r="D105" s="27"/>
      <c r="E105" s="28"/>
      <c r="F105" s="28"/>
      <c r="G105" s="29"/>
      <c r="H105" s="27"/>
      <c r="I105" s="41"/>
      <c r="J105" s="30" t="str">
        <f aca="false">IF($B105="","",COUNTIF('Lead Management'!$Q$4:$Q$1003,$B105))</f>
        <v/>
      </c>
      <c r="K105" s="30" t="str">
        <f aca="false">IF($B105="","",COUNTIF(Consultation!$G$4:$G$1003,$B105))</f>
        <v/>
      </c>
      <c r="L105" s="30" t="str">
        <f aca="false">IF($B105="","",COUNTIF(Customers!$K$4:$K$1003,$B105))</f>
        <v/>
      </c>
      <c r="M105" s="34" t="str">
        <f aca="false">IF($B105="","",SUMIF(Customers!$K$4:$K$1003,$B105,Customers!$M$4:$M$1003))</f>
        <v/>
      </c>
      <c r="N105" s="48"/>
      <c r="O105" s="34" t="str">
        <f aca="false">IF($B105="","",$M105*$N105)</f>
        <v/>
      </c>
      <c r="P105" s="35" t="str">
        <f aca="false">IF(OR($B105="",$J105=0),"",$L105/$J105)</f>
        <v/>
      </c>
      <c r="Q105" s="32"/>
    </row>
    <row r="106" customFormat="false" ht="15.75" hidden="false" customHeight="true" outlineLevel="0" collapsed="false">
      <c r="A106" s="27"/>
      <c r="B106" s="28"/>
      <c r="C106" s="28"/>
      <c r="D106" s="27"/>
      <c r="E106" s="28"/>
      <c r="F106" s="28"/>
      <c r="G106" s="29"/>
      <c r="H106" s="27"/>
      <c r="I106" s="41"/>
      <c r="J106" s="30" t="str">
        <f aca="false">IF($B106="","",COUNTIF('Lead Management'!$Q$4:$Q$1003,$B106))</f>
        <v/>
      </c>
      <c r="K106" s="30" t="str">
        <f aca="false">IF($B106="","",COUNTIF(Consultation!$G$4:$G$1003,$B106))</f>
        <v/>
      </c>
      <c r="L106" s="30" t="str">
        <f aca="false">IF($B106="","",COUNTIF(Customers!$K$4:$K$1003,$B106))</f>
        <v/>
      </c>
      <c r="M106" s="34" t="str">
        <f aca="false">IF($B106="","",SUMIF(Customers!$K$4:$K$1003,$B106,Customers!$M$4:$M$1003))</f>
        <v/>
      </c>
      <c r="N106" s="48"/>
      <c r="O106" s="34" t="str">
        <f aca="false">IF($B106="","",$M106*$N106)</f>
        <v/>
      </c>
      <c r="P106" s="35" t="str">
        <f aca="false">IF(OR($B106="",$J106=0),"",$L106/$J106)</f>
        <v/>
      </c>
      <c r="Q106" s="32"/>
    </row>
    <row r="107" customFormat="false" ht="15.75" hidden="false" customHeight="true" outlineLevel="0" collapsed="false">
      <c r="A107" s="27"/>
      <c r="B107" s="28"/>
      <c r="C107" s="28"/>
      <c r="D107" s="27"/>
      <c r="E107" s="28"/>
      <c r="F107" s="28"/>
      <c r="G107" s="29"/>
      <c r="H107" s="27"/>
      <c r="I107" s="41"/>
      <c r="J107" s="30" t="str">
        <f aca="false">IF($B107="","",COUNTIF('Lead Management'!$Q$4:$Q$1003,$B107))</f>
        <v/>
      </c>
      <c r="K107" s="30" t="str">
        <f aca="false">IF($B107="","",COUNTIF(Consultation!$G$4:$G$1003,$B107))</f>
        <v/>
      </c>
      <c r="L107" s="30" t="str">
        <f aca="false">IF($B107="","",COUNTIF(Customers!$K$4:$K$1003,$B107))</f>
        <v/>
      </c>
      <c r="M107" s="34" t="str">
        <f aca="false">IF($B107="","",SUMIF(Customers!$K$4:$K$1003,$B107,Customers!$M$4:$M$1003))</f>
        <v/>
      </c>
      <c r="N107" s="48"/>
      <c r="O107" s="34" t="str">
        <f aca="false">IF($B107="","",$M107*$N107)</f>
        <v/>
      </c>
      <c r="P107" s="35" t="str">
        <f aca="false">IF(OR($B107="",$J107=0),"",$L107/$J107)</f>
        <v/>
      </c>
      <c r="Q107" s="32"/>
    </row>
    <row r="108" customFormat="false" ht="15.75" hidden="false" customHeight="true" outlineLevel="0" collapsed="false">
      <c r="A108" s="27"/>
      <c r="B108" s="28"/>
      <c r="C108" s="28"/>
      <c r="D108" s="27"/>
      <c r="E108" s="28"/>
      <c r="F108" s="28"/>
      <c r="G108" s="29"/>
      <c r="H108" s="27"/>
      <c r="I108" s="41"/>
      <c r="J108" s="30" t="str">
        <f aca="false">IF($B108="","",COUNTIF('Lead Management'!$Q$4:$Q$1003,$B108))</f>
        <v/>
      </c>
      <c r="K108" s="30" t="str">
        <f aca="false">IF($B108="","",COUNTIF(Consultation!$G$4:$G$1003,$B108))</f>
        <v/>
      </c>
      <c r="L108" s="30" t="str">
        <f aca="false">IF($B108="","",COUNTIF(Customers!$K$4:$K$1003,$B108))</f>
        <v/>
      </c>
      <c r="M108" s="34" t="str">
        <f aca="false">IF($B108="","",SUMIF(Customers!$K$4:$K$1003,$B108,Customers!$M$4:$M$1003))</f>
        <v/>
      </c>
      <c r="N108" s="48"/>
      <c r="O108" s="34" t="str">
        <f aca="false">IF($B108="","",$M108*$N108)</f>
        <v/>
      </c>
      <c r="P108" s="35" t="str">
        <f aca="false">IF(OR($B108="",$J108=0),"",$L108/$J108)</f>
        <v/>
      </c>
      <c r="Q108" s="32"/>
    </row>
    <row r="109" customFormat="false" ht="15.75" hidden="false" customHeight="true" outlineLevel="0" collapsed="false">
      <c r="A109" s="27"/>
      <c r="B109" s="28"/>
      <c r="C109" s="28"/>
      <c r="D109" s="27"/>
      <c r="E109" s="28"/>
      <c r="F109" s="28"/>
      <c r="G109" s="29"/>
      <c r="H109" s="27"/>
      <c r="I109" s="41"/>
      <c r="J109" s="30" t="str">
        <f aca="false">IF($B109="","",COUNTIF('Lead Management'!$Q$4:$Q$1003,$B109))</f>
        <v/>
      </c>
      <c r="K109" s="30" t="str">
        <f aca="false">IF($B109="","",COUNTIF(Consultation!$G$4:$G$1003,$B109))</f>
        <v/>
      </c>
      <c r="L109" s="30" t="str">
        <f aca="false">IF($B109="","",COUNTIF(Customers!$K$4:$K$1003,$B109))</f>
        <v/>
      </c>
      <c r="M109" s="34" t="str">
        <f aca="false">IF($B109="","",SUMIF(Customers!$K$4:$K$1003,$B109,Customers!$M$4:$M$1003))</f>
        <v/>
      </c>
      <c r="N109" s="48"/>
      <c r="O109" s="34" t="str">
        <f aca="false">IF($B109="","",$M109*$N109)</f>
        <v/>
      </c>
      <c r="P109" s="35" t="str">
        <f aca="false">IF(OR($B109="",$J109=0),"",$L109/$J109)</f>
        <v/>
      </c>
      <c r="Q109" s="32"/>
    </row>
    <row r="110" customFormat="false" ht="15.75" hidden="false" customHeight="true" outlineLevel="0" collapsed="false">
      <c r="A110" s="27"/>
      <c r="B110" s="28"/>
      <c r="C110" s="28"/>
      <c r="D110" s="27"/>
      <c r="E110" s="28"/>
      <c r="F110" s="28"/>
      <c r="G110" s="29"/>
      <c r="H110" s="27"/>
      <c r="I110" s="41"/>
      <c r="J110" s="30" t="str">
        <f aca="false">IF($B110="","",COUNTIF('Lead Management'!$Q$4:$Q$1003,$B110))</f>
        <v/>
      </c>
      <c r="K110" s="30" t="str">
        <f aca="false">IF($B110="","",COUNTIF(Consultation!$G$4:$G$1003,$B110))</f>
        <v/>
      </c>
      <c r="L110" s="30" t="str">
        <f aca="false">IF($B110="","",COUNTIF(Customers!$K$4:$K$1003,$B110))</f>
        <v/>
      </c>
      <c r="M110" s="34" t="str">
        <f aca="false">IF($B110="","",SUMIF(Customers!$K$4:$K$1003,$B110,Customers!$M$4:$M$1003))</f>
        <v/>
      </c>
      <c r="N110" s="48"/>
      <c r="O110" s="34" t="str">
        <f aca="false">IF($B110="","",$M110*$N110)</f>
        <v/>
      </c>
      <c r="P110" s="35" t="str">
        <f aca="false">IF(OR($B110="",$J110=0),"",$L110/$J110)</f>
        <v/>
      </c>
      <c r="Q110" s="32"/>
    </row>
    <row r="111" customFormat="false" ht="15.75" hidden="false" customHeight="true" outlineLevel="0" collapsed="false">
      <c r="A111" s="27"/>
      <c r="B111" s="28"/>
      <c r="C111" s="28"/>
      <c r="D111" s="27"/>
      <c r="E111" s="28"/>
      <c r="F111" s="28"/>
      <c r="G111" s="29"/>
      <c r="H111" s="27"/>
      <c r="I111" s="41"/>
      <c r="J111" s="30" t="str">
        <f aca="false">IF($B111="","",COUNTIF('Lead Management'!$Q$4:$Q$1003,$B111))</f>
        <v/>
      </c>
      <c r="K111" s="30" t="str">
        <f aca="false">IF($B111="","",COUNTIF(Consultation!$G$4:$G$1003,$B111))</f>
        <v/>
      </c>
      <c r="L111" s="30" t="str">
        <f aca="false">IF($B111="","",COUNTIF(Customers!$K$4:$K$1003,$B111))</f>
        <v/>
      </c>
      <c r="M111" s="34" t="str">
        <f aca="false">IF($B111="","",SUMIF(Customers!$K$4:$K$1003,$B111,Customers!$M$4:$M$1003))</f>
        <v/>
      </c>
      <c r="N111" s="48"/>
      <c r="O111" s="34" t="str">
        <f aca="false">IF($B111="","",$M111*$N111)</f>
        <v/>
      </c>
      <c r="P111" s="35" t="str">
        <f aca="false">IF(OR($B111="",$J111=0),"",$L111/$J111)</f>
        <v/>
      </c>
      <c r="Q111" s="32"/>
    </row>
    <row r="112" customFormat="false" ht="15.75" hidden="false" customHeight="true" outlineLevel="0" collapsed="false">
      <c r="A112" s="27"/>
      <c r="B112" s="28"/>
      <c r="C112" s="28"/>
      <c r="D112" s="27"/>
      <c r="E112" s="28"/>
      <c r="F112" s="28"/>
      <c r="G112" s="29"/>
      <c r="H112" s="27"/>
      <c r="I112" s="41"/>
      <c r="J112" s="30" t="str">
        <f aca="false">IF($B112="","",COUNTIF('Lead Management'!$Q$4:$Q$1003,$B112))</f>
        <v/>
      </c>
      <c r="K112" s="30" t="str">
        <f aca="false">IF($B112="","",COUNTIF(Consultation!$G$4:$G$1003,$B112))</f>
        <v/>
      </c>
      <c r="L112" s="30" t="str">
        <f aca="false">IF($B112="","",COUNTIF(Customers!$K$4:$K$1003,$B112))</f>
        <v/>
      </c>
      <c r="M112" s="34" t="str">
        <f aca="false">IF($B112="","",SUMIF(Customers!$K$4:$K$1003,$B112,Customers!$M$4:$M$1003))</f>
        <v/>
      </c>
      <c r="N112" s="48"/>
      <c r="O112" s="34" t="str">
        <f aca="false">IF($B112="","",$M112*$N112)</f>
        <v/>
      </c>
      <c r="P112" s="35" t="str">
        <f aca="false">IF(OR($B112="",$J112=0),"",$L112/$J112)</f>
        <v/>
      </c>
      <c r="Q112" s="32"/>
    </row>
    <row r="113" customFormat="false" ht="15.75" hidden="false" customHeight="true" outlineLevel="0" collapsed="false">
      <c r="A113" s="27"/>
      <c r="B113" s="28"/>
      <c r="C113" s="28"/>
      <c r="D113" s="27"/>
      <c r="E113" s="28"/>
      <c r="F113" s="28"/>
      <c r="G113" s="29"/>
      <c r="H113" s="27"/>
      <c r="I113" s="41"/>
      <c r="J113" s="30" t="str">
        <f aca="false">IF($B113="","",COUNTIF('Lead Management'!$Q$4:$Q$1003,$B113))</f>
        <v/>
      </c>
      <c r="K113" s="30" t="str">
        <f aca="false">IF($B113="","",COUNTIF(Consultation!$G$4:$G$1003,$B113))</f>
        <v/>
      </c>
      <c r="L113" s="30" t="str">
        <f aca="false">IF($B113="","",COUNTIF(Customers!$K$4:$K$1003,$B113))</f>
        <v/>
      </c>
      <c r="M113" s="34" t="str">
        <f aca="false">IF($B113="","",SUMIF(Customers!$K$4:$K$1003,$B113,Customers!$M$4:$M$1003))</f>
        <v/>
      </c>
      <c r="N113" s="48"/>
      <c r="O113" s="34" t="str">
        <f aca="false">IF($B113="","",$M113*$N113)</f>
        <v/>
      </c>
      <c r="P113" s="35" t="str">
        <f aca="false">IF(OR($B113="",$J113=0),"",$L113/$J113)</f>
        <v/>
      </c>
      <c r="Q113" s="32"/>
    </row>
    <row r="114" customFormat="false" ht="15.75" hidden="false" customHeight="true" outlineLevel="0" collapsed="false">
      <c r="A114" s="27"/>
      <c r="B114" s="28"/>
      <c r="C114" s="28"/>
      <c r="D114" s="27"/>
      <c r="E114" s="28"/>
      <c r="F114" s="28"/>
      <c r="G114" s="29"/>
      <c r="H114" s="27"/>
      <c r="I114" s="41"/>
      <c r="J114" s="30" t="str">
        <f aca="false">IF($B114="","",COUNTIF('Lead Management'!$Q$4:$Q$1003,$B114))</f>
        <v/>
      </c>
      <c r="K114" s="30" t="str">
        <f aca="false">IF($B114="","",COUNTIF(Consultation!$G$4:$G$1003,$B114))</f>
        <v/>
      </c>
      <c r="L114" s="30" t="str">
        <f aca="false">IF($B114="","",COUNTIF(Customers!$K$4:$K$1003,$B114))</f>
        <v/>
      </c>
      <c r="M114" s="34" t="str">
        <f aca="false">IF($B114="","",SUMIF(Customers!$K$4:$K$1003,$B114,Customers!$M$4:$M$1003))</f>
        <v/>
      </c>
      <c r="N114" s="48"/>
      <c r="O114" s="34" t="str">
        <f aca="false">IF($B114="","",$M114*$N114)</f>
        <v/>
      </c>
      <c r="P114" s="35" t="str">
        <f aca="false">IF(OR($B114="",$J114=0),"",$L114/$J114)</f>
        <v/>
      </c>
      <c r="Q114" s="32"/>
    </row>
    <row r="115" customFormat="false" ht="15.75" hidden="false" customHeight="true" outlineLevel="0" collapsed="false">
      <c r="A115" s="27"/>
      <c r="B115" s="28"/>
      <c r="C115" s="28"/>
      <c r="D115" s="27"/>
      <c r="E115" s="28"/>
      <c r="F115" s="28"/>
      <c r="G115" s="29"/>
      <c r="H115" s="27"/>
      <c r="I115" s="41"/>
      <c r="J115" s="30" t="str">
        <f aca="false">IF($B115="","",COUNTIF('Lead Management'!$Q$4:$Q$1003,$B115))</f>
        <v/>
      </c>
      <c r="K115" s="30" t="str">
        <f aca="false">IF($B115="","",COUNTIF(Consultation!$G$4:$G$1003,$B115))</f>
        <v/>
      </c>
      <c r="L115" s="30" t="str">
        <f aca="false">IF($B115="","",COUNTIF(Customers!$K$4:$K$1003,$B115))</f>
        <v/>
      </c>
      <c r="M115" s="34" t="str">
        <f aca="false">IF($B115="","",SUMIF(Customers!$K$4:$K$1003,$B115,Customers!$M$4:$M$1003))</f>
        <v/>
      </c>
      <c r="N115" s="48"/>
      <c r="O115" s="34" t="str">
        <f aca="false">IF($B115="","",$M115*$N115)</f>
        <v/>
      </c>
      <c r="P115" s="35" t="str">
        <f aca="false">IF(OR($B115="",$J115=0),"",$L115/$J115)</f>
        <v/>
      </c>
      <c r="Q115" s="32"/>
    </row>
    <row r="116" customFormat="false" ht="15.75" hidden="false" customHeight="true" outlineLevel="0" collapsed="false">
      <c r="A116" s="27"/>
      <c r="B116" s="28"/>
      <c r="C116" s="28"/>
      <c r="D116" s="27"/>
      <c r="E116" s="28"/>
      <c r="F116" s="28"/>
      <c r="G116" s="29"/>
      <c r="H116" s="27"/>
      <c r="I116" s="41"/>
      <c r="J116" s="30" t="str">
        <f aca="false">IF($B116="","",COUNTIF('Lead Management'!$Q$4:$Q$1003,$B116))</f>
        <v/>
      </c>
      <c r="K116" s="30" t="str">
        <f aca="false">IF($B116="","",COUNTIF(Consultation!$G$4:$G$1003,$B116))</f>
        <v/>
      </c>
      <c r="L116" s="30" t="str">
        <f aca="false">IF($B116="","",COUNTIF(Customers!$K$4:$K$1003,$B116))</f>
        <v/>
      </c>
      <c r="M116" s="34" t="str">
        <f aca="false">IF($B116="","",SUMIF(Customers!$K$4:$K$1003,$B116,Customers!$M$4:$M$1003))</f>
        <v/>
      </c>
      <c r="N116" s="48"/>
      <c r="O116" s="34" t="str">
        <f aca="false">IF($B116="","",$M116*$N116)</f>
        <v/>
      </c>
      <c r="P116" s="35" t="str">
        <f aca="false">IF(OR($B116="",$J116=0),"",$L116/$J116)</f>
        <v/>
      </c>
      <c r="Q116" s="32"/>
    </row>
    <row r="117" customFormat="false" ht="15.75" hidden="false" customHeight="true" outlineLevel="0" collapsed="false">
      <c r="A117" s="27"/>
      <c r="B117" s="28"/>
      <c r="C117" s="28"/>
      <c r="D117" s="27"/>
      <c r="E117" s="28"/>
      <c r="F117" s="28"/>
      <c r="G117" s="29"/>
      <c r="H117" s="27"/>
      <c r="I117" s="41"/>
      <c r="J117" s="30" t="str">
        <f aca="false">IF($B117="","",COUNTIF('Lead Management'!$Q$4:$Q$1003,$B117))</f>
        <v/>
      </c>
      <c r="K117" s="30" t="str">
        <f aca="false">IF($B117="","",COUNTIF(Consultation!$G$4:$G$1003,$B117))</f>
        <v/>
      </c>
      <c r="L117" s="30" t="str">
        <f aca="false">IF($B117="","",COUNTIF(Customers!$K$4:$K$1003,$B117))</f>
        <v/>
      </c>
      <c r="M117" s="34" t="str">
        <f aca="false">IF($B117="","",SUMIF(Customers!$K$4:$K$1003,$B117,Customers!$M$4:$M$1003))</f>
        <v/>
      </c>
      <c r="N117" s="48"/>
      <c r="O117" s="34" t="str">
        <f aca="false">IF($B117="","",$M117*$N117)</f>
        <v/>
      </c>
      <c r="P117" s="35" t="str">
        <f aca="false">IF(OR($B117="",$J117=0),"",$L117/$J117)</f>
        <v/>
      </c>
      <c r="Q117" s="32"/>
    </row>
    <row r="118" customFormat="false" ht="15.75" hidden="false" customHeight="true" outlineLevel="0" collapsed="false">
      <c r="A118" s="27"/>
      <c r="B118" s="28"/>
      <c r="C118" s="28"/>
      <c r="D118" s="27"/>
      <c r="E118" s="28"/>
      <c r="F118" s="28"/>
      <c r="G118" s="29"/>
      <c r="H118" s="27"/>
      <c r="I118" s="41"/>
      <c r="J118" s="30" t="str">
        <f aca="false">IF($B118="","",COUNTIF('Lead Management'!$Q$4:$Q$1003,$B118))</f>
        <v/>
      </c>
      <c r="K118" s="30" t="str">
        <f aca="false">IF($B118="","",COUNTIF(Consultation!$G$4:$G$1003,$B118))</f>
        <v/>
      </c>
      <c r="L118" s="30" t="str">
        <f aca="false">IF($B118="","",COUNTIF(Customers!$K$4:$K$1003,$B118))</f>
        <v/>
      </c>
      <c r="M118" s="34" t="str">
        <f aca="false">IF($B118="","",SUMIF(Customers!$K$4:$K$1003,$B118,Customers!$M$4:$M$1003))</f>
        <v/>
      </c>
      <c r="N118" s="48"/>
      <c r="O118" s="34" t="str">
        <f aca="false">IF($B118="","",$M118*$N118)</f>
        <v/>
      </c>
      <c r="P118" s="35" t="str">
        <f aca="false">IF(OR($B118="",$J118=0),"",$L118/$J118)</f>
        <v/>
      </c>
      <c r="Q118" s="32"/>
    </row>
    <row r="119" customFormat="false" ht="15.75" hidden="false" customHeight="true" outlineLevel="0" collapsed="false">
      <c r="A119" s="27"/>
      <c r="B119" s="28"/>
      <c r="C119" s="28"/>
      <c r="D119" s="27"/>
      <c r="E119" s="28"/>
      <c r="F119" s="28"/>
      <c r="G119" s="29"/>
      <c r="H119" s="27"/>
      <c r="I119" s="41"/>
      <c r="J119" s="30" t="str">
        <f aca="false">IF($B119="","",COUNTIF('Lead Management'!$Q$4:$Q$1003,$B119))</f>
        <v/>
      </c>
      <c r="K119" s="30" t="str">
        <f aca="false">IF($B119="","",COUNTIF(Consultation!$G$4:$G$1003,$B119))</f>
        <v/>
      </c>
      <c r="L119" s="30" t="str">
        <f aca="false">IF($B119="","",COUNTIF(Customers!$K$4:$K$1003,$B119))</f>
        <v/>
      </c>
      <c r="M119" s="34" t="str">
        <f aca="false">IF($B119="","",SUMIF(Customers!$K$4:$K$1003,$B119,Customers!$M$4:$M$1003))</f>
        <v/>
      </c>
      <c r="N119" s="48"/>
      <c r="O119" s="34" t="str">
        <f aca="false">IF($B119="","",$M119*$N119)</f>
        <v/>
      </c>
      <c r="P119" s="35" t="str">
        <f aca="false">IF(OR($B119="",$J119=0),"",$L119/$J119)</f>
        <v/>
      </c>
      <c r="Q119" s="32"/>
    </row>
    <row r="120" customFormat="false" ht="15.75" hidden="false" customHeight="true" outlineLevel="0" collapsed="false">
      <c r="A120" s="27"/>
      <c r="B120" s="28"/>
      <c r="C120" s="28"/>
      <c r="D120" s="27"/>
      <c r="E120" s="28"/>
      <c r="F120" s="28"/>
      <c r="G120" s="29"/>
      <c r="H120" s="27"/>
      <c r="I120" s="41"/>
      <c r="J120" s="30" t="str">
        <f aca="false">IF($B120="","",COUNTIF('Lead Management'!$Q$4:$Q$1003,$B120))</f>
        <v/>
      </c>
      <c r="K120" s="30" t="str">
        <f aca="false">IF($B120="","",COUNTIF(Consultation!$G$4:$G$1003,$B120))</f>
        <v/>
      </c>
      <c r="L120" s="30" t="str">
        <f aca="false">IF($B120="","",COUNTIF(Customers!$K$4:$K$1003,$B120))</f>
        <v/>
      </c>
      <c r="M120" s="34" t="str">
        <f aca="false">IF($B120="","",SUMIF(Customers!$K$4:$K$1003,$B120,Customers!$M$4:$M$1003))</f>
        <v/>
      </c>
      <c r="N120" s="48"/>
      <c r="O120" s="34" t="str">
        <f aca="false">IF($B120="","",$M120*$N120)</f>
        <v/>
      </c>
      <c r="P120" s="35" t="str">
        <f aca="false">IF(OR($B120="",$J120=0),"",$L120/$J120)</f>
        <v/>
      </c>
      <c r="Q120" s="32"/>
    </row>
    <row r="121" customFormat="false" ht="15.75" hidden="false" customHeight="true" outlineLevel="0" collapsed="false">
      <c r="A121" s="27"/>
      <c r="B121" s="28"/>
      <c r="C121" s="28"/>
      <c r="D121" s="27"/>
      <c r="E121" s="28"/>
      <c r="F121" s="28"/>
      <c r="G121" s="29"/>
      <c r="H121" s="27"/>
      <c r="I121" s="41"/>
      <c r="J121" s="30" t="str">
        <f aca="false">IF($B121="","",COUNTIF('Lead Management'!$Q$4:$Q$1003,$B121))</f>
        <v/>
      </c>
      <c r="K121" s="30" t="str">
        <f aca="false">IF($B121="","",COUNTIF(Consultation!$G$4:$G$1003,$B121))</f>
        <v/>
      </c>
      <c r="L121" s="30" t="str">
        <f aca="false">IF($B121="","",COUNTIF(Customers!$K$4:$K$1003,$B121))</f>
        <v/>
      </c>
      <c r="M121" s="34" t="str">
        <f aca="false">IF($B121="","",SUMIF(Customers!$K$4:$K$1003,$B121,Customers!$M$4:$M$1003))</f>
        <v/>
      </c>
      <c r="N121" s="48"/>
      <c r="O121" s="34" t="str">
        <f aca="false">IF($B121="","",$M121*$N121)</f>
        <v/>
      </c>
      <c r="P121" s="35" t="str">
        <f aca="false">IF(OR($B121="",$J121=0),"",$L121/$J121)</f>
        <v/>
      </c>
      <c r="Q121" s="32"/>
    </row>
    <row r="122" customFormat="false" ht="15.75" hidden="false" customHeight="true" outlineLevel="0" collapsed="false">
      <c r="A122" s="27"/>
      <c r="B122" s="28"/>
      <c r="C122" s="28"/>
      <c r="D122" s="27"/>
      <c r="E122" s="28"/>
      <c r="F122" s="28"/>
      <c r="G122" s="29"/>
      <c r="H122" s="27"/>
      <c r="I122" s="41"/>
      <c r="J122" s="30" t="str">
        <f aca="false">IF($B122="","",COUNTIF('Lead Management'!$Q$4:$Q$1003,$B122))</f>
        <v/>
      </c>
      <c r="K122" s="30" t="str">
        <f aca="false">IF($B122="","",COUNTIF(Consultation!$G$4:$G$1003,$B122))</f>
        <v/>
      </c>
      <c r="L122" s="30" t="str">
        <f aca="false">IF($B122="","",COUNTIF(Customers!$K$4:$K$1003,$B122))</f>
        <v/>
      </c>
      <c r="M122" s="34" t="str">
        <f aca="false">IF($B122="","",SUMIF(Customers!$K$4:$K$1003,$B122,Customers!$M$4:$M$1003))</f>
        <v/>
      </c>
      <c r="N122" s="48"/>
      <c r="O122" s="34" t="str">
        <f aca="false">IF($B122="","",$M122*$N122)</f>
        <v/>
      </c>
      <c r="P122" s="35" t="str">
        <f aca="false">IF(OR($B122="",$J122=0),"",$L122/$J122)</f>
        <v/>
      </c>
      <c r="Q122" s="32"/>
    </row>
    <row r="123" customFormat="false" ht="15.75" hidden="false" customHeight="true" outlineLevel="0" collapsed="false">
      <c r="A123" s="27"/>
      <c r="B123" s="28"/>
      <c r="C123" s="28"/>
      <c r="D123" s="27"/>
      <c r="E123" s="28"/>
      <c r="F123" s="28"/>
      <c r="G123" s="29"/>
      <c r="H123" s="27"/>
      <c r="I123" s="41"/>
      <c r="J123" s="30" t="str">
        <f aca="false">IF($B123="","",COUNTIF('Lead Management'!$Q$4:$Q$1003,$B123))</f>
        <v/>
      </c>
      <c r="K123" s="30" t="str">
        <f aca="false">IF($B123="","",COUNTIF(Consultation!$G$4:$G$1003,$B123))</f>
        <v/>
      </c>
      <c r="L123" s="30" t="str">
        <f aca="false">IF($B123="","",COUNTIF(Customers!$K$4:$K$1003,$B123))</f>
        <v/>
      </c>
      <c r="M123" s="34" t="str">
        <f aca="false">IF($B123="","",SUMIF(Customers!$K$4:$K$1003,$B123,Customers!$M$4:$M$1003))</f>
        <v/>
      </c>
      <c r="N123" s="48"/>
      <c r="O123" s="34" t="str">
        <f aca="false">IF($B123="","",$M123*$N123)</f>
        <v/>
      </c>
      <c r="P123" s="35" t="str">
        <f aca="false">IF(OR($B123="",$J123=0),"",$L123/$J123)</f>
        <v/>
      </c>
      <c r="Q123" s="32"/>
    </row>
    <row r="124" customFormat="false" ht="15.75" hidden="false" customHeight="true" outlineLevel="0" collapsed="false">
      <c r="A124" s="27"/>
      <c r="B124" s="28"/>
      <c r="C124" s="28"/>
      <c r="D124" s="27"/>
      <c r="E124" s="28"/>
      <c r="F124" s="28"/>
      <c r="G124" s="29"/>
      <c r="H124" s="27"/>
      <c r="I124" s="41"/>
      <c r="J124" s="30" t="str">
        <f aca="false">IF($B124="","",COUNTIF('Lead Management'!$Q$4:$Q$1003,$B124))</f>
        <v/>
      </c>
      <c r="K124" s="30" t="str">
        <f aca="false">IF($B124="","",COUNTIF(Consultation!$G$4:$G$1003,$B124))</f>
        <v/>
      </c>
      <c r="L124" s="30" t="str">
        <f aca="false">IF($B124="","",COUNTIF(Customers!$K$4:$K$1003,$B124))</f>
        <v/>
      </c>
      <c r="M124" s="34" t="str">
        <f aca="false">IF($B124="","",SUMIF(Customers!$K$4:$K$1003,$B124,Customers!$M$4:$M$1003))</f>
        <v/>
      </c>
      <c r="N124" s="48"/>
      <c r="O124" s="34" t="str">
        <f aca="false">IF($B124="","",$M124*$N124)</f>
        <v/>
      </c>
      <c r="P124" s="35" t="str">
        <f aca="false">IF(OR($B124="",$J124=0),"",$L124/$J124)</f>
        <v/>
      </c>
      <c r="Q124" s="32"/>
    </row>
    <row r="125" customFormat="false" ht="15.75" hidden="false" customHeight="true" outlineLevel="0" collapsed="false">
      <c r="A125" s="27"/>
      <c r="B125" s="28"/>
      <c r="C125" s="28"/>
      <c r="D125" s="27"/>
      <c r="E125" s="28"/>
      <c r="F125" s="28"/>
      <c r="G125" s="29"/>
      <c r="H125" s="27"/>
      <c r="I125" s="41"/>
      <c r="J125" s="30" t="str">
        <f aca="false">IF($B125="","",COUNTIF('Lead Management'!$Q$4:$Q$1003,$B125))</f>
        <v/>
      </c>
      <c r="K125" s="30" t="str">
        <f aca="false">IF($B125="","",COUNTIF(Consultation!$G$4:$G$1003,$B125))</f>
        <v/>
      </c>
      <c r="L125" s="30" t="str">
        <f aca="false">IF($B125="","",COUNTIF(Customers!$K$4:$K$1003,$B125))</f>
        <v/>
      </c>
      <c r="M125" s="34" t="str">
        <f aca="false">IF($B125="","",SUMIF(Customers!$K$4:$K$1003,$B125,Customers!$M$4:$M$1003))</f>
        <v/>
      </c>
      <c r="N125" s="48"/>
      <c r="O125" s="34" t="str">
        <f aca="false">IF($B125="","",$M125*$N125)</f>
        <v/>
      </c>
      <c r="P125" s="35" t="str">
        <f aca="false">IF(OR($B125="",$J125=0),"",$L125/$J125)</f>
        <v/>
      </c>
      <c r="Q125" s="32"/>
    </row>
    <row r="126" customFormat="false" ht="15.75" hidden="false" customHeight="true" outlineLevel="0" collapsed="false">
      <c r="A126" s="27"/>
      <c r="B126" s="28"/>
      <c r="C126" s="28"/>
      <c r="D126" s="27"/>
      <c r="E126" s="28"/>
      <c r="F126" s="28"/>
      <c r="G126" s="29"/>
      <c r="H126" s="27"/>
      <c r="I126" s="41"/>
      <c r="J126" s="30" t="str">
        <f aca="false">IF($B126="","",COUNTIF('Lead Management'!$Q$4:$Q$1003,$B126))</f>
        <v/>
      </c>
      <c r="K126" s="30" t="str">
        <f aca="false">IF($B126="","",COUNTIF(Consultation!$G$4:$G$1003,$B126))</f>
        <v/>
      </c>
      <c r="L126" s="30" t="str">
        <f aca="false">IF($B126="","",COUNTIF(Customers!$K$4:$K$1003,$B126))</f>
        <v/>
      </c>
      <c r="M126" s="34" t="str">
        <f aca="false">IF($B126="","",SUMIF(Customers!$K$4:$K$1003,$B126,Customers!$M$4:$M$1003))</f>
        <v/>
      </c>
      <c r="N126" s="48"/>
      <c r="O126" s="34" t="str">
        <f aca="false">IF($B126="","",$M126*$N126)</f>
        <v/>
      </c>
      <c r="P126" s="35" t="str">
        <f aca="false">IF(OR($B126="",$J126=0),"",$L126/$J126)</f>
        <v/>
      </c>
      <c r="Q126" s="32"/>
    </row>
    <row r="127" customFormat="false" ht="15.75" hidden="false" customHeight="true" outlineLevel="0" collapsed="false">
      <c r="A127" s="27"/>
      <c r="B127" s="28"/>
      <c r="C127" s="28"/>
      <c r="D127" s="27"/>
      <c r="E127" s="28"/>
      <c r="F127" s="28"/>
      <c r="G127" s="29"/>
      <c r="H127" s="27"/>
      <c r="I127" s="41"/>
      <c r="J127" s="30" t="str">
        <f aca="false">IF($B127="","",COUNTIF('Lead Management'!$Q$4:$Q$1003,$B127))</f>
        <v/>
      </c>
      <c r="K127" s="30" t="str">
        <f aca="false">IF($B127="","",COUNTIF(Consultation!$G$4:$G$1003,$B127))</f>
        <v/>
      </c>
      <c r="L127" s="30" t="str">
        <f aca="false">IF($B127="","",COUNTIF(Customers!$K$4:$K$1003,$B127))</f>
        <v/>
      </c>
      <c r="M127" s="34" t="str">
        <f aca="false">IF($B127="","",SUMIF(Customers!$K$4:$K$1003,$B127,Customers!$M$4:$M$1003))</f>
        <v/>
      </c>
      <c r="N127" s="48"/>
      <c r="O127" s="34" t="str">
        <f aca="false">IF($B127="","",$M127*$N127)</f>
        <v/>
      </c>
      <c r="P127" s="35" t="str">
        <f aca="false">IF(OR($B127="",$J127=0),"",$L127/$J127)</f>
        <v/>
      </c>
      <c r="Q127" s="32"/>
    </row>
    <row r="128" customFormat="false" ht="15.75" hidden="false" customHeight="true" outlineLevel="0" collapsed="false">
      <c r="A128" s="27"/>
      <c r="B128" s="28"/>
      <c r="C128" s="28"/>
      <c r="D128" s="27"/>
      <c r="E128" s="28"/>
      <c r="F128" s="28"/>
      <c r="G128" s="29"/>
      <c r="H128" s="27"/>
      <c r="I128" s="41"/>
      <c r="J128" s="30" t="str">
        <f aca="false">IF($B128="","",COUNTIF('Lead Management'!$Q$4:$Q$1003,$B128))</f>
        <v/>
      </c>
      <c r="K128" s="30" t="str">
        <f aca="false">IF($B128="","",COUNTIF(Consultation!$G$4:$G$1003,$B128))</f>
        <v/>
      </c>
      <c r="L128" s="30" t="str">
        <f aca="false">IF($B128="","",COUNTIF(Customers!$K$4:$K$1003,$B128))</f>
        <v/>
      </c>
      <c r="M128" s="34" t="str">
        <f aca="false">IF($B128="","",SUMIF(Customers!$K$4:$K$1003,$B128,Customers!$M$4:$M$1003))</f>
        <v/>
      </c>
      <c r="N128" s="48"/>
      <c r="O128" s="34" t="str">
        <f aca="false">IF($B128="","",$M128*$N128)</f>
        <v/>
      </c>
      <c r="P128" s="35" t="str">
        <f aca="false">IF(OR($B128="",$J128=0),"",$L128/$J128)</f>
        <v/>
      </c>
      <c r="Q128" s="32"/>
    </row>
    <row r="129" customFormat="false" ht="15.75" hidden="false" customHeight="true" outlineLevel="0" collapsed="false">
      <c r="A129" s="27"/>
      <c r="B129" s="28"/>
      <c r="C129" s="28"/>
      <c r="D129" s="27"/>
      <c r="E129" s="28"/>
      <c r="F129" s="28"/>
      <c r="G129" s="29"/>
      <c r="H129" s="27"/>
      <c r="I129" s="41"/>
      <c r="J129" s="30" t="str">
        <f aca="false">IF($B129="","",COUNTIF('Lead Management'!$Q$4:$Q$1003,$B129))</f>
        <v/>
      </c>
      <c r="K129" s="30" t="str">
        <f aca="false">IF($B129="","",COUNTIF(Consultation!$G$4:$G$1003,$B129))</f>
        <v/>
      </c>
      <c r="L129" s="30" t="str">
        <f aca="false">IF($B129="","",COUNTIF(Customers!$K$4:$K$1003,$B129))</f>
        <v/>
      </c>
      <c r="M129" s="34" t="str">
        <f aca="false">IF($B129="","",SUMIF(Customers!$K$4:$K$1003,$B129,Customers!$M$4:$M$1003))</f>
        <v/>
      </c>
      <c r="N129" s="48"/>
      <c r="O129" s="34" t="str">
        <f aca="false">IF($B129="","",$M129*$N129)</f>
        <v/>
      </c>
      <c r="P129" s="35" t="str">
        <f aca="false">IF(OR($B129="",$J129=0),"",$L129/$J129)</f>
        <v/>
      </c>
      <c r="Q129" s="32"/>
    </row>
    <row r="130" customFormat="false" ht="15.75" hidden="false" customHeight="true" outlineLevel="0" collapsed="false">
      <c r="A130" s="27"/>
      <c r="B130" s="28"/>
      <c r="C130" s="28"/>
      <c r="D130" s="27"/>
      <c r="E130" s="28"/>
      <c r="F130" s="28"/>
      <c r="G130" s="29"/>
      <c r="H130" s="27"/>
      <c r="I130" s="41"/>
      <c r="J130" s="30" t="str">
        <f aca="false">IF($B130="","",COUNTIF('Lead Management'!$Q$4:$Q$1003,$B130))</f>
        <v/>
      </c>
      <c r="K130" s="30" t="str">
        <f aca="false">IF($B130="","",COUNTIF(Consultation!$G$4:$G$1003,$B130))</f>
        <v/>
      </c>
      <c r="L130" s="30" t="str">
        <f aca="false">IF($B130="","",COUNTIF(Customers!$K$4:$K$1003,$B130))</f>
        <v/>
      </c>
      <c r="M130" s="34" t="str">
        <f aca="false">IF($B130="","",SUMIF(Customers!$K$4:$K$1003,$B130,Customers!$M$4:$M$1003))</f>
        <v/>
      </c>
      <c r="N130" s="48"/>
      <c r="O130" s="34" t="str">
        <f aca="false">IF($B130="","",$M130*$N130)</f>
        <v/>
      </c>
      <c r="P130" s="35" t="str">
        <f aca="false">IF(OR($B130="",$J130=0),"",$L130/$J130)</f>
        <v/>
      </c>
      <c r="Q130" s="32"/>
    </row>
    <row r="131" customFormat="false" ht="15.75" hidden="false" customHeight="true" outlineLevel="0" collapsed="false">
      <c r="A131" s="27"/>
      <c r="B131" s="28"/>
      <c r="C131" s="28"/>
      <c r="D131" s="27"/>
      <c r="E131" s="28"/>
      <c r="F131" s="28"/>
      <c r="G131" s="29"/>
      <c r="H131" s="27"/>
      <c r="I131" s="41"/>
      <c r="J131" s="30" t="str">
        <f aca="false">IF($B131="","",COUNTIF('Lead Management'!$Q$4:$Q$1003,$B131))</f>
        <v/>
      </c>
      <c r="K131" s="30" t="str">
        <f aca="false">IF($B131="","",COUNTIF(Consultation!$G$4:$G$1003,$B131))</f>
        <v/>
      </c>
      <c r="L131" s="30" t="str">
        <f aca="false">IF($B131="","",COUNTIF(Customers!$K$4:$K$1003,$B131))</f>
        <v/>
      </c>
      <c r="M131" s="34" t="str">
        <f aca="false">IF($B131="","",SUMIF(Customers!$K$4:$K$1003,$B131,Customers!$M$4:$M$1003))</f>
        <v/>
      </c>
      <c r="N131" s="48"/>
      <c r="O131" s="34" t="str">
        <f aca="false">IF($B131="","",$M131*$N131)</f>
        <v/>
      </c>
      <c r="P131" s="35" t="str">
        <f aca="false">IF(OR($B131="",$J131=0),"",$L131/$J131)</f>
        <v/>
      </c>
      <c r="Q131" s="32"/>
    </row>
    <row r="132" customFormat="false" ht="15.75" hidden="false" customHeight="true" outlineLevel="0" collapsed="false">
      <c r="A132" s="27"/>
      <c r="B132" s="28"/>
      <c r="C132" s="28"/>
      <c r="D132" s="27"/>
      <c r="E132" s="28"/>
      <c r="F132" s="28"/>
      <c r="G132" s="29"/>
      <c r="H132" s="27"/>
      <c r="I132" s="41"/>
      <c r="J132" s="30" t="str">
        <f aca="false">IF($B132="","",COUNTIF('Lead Management'!$Q$4:$Q$1003,$B132))</f>
        <v/>
      </c>
      <c r="K132" s="30" t="str">
        <f aca="false">IF($B132="","",COUNTIF(Consultation!$G$4:$G$1003,$B132))</f>
        <v/>
      </c>
      <c r="L132" s="30" t="str">
        <f aca="false">IF($B132="","",COUNTIF(Customers!$K$4:$K$1003,$B132))</f>
        <v/>
      </c>
      <c r="M132" s="34" t="str">
        <f aca="false">IF($B132="","",SUMIF(Customers!$K$4:$K$1003,$B132,Customers!$M$4:$M$1003))</f>
        <v/>
      </c>
      <c r="N132" s="48"/>
      <c r="O132" s="34" t="str">
        <f aca="false">IF($B132="","",$M132*$N132)</f>
        <v/>
      </c>
      <c r="P132" s="35" t="str">
        <f aca="false">IF(OR($B132="",$J132=0),"",$L132/$J132)</f>
        <v/>
      </c>
      <c r="Q132" s="32"/>
    </row>
    <row r="133" customFormat="false" ht="15.75" hidden="false" customHeight="true" outlineLevel="0" collapsed="false">
      <c r="A133" s="27"/>
      <c r="B133" s="28"/>
      <c r="C133" s="28"/>
      <c r="D133" s="27"/>
      <c r="E133" s="28"/>
      <c r="F133" s="28"/>
      <c r="G133" s="29"/>
      <c r="H133" s="27"/>
      <c r="I133" s="41"/>
      <c r="J133" s="30" t="str">
        <f aca="false">IF($B133="","",COUNTIF('Lead Management'!$Q$4:$Q$1003,$B133))</f>
        <v/>
      </c>
      <c r="K133" s="30" t="str">
        <f aca="false">IF($B133="","",COUNTIF(Consultation!$G$4:$G$1003,$B133))</f>
        <v/>
      </c>
      <c r="L133" s="30" t="str">
        <f aca="false">IF($B133="","",COUNTIF(Customers!$K$4:$K$1003,$B133))</f>
        <v/>
      </c>
      <c r="M133" s="34" t="str">
        <f aca="false">IF($B133="","",SUMIF(Customers!$K$4:$K$1003,$B133,Customers!$M$4:$M$1003))</f>
        <v/>
      </c>
      <c r="N133" s="48"/>
      <c r="O133" s="34" t="str">
        <f aca="false">IF($B133="","",$M133*$N133)</f>
        <v/>
      </c>
      <c r="P133" s="35" t="str">
        <f aca="false">IF(OR($B133="",$J133=0),"",$L133/$J133)</f>
        <v/>
      </c>
      <c r="Q133" s="32"/>
    </row>
    <row r="134" customFormat="false" ht="15.75" hidden="false" customHeight="true" outlineLevel="0" collapsed="false">
      <c r="A134" s="27"/>
      <c r="B134" s="28"/>
      <c r="C134" s="28"/>
      <c r="D134" s="27"/>
      <c r="E134" s="28"/>
      <c r="F134" s="28"/>
      <c r="G134" s="29"/>
      <c r="H134" s="27"/>
      <c r="I134" s="41"/>
      <c r="J134" s="30" t="str">
        <f aca="false">IF($B134="","",COUNTIF('Lead Management'!$Q$4:$Q$1003,$B134))</f>
        <v/>
      </c>
      <c r="K134" s="30" t="str">
        <f aca="false">IF($B134="","",COUNTIF(Consultation!$G$4:$G$1003,$B134))</f>
        <v/>
      </c>
      <c r="L134" s="30" t="str">
        <f aca="false">IF($B134="","",COUNTIF(Customers!$K$4:$K$1003,$B134))</f>
        <v/>
      </c>
      <c r="M134" s="34" t="str">
        <f aca="false">IF($B134="","",SUMIF(Customers!$K$4:$K$1003,$B134,Customers!$M$4:$M$1003))</f>
        <v/>
      </c>
      <c r="N134" s="48"/>
      <c r="O134" s="34" t="str">
        <f aca="false">IF($B134="","",$M134*$N134)</f>
        <v/>
      </c>
      <c r="P134" s="35" t="str">
        <f aca="false">IF(OR($B134="",$J134=0),"",$L134/$J134)</f>
        <v/>
      </c>
      <c r="Q134" s="32"/>
    </row>
    <row r="135" customFormat="false" ht="15.75" hidden="false" customHeight="true" outlineLevel="0" collapsed="false">
      <c r="A135" s="27"/>
      <c r="B135" s="28"/>
      <c r="C135" s="28"/>
      <c r="D135" s="27"/>
      <c r="E135" s="28"/>
      <c r="F135" s="28"/>
      <c r="G135" s="29"/>
      <c r="H135" s="27"/>
      <c r="I135" s="41"/>
      <c r="J135" s="30" t="str">
        <f aca="false">IF($B135="","",COUNTIF('Lead Management'!$Q$4:$Q$1003,$B135))</f>
        <v/>
      </c>
      <c r="K135" s="30" t="str">
        <f aca="false">IF($B135="","",COUNTIF(Consultation!$G$4:$G$1003,$B135))</f>
        <v/>
      </c>
      <c r="L135" s="30" t="str">
        <f aca="false">IF($B135="","",COUNTIF(Customers!$K$4:$K$1003,$B135))</f>
        <v/>
      </c>
      <c r="M135" s="34" t="str">
        <f aca="false">IF($B135="","",SUMIF(Customers!$K$4:$K$1003,$B135,Customers!$M$4:$M$1003))</f>
        <v/>
      </c>
      <c r="N135" s="48"/>
      <c r="O135" s="34" t="str">
        <f aca="false">IF($B135="","",$M135*$N135)</f>
        <v/>
      </c>
      <c r="P135" s="35" t="str">
        <f aca="false">IF(OR($B135="",$J135=0),"",$L135/$J135)</f>
        <v/>
      </c>
      <c r="Q135" s="32"/>
    </row>
    <row r="136" customFormat="false" ht="15.75" hidden="false" customHeight="true" outlineLevel="0" collapsed="false">
      <c r="A136" s="27"/>
      <c r="B136" s="28"/>
      <c r="C136" s="28"/>
      <c r="D136" s="27"/>
      <c r="E136" s="28"/>
      <c r="F136" s="28"/>
      <c r="G136" s="29"/>
      <c r="H136" s="27"/>
      <c r="I136" s="41"/>
      <c r="J136" s="30" t="str">
        <f aca="false">IF($B136="","",COUNTIF('Lead Management'!$Q$4:$Q$1003,$B136))</f>
        <v/>
      </c>
      <c r="K136" s="30" t="str">
        <f aca="false">IF($B136="","",COUNTIF(Consultation!$G$4:$G$1003,$B136))</f>
        <v/>
      </c>
      <c r="L136" s="30" t="str">
        <f aca="false">IF($B136="","",COUNTIF(Customers!$K$4:$K$1003,$B136))</f>
        <v/>
      </c>
      <c r="M136" s="34" t="str">
        <f aca="false">IF($B136="","",SUMIF(Customers!$K$4:$K$1003,$B136,Customers!$M$4:$M$1003))</f>
        <v/>
      </c>
      <c r="N136" s="48"/>
      <c r="O136" s="34" t="str">
        <f aca="false">IF($B136="","",$M136*$N136)</f>
        <v/>
      </c>
      <c r="P136" s="35" t="str">
        <f aca="false">IF(OR($B136="",$J136=0),"",$L136/$J136)</f>
        <v/>
      </c>
      <c r="Q136" s="32"/>
    </row>
    <row r="137" customFormat="false" ht="15.75" hidden="false" customHeight="true" outlineLevel="0" collapsed="false">
      <c r="A137" s="27"/>
      <c r="B137" s="28"/>
      <c r="C137" s="28"/>
      <c r="D137" s="27"/>
      <c r="E137" s="28"/>
      <c r="F137" s="28"/>
      <c r="G137" s="29"/>
      <c r="H137" s="27"/>
      <c r="I137" s="41"/>
      <c r="J137" s="30" t="str">
        <f aca="false">IF($B137="","",COUNTIF('Lead Management'!$Q$4:$Q$1003,$B137))</f>
        <v/>
      </c>
      <c r="K137" s="30" t="str">
        <f aca="false">IF($B137="","",COUNTIF(Consultation!$G$4:$G$1003,$B137))</f>
        <v/>
      </c>
      <c r="L137" s="30" t="str">
        <f aca="false">IF($B137="","",COUNTIF(Customers!$K$4:$K$1003,$B137))</f>
        <v/>
      </c>
      <c r="M137" s="34" t="str">
        <f aca="false">IF($B137="","",SUMIF(Customers!$K$4:$K$1003,$B137,Customers!$M$4:$M$1003))</f>
        <v/>
      </c>
      <c r="N137" s="48"/>
      <c r="O137" s="34" t="str">
        <f aca="false">IF($B137="","",$M137*$N137)</f>
        <v/>
      </c>
      <c r="P137" s="35" t="str">
        <f aca="false">IF(OR($B137="",$J137=0),"",$L137/$J137)</f>
        <v/>
      </c>
      <c r="Q137" s="32"/>
    </row>
    <row r="138" customFormat="false" ht="15.75" hidden="false" customHeight="true" outlineLevel="0" collapsed="false">
      <c r="A138" s="27"/>
      <c r="B138" s="28"/>
      <c r="C138" s="28"/>
      <c r="D138" s="27"/>
      <c r="E138" s="28"/>
      <c r="F138" s="28"/>
      <c r="G138" s="29"/>
      <c r="H138" s="27"/>
      <c r="I138" s="41"/>
      <c r="J138" s="30" t="str">
        <f aca="false">IF($B138="","",COUNTIF('Lead Management'!$Q$4:$Q$1003,$B138))</f>
        <v/>
      </c>
      <c r="K138" s="30" t="str">
        <f aca="false">IF($B138="","",COUNTIF(Consultation!$G$4:$G$1003,$B138))</f>
        <v/>
      </c>
      <c r="L138" s="30" t="str">
        <f aca="false">IF($B138="","",COUNTIF(Customers!$K$4:$K$1003,$B138))</f>
        <v/>
      </c>
      <c r="M138" s="34" t="str">
        <f aca="false">IF($B138="","",SUMIF(Customers!$K$4:$K$1003,$B138,Customers!$M$4:$M$1003))</f>
        <v/>
      </c>
      <c r="N138" s="48"/>
      <c r="O138" s="34" t="str">
        <f aca="false">IF($B138="","",$M138*$N138)</f>
        <v/>
      </c>
      <c r="P138" s="35" t="str">
        <f aca="false">IF(OR($B138="",$J138=0),"",$L138/$J138)</f>
        <v/>
      </c>
      <c r="Q138" s="32"/>
    </row>
    <row r="139" customFormat="false" ht="15.75" hidden="false" customHeight="true" outlineLevel="0" collapsed="false">
      <c r="A139" s="27"/>
      <c r="B139" s="28"/>
      <c r="C139" s="28"/>
      <c r="D139" s="27"/>
      <c r="E139" s="28"/>
      <c r="F139" s="28"/>
      <c r="G139" s="29"/>
      <c r="H139" s="27"/>
      <c r="I139" s="41"/>
      <c r="J139" s="30" t="str">
        <f aca="false">IF($B139="","",COUNTIF('Lead Management'!$Q$4:$Q$1003,$B139))</f>
        <v/>
      </c>
      <c r="K139" s="30" t="str">
        <f aca="false">IF($B139="","",COUNTIF(Consultation!$G$4:$G$1003,$B139))</f>
        <v/>
      </c>
      <c r="L139" s="30" t="str">
        <f aca="false">IF($B139="","",COUNTIF(Customers!$K$4:$K$1003,$B139))</f>
        <v/>
      </c>
      <c r="M139" s="34" t="str">
        <f aca="false">IF($B139="","",SUMIF(Customers!$K$4:$K$1003,$B139,Customers!$M$4:$M$1003))</f>
        <v/>
      </c>
      <c r="N139" s="48"/>
      <c r="O139" s="34" t="str">
        <f aca="false">IF($B139="","",$M139*$N139)</f>
        <v/>
      </c>
      <c r="P139" s="35" t="str">
        <f aca="false">IF(OR($B139="",$J139=0),"",$L139/$J139)</f>
        <v/>
      </c>
      <c r="Q139" s="32"/>
    </row>
    <row r="140" customFormat="false" ht="15.75" hidden="false" customHeight="true" outlineLevel="0" collapsed="false">
      <c r="A140" s="27"/>
      <c r="B140" s="28"/>
      <c r="C140" s="28"/>
      <c r="D140" s="27"/>
      <c r="E140" s="28"/>
      <c r="F140" s="28"/>
      <c r="G140" s="29"/>
      <c r="H140" s="27"/>
      <c r="I140" s="41"/>
      <c r="J140" s="30" t="str">
        <f aca="false">IF($B140="","",COUNTIF('Lead Management'!$Q$4:$Q$1003,$B140))</f>
        <v/>
      </c>
      <c r="K140" s="30" t="str">
        <f aca="false">IF($B140="","",COUNTIF(Consultation!$G$4:$G$1003,$B140))</f>
        <v/>
      </c>
      <c r="L140" s="30" t="str">
        <f aca="false">IF($B140="","",COUNTIF(Customers!$K$4:$K$1003,$B140))</f>
        <v/>
      </c>
      <c r="M140" s="34" t="str">
        <f aca="false">IF($B140="","",SUMIF(Customers!$K$4:$K$1003,$B140,Customers!$M$4:$M$1003))</f>
        <v/>
      </c>
      <c r="N140" s="48"/>
      <c r="O140" s="34" t="str">
        <f aca="false">IF($B140="","",$M140*$N140)</f>
        <v/>
      </c>
      <c r="P140" s="35" t="str">
        <f aca="false">IF(OR($B140="",$J140=0),"",$L140/$J140)</f>
        <v/>
      </c>
      <c r="Q140" s="32"/>
    </row>
    <row r="141" customFormat="false" ht="15.75" hidden="false" customHeight="true" outlineLevel="0" collapsed="false">
      <c r="A141" s="27"/>
      <c r="B141" s="28"/>
      <c r="C141" s="28"/>
      <c r="D141" s="27"/>
      <c r="E141" s="28"/>
      <c r="F141" s="28"/>
      <c r="G141" s="29"/>
      <c r="H141" s="27"/>
      <c r="I141" s="41"/>
      <c r="J141" s="30" t="str">
        <f aca="false">IF($B141="","",COUNTIF('Lead Management'!$Q$4:$Q$1003,$B141))</f>
        <v/>
      </c>
      <c r="K141" s="30" t="str">
        <f aca="false">IF($B141="","",COUNTIF(Consultation!$G$4:$G$1003,$B141))</f>
        <v/>
      </c>
      <c r="L141" s="30" t="str">
        <f aca="false">IF($B141="","",COUNTIF(Customers!$K$4:$K$1003,$B141))</f>
        <v/>
      </c>
      <c r="M141" s="34" t="str">
        <f aca="false">IF($B141="","",SUMIF(Customers!$K$4:$K$1003,$B141,Customers!$M$4:$M$1003))</f>
        <v/>
      </c>
      <c r="N141" s="48"/>
      <c r="O141" s="34" t="str">
        <f aca="false">IF($B141="","",$M141*$N141)</f>
        <v/>
      </c>
      <c r="P141" s="35" t="str">
        <f aca="false">IF(OR($B141="",$J141=0),"",$L141/$J141)</f>
        <v/>
      </c>
      <c r="Q141" s="32"/>
    </row>
    <row r="142" customFormat="false" ht="15.75" hidden="false" customHeight="true" outlineLevel="0" collapsed="false">
      <c r="A142" s="27"/>
      <c r="B142" s="28"/>
      <c r="C142" s="28"/>
      <c r="D142" s="27"/>
      <c r="E142" s="28"/>
      <c r="F142" s="28"/>
      <c r="G142" s="29"/>
      <c r="H142" s="27"/>
      <c r="I142" s="41"/>
      <c r="J142" s="30" t="str">
        <f aca="false">IF($B142="","",COUNTIF('Lead Management'!$Q$4:$Q$1003,$B142))</f>
        <v/>
      </c>
      <c r="K142" s="30" t="str">
        <f aca="false">IF($B142="","",COUNTIF(Consultation!$G$4:$G$1003,$B142))</f>
        <v/>
      </c>
      <c r="L142" s="30" t="str">
        <f aca="false">IF($B142="","",COUNTIF(Customers!$K$4:$K$1003,$B142))</f>
        <v/>
      </c>
      <c r="M142" s="34" t="str">
        <f aca="false">IF($B142="","",SUMIF(Customers!$K$4:$K$1003,$B142,Customers!$M$4:$M$1003))</f>
        <v/>
      </c>
      <c r="N142" s="48"/>
      <c r="O142" s="34" t="str">
        <f aca="false">IF($B142="","",$M142*$N142)</f>
        <v/>
      </c>
      <c r="P142" s="35" t="str">
        <f aca="false">IF(OR($B142="",$J142=0),"",$L142/$J142)</f>
        <v/>
      </c>
      <c r="Q142" s="32"/>
    </row>
    <row r="143" customFormat="false" ht="15.75" hidden="false" customHeight="true" outlineLevel="0" collapsed="false">
      <c r="A143" s="27"/>
      <c r="B143" s="28"/>
      <c r="C143" s="28"/>
      <c r="D143" s="27"/>
      <c r="E143" s="28"/>
      <c r="F143" s="28"/>
      <c r="G143" s="29"/>
      <c r="H143" s="27"/>
      <c r="I143" s="41"/>
      <c r="J143" s="30" t="str">
        <f aca="false">IF($B143="","",COUNTIF('Lead Management'!$Q$4:$Q$1003,$B143))</f>
        <v/>
      </c>
      <c r="K143" s="30" t="str">
        <f aca="false">IF($B143="","",COUNTIF(Consultation!$G$4:$G$1003,$B143))</f>
        <v/>
      </c>
      <c r="L143" s="30" t="str">
        <f aca="false">IF($B143="","",COUNTIF(Customers!$K$4:$K$1003,$B143))</f>
        <v/>
      </c>
      <c r="M143" s="34" t="str">
        <f aca="false">IF($B143="","",SUMIF(Customers!$K$4:$K$1003,$B143,Customers!$M$4:$M$1003))</f>
        <v/>
      </c>
      <c r="N143" s="48"/>
      <c r="O143" s="34" t="str">
        <f aca="false">IF($B143="","",$M143*$N143)</f>
        <v/>
      </c>
      <c r="P143" s="35" t="str">
        <f aca="false">IF(OR($B143="",$J143=0),"",$L143/$J143)</f>
        <v/>
      </c>
      <c r="Q143" s="32"/>
    </row>
    <row r="144" customFormat="false" ht="15.75" hidden="false" customHeight="true" outlineLevel="0" collapsed="false">
      <c r="A144" s="27"/>
      <c r="B144" s="28"/>
      <c r="C144" s="28"/>
      <c r="D144" s="27"/>
      <c r="E144" s="28"/>
      <c r="F144" s="28"/>
      <c r="G144" s="29"/>
      <c r="H144" s="27"/>
      <c r="I144" s="41"/>
      <c r="J144" s="30" t="str">
        <f aca="false">IF($B144="","",COUNTIF('Lead Management'!$Q$4:$Q$1003,$B144))</f>
        <v/>
      </c>
      <c r="K144" s="30" t="str">
        <f aca="false">IF($B144="","",COUNTIF(Consultation!$G$4:$G$1003,$B144))</f>
        <v/>
      </c>
      <c r="L144" s="30" t="str">
        <f aca="false">IF($B144="","",COUNTIF(Customers!$K$4:$K$1003,$B144))</f>
        <v/>
      </c>
      <c r="M144" s="34" t="str">
        <f aca="false">IF($B144="","",SUMIF(Customers!$K$4:$K$1003,$B144,Customers!$M$4:$M$1003))</f>
        <v/>
      </c>
      <c r="N144" s="48"/>
      <c r="O144" s="34" t="str">
        <f aca="false">IF($B144="","",$M144*$N144)</f>
        <v/>
      </c>
      <c r="P144" s="35" t="str">
        <f aca="false">IF(OR($B144="",$J144=0),"",$L144/$J144)</f>
        <v/>
      </c>
      <c r="Q144" s="32"/>
    </row>
    <row r="145" customFormat="false" ht="15.75" hidden="false" customHeight="true" outlineLevel="0" collapsed="false">
      <c r="A145" s="27"/>
      <c r="B145" s="28"/>
      <c r="C145" s="28"/>
      <c r="D145" s="27"/>
      <c r="E145" s="28"/>
      <c r="F145" s="28"/>
      <c r="G145" s="29"/>
      <c r="H145" s="27"/>
      <c r="I145" s="41"/>
      <c r="J145" s="30" t="str">
        <f aca="false">IF($B145="","",COUNTIF('Lead Management'!$Q$4:$Q$1003,$B145))</f>
        <v/>
      </c>
      <c r="K145" s="30" t="str">
        <f aca="false">IF($B145="","",COUNTIF(Consultation!$G$4:$G$1003,$B145))</f>
        <v/>
      </c>
      <c r="L145" s="30" t="str">
        <f aca="false">IF($B145="","",COUNTIF(Customers!$K$4:$K$1003,$B145))</f>
        <v/>
      </c>
      <c r="M145" s="34" t="str">
        <f aca="false">IF($B145="","",SUMIF(Customers!$K$4:$K$1003,$B145,Customers!$M$4:$M$1003))</f>
        <v/>
      </c>
      <c r="N145" s="48"/>
      <c r="O145" s="34" t="str">
        <f aca="false">IF($B145="","",$M145*$N145)</f>
        <v/>
      </c>
      <c r="P145" s="35" t="str">
        <f aca="false">IF(OR($B145="",$J145=0),"",$L145/$J145)</f>
        <v/>
      </c>
      <c r="Q145" s="32"/>
    </row>
    <row r="146" customFormat="false" ht="15.75" hidden="false" customHeight="true" outlineLevel="0" collapsed="false">
      <c r="A146" s="27"/>
      <c r="B146" s="28"/>
      <c r="C146" s="28"/>
      <c r="D146" s="27"/>
      <c r="E146" s="28"/>
      <c r="F146" s="28"/>
      <c r="G146" s="29"/>
      <c r="H146" s="27"/>
      <c r="I146" s="41"/>
      <c r="J146" s="30" t="str">
        <f aca="false">IF($B146="","",COUNTIF('Lead Management'!$Q$4:$Q$1003,$B146))</f>
        <v/>
      </c>
      <c r="K146" s="30" t="str">
        <f aca="false">IF($B146="","",COUNTIF(Consultation!$G$4:$G$1003,$B146))</f>
        <v/>
      </c>
      <c r="L146" s="30" t="str">
        <f aca="false">IF($B146="","",COUNTIF(Customers!$K$4:$K$1003,$B146))</f>
        <v/>
      </c>
      <c r="M146" s="34" t="str">
        <f aca="false">IF($B146="","",SUMIF(Customers!$K$4:$K$1003,$B146,Customers!$M$4:$M$1003))</f>
        <v/>
      </c>
      <c r="N146" s="48"/>
      <c r="O146" s="34" t="str">
        <f aca="false">IF($B146="","",$M146*$N146)</f>
        <v/>
      </c>
      <c r="P146" s="35" t="str">
        <f aca="false">IF(OR($B146="",$J146=0),"",$L146/$J146)</f>
        <v/>
      </c>
      <c r="Q146" s="32"/>
    </row>
    <row r="147" customFormat="false" ht="15.75" hidden="false" customHeight="true" outlineLevel="0" collapsed="false">
      <c r="A147" s="27"/>
      <c r="B147" s="28"/>
      <c r="C147" s="28"/>
      <c r="D147" s="27"/>
      <c r="E147" s="28"/>
      <c r="F147" s="28"/>
      <c r="G147" s="29"/>
      <c r="H147" s="27"/>
      <c r="I147" s="41"/>
      <c r="J147" s="30" t="str">
        <f aca="false">IF($B147="","",COUNTIF('Lead Management'!$Q$4:$Q$1003,$B147))</f>
        <v/>
      </c>
      <c r="K147" s="30" t="str">
        <f aca="false">IF($B147="","",COUNTIF(Consultation!$G$4:$G$1003,$B147))</f>
        <v/>
      </c>
      <c r="L147" s="30" t="str">
        <f aca="false">IF($B147="","",COUNTIF(Customers!$K$4:$K$1003,$B147))</f>
        <v/>
      </c>
      <c r="M147" s="34" t="str">
        <f aca="false">IF($B147="","",SUMIF(Customers!$K$4:$K$1003,$B147,Customers!$M$4:$M$1003))</f>
        <v/>
      </c>
      <c r="N147" s="48"/>
      <c r="O147" s="34" t="str">
        <f aca="false">IF($B147="","",$M147*$N147)</f>
        <v/>
      </c>
      <c r="P147" s="35" t="str">
        <f aca="false">IF(OR($B147="",$J147=0),"",$L147/$J147)</f>
        <v/>
      </c>
      <c r="Q147" s="32"/>
    </row>
    <row r="148" customFormat="false" ht="15.75" hidden="false" customHeight="true" outlineLevel="0" collapsed="false">
      <c r="A148" s="27"/>
      <c r="B148" s="28"/>
      <c r="C148" s="28"/>
      <c r="D148" s="27"/>
      <c r="E148" s="28"/>
      <c r="F148" s="28"/>
      <c r="G148" s="29"/>
      <c r="H148" s="27"/>
      <c r="I148" s="41"/>
      <c r="J148" s="30" t="str">
        <f aca="false">IF($B148="","",COUNTIF('Lead Management'!$Q$4:$Q$1003,$B148))</f>
        <v/>
      </c>
      <c r="K148" s="30" t="str">
        <f aca="false">IF($B148="","",COUNTIF(Consultation!$G$4:$G$1003,$B148))</f>
        <v/>
      </c>
      <c r="L148" s="30" t="str">
        <f aca="false">IF($B148="","",COUNTIF(Customers!$K$4:$K$1003,$B148))</f>
        <v/>
      </c>
      <c r="M148" s="34" t="str">
        <f aca="false">IF($B148="","",SUMIF(Customers!$K$4:$K$1003,$B148,Customers!$M$4:$M$1003))</f>
        <v/>
      </c>
      <c r="N148" s="48"/>
      <c r="O148" s="34" t="str">
        <f aca="false">IF($B148="","",$M148*$N148)</f>
        <v/>
      </c>
      <c r="P148" s="35" t="str">
        <f aca="false">IF(OR($B148="",$J148=0),"",$L148/$J148)</f>
        <v/>
      </c>
      <c r="Q148" s="32"/>
    </row>
    <row r="149" customFormat="false" ht="15.75" hidden="false" customHeight="true" outlineLevel="0" collapsed="false">
      <c r="A149" s="27"/>
      <c r="B149" s="28"/>
      <c r="C149" s="28"/>
      <c r="D149" s="27"/>
      <c r="E149" s="28"/>
      <c r="F149" s="28"/>
      <c r="G149" s="29"/>
      <c r="H149" s="27"/>
      <c r="I149" s="41"/>
      <c r="J149" s="30" t="str">
        <f aca="false">IF($B149="","",COUNTIF('Lead Management'!$Q$4:$Q$1003,$B149))</f>
        <v/>
      </c>
      <c r="K149" s="30" t="str">
        <f aca="false">IF($B149="","",COUNTIF(Consultation!$G$4:$G$1003,$B149))</f>
        <v/>
      </c>
      <c r="L149" s="30" t="str">
        <f aca="false">IF($B149="","",COUNTIF(Customers!$K$4:$K$1003,$B149))</f>
        <v/>
      </c>
      <c r="M149" s="34" t="str">
        <f aca="false">IF($B149="","",SUMIF(Customers!$K$4:$K$1003,$B149,Customers!$M$4:$M$1003))</f>
        <v/>
      </c>
      <c r="N149" s="48"/>
      <c r="O149" s="34" t="str">
        <f aca="false">IF($B149="","",$M149*$N149)</f>
        <v/>
      </c>
      <c r="P149" s="35" t="str">
        <f aca="false">IF(OR($B149="",$J149=0),"",$L149/$J149)</f>
        <v/>
      </c>
      <c r="Q149" s="32"/>
    </row>
    <row r="150" customFormat="false" ht="15.75" hidden="false" customHeight="true" outlineLevel="0" collapsed="false">
      <c r="A150" s="27"/>
      <c r="B150" s="28"/>
      <c r="C150" s="28"/>
      <c r="D150" s="27"/>
      <c r="E150" s="28"/>
      <c r="F150" s="28"/>
      <c r="G150" s="29"/>
      <c r="H150" s="27"/>
      <c r="I150" s="41"/>
      <c r="J150" s="30" t="str">
        <f aca="false">IF($B150="","",COUNTIF('Lead Management'!$Q$4:$Q$1003,$B150))</f>
        <v/>
      </c>
      <c r="K150" s="30" t="str">
        <f aca="false">IF($B150="","",COUNTIF(Consultation!$G$4:$G$1003,$B150))</f>
        <v/>
      </c>
      <c r="L150" s="30" t="str">
        <f aca="false">IF($B150="","",COUNTIF(Customers!$K$4:$K$1003,$B150))</f>
        <v/>
      </c>
      <c r="M150" s="34" t="str">
        <f aca="false">IF($B150="","",SUMIF(Customers!$K$4:$K$1003,$B150,Customers!$M$4:$M$1003))</f>
        <v/>
      </c>
      <c r="N150" s="48"/>
      <c r="O150" s="34" t="str">
        <f aca="false">IF($B150="","",$M150*$N150)</f>
        <v/>
      </c>
      <c r="P150" s="35" t="str">
        <f aca="false">IF(OR($B150="",$J150=0),"",$L150/$J150)</f>
        <v/>
      </c>
      <c r="Q150" s="32"/>
    </row>
    <row r="151" customFormat="false" ht="15.75" hidden="false" customHeight="true" outlineLevel="0" collapsed="false">
      <c r="A151" s="27"/>
      <c r="B151" s="28"/>
      <c r="C151" s="28"/>
      <c r="D151" s="27"/>
      <c r="E151" s="28"/>
      <c r="F151" s="28"/>
      <c r="G151" s="29"/>
      <c r="H151" s="27"/>
      <c r="I151" s="41"/>
      <c r="J151" s="30" t="str">
        <f aca="false">IF($B151="","",COUNTIF('Lead Management'!$Q$4:$Q$1003,$B151))</f>
        <v/>
      </c>
      <c r="K151" s="30" t="str">
        <f aca="false">IF($B151="","",COUNTIF(Consultation!$G$4:$G$1003,$B151))</f>
        <v/>
      </c>
      <c r="L151" s="30" t="str">
        <f aca="false">IF($B151="","",COUNTIF(Customers!$K$4:$K$1003,$B151))</f>
        <v/>
      </c>
      <c r="M151" s="34" t="str">
        <f aca="false">IF($B151="","",SUMIF(Customers!$K$4:$K$1003,$B151,Customers!$M$4:$M$1003))</f>
        <v/>
      </c>
      <c r="N151" s="48"/>
      <c r="O151" s="34" t="str">
        <f aca="false">IF($B151="","",$M151*$N151)</f>
        <v/>
      </c>
      <c r="P151" s="35" t="str">
        <f aca="false">IF(OR($B151="",$J151=0),"",$L151/$J151)</f>
        <v/>
      </c>
      <c r="Q151" s="32"/>
    </row>
    <row r="152" customFormat="false" ht="15.75" hidden="false" customHeight="true" outlineLevel="0" collapsed="false">
      <c r="A152" s="27"/>
      <c r="B152" s="28"/>
      <c r="C152" s="28"/>
      <c r="D152" s="27"/>
      <c r="E152" s="28"/>
      <c r="F152" s="28"/>
      <c r="G152" s="29"/>
      <c r="H152" s="27"/>
      <c r="I152" s="41"/>
      <c r="J152" s="30" t="str">
        <f aca="false">IF($B152="","",COUNTIF('Lead Management'!$Q$4:$Q$1003,$B152))</f>
        <v/>
      </c>
      <c r="K152" s="30" t="str">
        <f aca="false">IF($B152="","",COUNTIF(Consultation!$G$4:$G$1003,$B152))</f>
        <v/>
      </c>
      <c r="L152" s="30" t="str">
        <f aca="false">IF($B152="","",COUNTIF(Customers!$K$4:$K$1003,$B152))</f>
        <v/>
      </c>
      <c r="M152" s="34" t="str">
        <f aca="false">IF($B152="","",SUMIF(Customers!$K$4:$K$1003,$B152,Customers!$M$4:$M$1003))</f>
        <v/>
      </c>
      <c r="N152" s="48"/>
      <c r="O152" s="34" t="str">
        <f aca="false">IF($B152="","",$M152*$N152)</f>
        <v/>
      </c>
      <c r="P152" s="35" t="str">
        <f aca="false">IF(OR($B152="",$J152=0),"",$L152/$J152)</f>
        <v/>
      </c>
      <c r="Q152" s="32"/>
    </row>
    <row r="153" customFormat="false" ht="15.75" hidden="false" customHeight="true" outlineLevel="0" collapsed="false">
      <c r="A153" s="27"/>
      <c r="B153" s="28"/>
      <c r="C153" s="28"/>
      <c r="D153" s="27"/>
      <c r="E153" s="28"/>
      <c r="F153" s="28"/>
      <c r="G153" s="29"/>
      <c r="H153" s="27"/>
      <c r="I153" s="41"/>
      <c r="J153" s="30" t="str">
        <f aca="false">IF($B153="","",COUNTIF('Lead Management'!$Q$4:$Q$1003,$B153))</f>
        <v/>
      </c>
      <c r="K153" s="30" t="str">
        <f aca="false">IF($B153="","",COUNTIF(Consultation!$G$4:$G$1003,$B153))</f>
        <v/>
      </c>
      <c r="L153" s="30" t="str">
        <f aca="false">IF($B153="","",COUNTIF(Customers!$K$4:$K$1003,$B153))</f>
        <v/>
      </c>
      <c r="M153" s="34" t="str">
        <f aca="false">IF($B153="","",SUMIF(Customers!$K$4:$K$1003,$B153,Customers!$M$4:$M$1003))</f>
        <v/>
      </c>
      <c r="N153" s="48"/>
      <c r="O153" s="34" t="str">
        <f aca="false">IF($B153="","",$M153*$N153)</f>
        <v/>
      </c>
      <c r="P153" s="35" t="str">
        <f aca="false">IF(OR($B153="",$J153=0),"",$L153/$J153)</f>
        <v/>
      </c>
      <c r="Q153" s="32"/>
    </row>
    <row r="154" customFormat="false" ht="15.75" hidden="false" customHeight="true" outlineLevel="0" collapsed="false">
      <c r="A154" s="27"/>
      <c r="B154" s="28"/>
      <c r="C154" s="28"/>
      <c r="D154" s="27"/>
      <c r="E154" s="28"/>
      <c r="F154" s="28"/>
      <c r="G154" s="29"/>
      <c r="H154" s="27"/>
      <c r="I154" s="41"/>
      <c r="J154" s="30" t="str">
        <f aca="false">IF($B154="","",COUNTIF('Lead Management'!$Q$4:$Q$1003,$B154))</f>
        <v/>
      </c>
      <c r="K154" s="30" t="str">
        <f aca="false">IF($B154="","",COUNTIF(Consultation!$G$4:$G$1003,$B154))</f>
        <v/>
      </c>
      <c r="L154" s="30" t="str">
        <f aca="false">IF($B154="","",COUNTIF(Customers!$K$4:$K$1003,$B154))</f>
        <v/>
      </c>
      <c r="M154" s="34" t="str">
        <f aca="false">IF($B154="","",SUMIF(Customers!$K$4:$K$1003,$B154,Customers!$M$4:$M$1003))</f>
        <v/>
      </c>
      <c r="N154" s="48"/>
      <c r="O154" s="34" t="str">
        <f aca="false">IF($B154="","",$M154*$N154)</f>
        <v/>
      </c>
      <c r="P154" s="35" t="str">
        <f aca="false">IF(OR($B154="",$J154=0),"",$L154/$J154)</f>
        <v/>
      </c>
      <c r="Q154" s="32"/>
    </row>
    <row r="155" customFormat="false" ht="15.75" hidden="false" customHeight="true" outlineLevel="0" collapsed="false">
      <c r="A155" s="27"/>
      <c r="B155" s="28"/>
      <c r="C155" s="28"/>
      <c r="D155" s="27"/>
      <c r="E155" s="28"/>
      <c r="F155" s="28"/>
      <c r="G155" s="29"/>
      <c r="H155" s="27"/>
      <c r="I155" s="41"/>
      <c r="J155" s="30" t="str">
        <f aca="false">IF($B155="","",COUNTIF('Lead Management'!$Q$4:$Q$1003,$B155))</f>
        <v/>
      </c>
      <c r="K155" s="30" t="str">
        <f aca="false">IF($B155="","",COUNTIF(Consultation!$G$4:$G$1003,$B155))</f>
        <v/>
      </c>
      <c r="L155" s="30" t="str">
        <f aca="false">IF($B155="","",COUNTIF(Customers!$K$4:$K$1003,$B155))</f>
        <v/>
      </c>
      <c r="M155" s="34" t="str">
        <f aca="false">IF($B155="","",SUMIF(Customers!$K$4:$K$1003,$B155,Customers!$M$4:$M$1003))</f>
        <v/>
      </c>
      <c r="N155" s="48"/>
      <c r="O155" s="34" t="str">
        <f aca="false">IF($B155="","",$M155*$N155)</f>
        <v/>
      </c>
      <c r="P155" s="35" t="str">
        <f aca="false">IF(OR($B155="",$J155=0),"",$L155/$J155)</f>
        <v/>
      </c>
      <c r="Q155" s="32"/>
    </row>
    <row r="156" customFormat="false" ht="15.75" hidden="false" customHeight="true" outlineLevel="0" collapsed="false">
      <c r="A156" s="27"/>
      <c r="B156" s="28"/>
      <c r="C156" s="28"/>
      <c r="D156" s="27"/>
      <c r="E156" s="28"/>
      <c r="F156" s="28"/>
      <c r="G156" s="29"/>
      <c r="H156" s="27"/>
      <c r="I156" s="41"/>
      <c r="J156" s="30" t="str">
        <f aca="false">IF($B156="","",COUNTIF('Lead Management'!$Q$4:$Q$1003,$B156))</f>
        <v/>
      </c>
      <c r="K156" s="30" t="str">
        <f aca="false">IF($B156="","",COUNTIF(Consultation!$G$4:$G$1003,$B156))</f>
        <v/>
      </c>
      <c r="L156" s="30" t="str">
        <f aca="false">IF($B156="","",COUNTIF(Customers!$K$4:$K$1003,$B156))</f>
        <v/>
      </c>
      <c r="M156" s="34" t="str">
        <f aca="false">IF($B156="","",SUMIF(Customers!$K$4:$K$1003,$B156,Customers!$M$4:$M$1003))</f>
        <v/>
      </c>
      <c r="N156" s="48"/>
      <c r="O156" s="34" t="str">
        <f aca="false">IF($B156="","",$M156*$N156)</f>
        <v/>
      </c>
      <c r="P156" s="35" t="str">
        <f aca="false">IF(OR($B156="",$J156=0),"",$L156/$J156)</f>
        <v/>
      </c>
      <c r="Q156" s="32"/>
    </row>
    <row r="157" customFormat="false" ht="15.75" hidden="false" customHeight="true" outlineLevel="0" collapsed="false">
      <c r="A157" s="27"/>
      <c r="B157" s="28"/>
      <c r="C157" s="28"/>
      <c r="D157" s="27"/>
      <c r="E157" s="28"/>
      <c r="F157" s="28"/>
      <c r="G157" s="29"/>
      <c r="H157" s="27"/>
      <c r="I157" s="41"/>
      <c r="J157" s="30" t="str">
        <f aca="false">IF($B157="","",COUNTIF('Lead Management'!$Q$4:$Q$1003,$B157))</f>
        <v/>
      </c>
      <c r="K157" s="30" t="str">
        <f aca="false">IF($B157="","",COUNTIF(Consultation!$G$4:$G$1003,$B157))</f>
        <v/>
      </c>
      <c r="L157" s="30" t="str">
        <f aca="false">IF($B157="","",COUNTIF(Customers!$K$4:$K$1003,$B157))</f>
        <v/>
      </c>
      <c r="M157" s="34" t="str">
        <f aca="false">IF($B157="","",SUMIF(Customers!$K$4:$K$1003,$B157,Customers!$M$4:$M$1003))</f>
        <v/>
      </c>
      <c r="N157" s="48"/>
      <c r="O157" s="34" t="str">
        <f aca="false">IF($B157="","",$M157*$N157)</f>
        <v/>
      </c>
      <c r="P157" s="35" t="str">
        <f aca="false">IF(OR($B157="",$J157=0),"",$L157/$J157)</f>
        <v/>
      </c>
      <c r="Q157" s="32"/>
    </row>
    <row r="158" customFormat="false" ht="15.75" hidden="false" customHeight="true" outlineLevel="0" collapsed="false">
      <c r="A158" s="27"/>
      <c r="B158" s="28"/>
      <c r="C158" s="28"/>
      <c r="D158" s="27"/>
      <c r="E158" s="28"/>
      <c r="F158" s="28"/>
      <c r="G158" s="29"/>
      <c r="H158" s="27"/>
      <c r="I158" s="41"/>
      <c r="J158" s="30" t="str">
        <f aca="false">IF($B158="","",COUNTIF('Lead Management'!$Q$4:$Q$1003,$B158))</f>
        <v/>
      </c>
      <c r="K158" s="30" t="str">
        <f aca="false">IF($B158="","",COUNTIF(Consultation!$G$4:$G$1003,$B158))</f>
        <v/>
      </c>
      <c r="L158" s="30" t="str">
        <f aca="false">IF($B158="","",COUNTIF(Customers!$K$4:$K$1003,$B158))</f>
        <v/>
      </c>
      <c r="M158" s="34" t="str">
        <f aca="false">IF($B158="","",SUMIF(Customers!$K$4:$K$1003,$B158,Customers!$M$4:$M$1003))</f>
        <v/>
      </c>
      <c r="N158" s="48"/>
      <c r="O158" s="34" t="str">
        <f aca="false">IF($B158="","",$M158*$N158)</f>
        <v/>
      </c>
      <c r="P158" s="35" t="str">
        <f aca="false">IF(OR($B158="",$J158=0),"",$L158/$J158)</f>
        <v/>
      </c>
      <c r="Q158" s="32"/>
    </row>
    <row r="159" customFormat="false" ht="15.75" hidden="false" customHeight="true" outlineLevel="0" collapsed="false">
      <c r="A159" s="27"/>
      <c r="B159" s="28"/>
      <c r="C159" s="28"/>
      <c r="D159" s="27"/>
      <c r="E159" s="28"/>
      <c r="F159" s="28"/>
      <c r="G159" s="29"/>
      <c r="H159" s="27"/>
      <c r="I159" s="41"/>
      <c r="J159" s="30" t="str">
        <f aca="false">IF($B159="","",COUNTIF('Lead Management'!$Q$4:$Q$1003,$B159))</f>
        <v/>
      </c>
      <c r="K159" s="30" t="str">
        <f aca="false">IF($B159="","",COUNTIF(Consultation!$G$4:$G$1003,$B159))</f>
        <v/>
      </c>
      <c r="L159" s="30" t="str">
        <f aca="false">IF($B159="","",COUNTIF(Customers!$K$4:$K$1003,$B159))</f>
        <v/>
      </c>
      <c r="M159" s="34" t="str">
        <f aca="false">IF($B159="","",SUMIF(Customers!$K$4:$K$1003,$B159,Customers!$M$4:$M$1003))</f>
        <v/>
      </c>
      <c r="N159" s="48"/>
      <c r="O159" s="34" t="str">
        <f aca="false">IF($B159="","",$M159*$N159)</f>
        <v/>
      </c>
      <c r="P159" s="35" t="str">
        <f aca="false">IF(OR($B159="",$J159=0),"",$L159/$J159)</f>
        <v/>
      </c>
      <c r="Q159" s="32"/>
    </row>
    <row r="160" customFormat="false" ht="15.75" hidden="false" customHeight="true" outlineLevel="0" collapsed="false">
      <c r="A160" s="27"/>
      <c r="B160" s="28"/>
      <c r="C160" s="28"/>
      <c r="D160" s="27"/>
      <c r="E160" s="28"/>
      <c r="F160" s="28"/>
      <c r="G160" s="29"/>
      <c r="H160" s="27"/>
      <c r="I160" s="41"/>
      <c r="J160" s="30" t="str">
        <f aca="false">IF($B160="","",COUNTIF('Lead Management'!$Q$4:$Q$1003,$B160))</f>
        <v/>
      </c>
      <c r="K160" s="30" t="str">
        <f aca="false">IF($B160="","",COUNTIF(Consultation!$G$4:$G$1003,$B160))</f>
        <v/>
      </c>
      <c r="L160" s="30" t="str">
        <f aca="false">IF($B160="","",COUNTIF(Customers!$K$4:$K$1003,$B160))</f>
        <v/>
      </c>
      <c r="M160" s="34" t="str">
        <f aca="false">IF($B160="","",SUMIF(Customers!$K$4:$K$1003,$B160,Customers!$M$4:$M$1003))</f>
        <v/>
      </c>
      <c r="N160" s="48"/>
      <c r="O160" s="34" t="str">
        <f aca="false">IF($B160="","",$M160*$N160)</f>
        <v/>
      </c>
      <c r="P160" s="35" t="str">
        <f aca="false">IF(OR($B160="",$J160=0),"",$L160/$J160)</f>
        <v/>
      </c>
      <c r="Q160" s="32"/>
    </row>
    <row r="161" customFormat="false" ht="15.75" hidden="false" customHeight="true" outlineLevel="0" collapsed="false">
      <c r="A161" s="27"/>
      <c r="B161" s="28"/>
      <c r="C161" s="28"/>
      <c r="D161" s="27"/>
      <c r="E161" s="28"/>
      <c r="F161" s="28"/>
      <c r="G161" s="29"/>
      <c r="H161" s="27"/>
      <c r="I161" s="41"/>
      <c r="J161" s="30" t="str">
        <f aca="false">IF($B161="","",COUNTIF('Lead Management'!$Q$4:$Q$1003,$B161))</f>
        <v/>
      </c>
      <c r="K161" s="30" t="str">
        <f aca="false">IF($B161="","",COUNTIF(Consultation!$G$4:$G$1003,$B161))</f>
        <v/>
      </c>
      <c r="L161" s="30" t="str">
        <f aca="false">IF($B161="","",COUNTIF(Customers!$K$4:$K$1003,$B161))</f>
        <v/>
      </c>
      <c r="M161" s="34" t="str">
        <f aca="false">IF($B161="","",SUMIF(Customers!$K$4:$K$1003,$B161,Customers!$M$4:$M$1003))</f>
        <v/>
      </c>
      <c r="N161" s="48"/>
      <c r="O161" s="34" t="str">
        <f aca="false">IF($B161="","",$M161*$N161)</f>
        <v/>
      </c>
      <c r="P161" s="35" t="str">
        <f aca="false">IF(OR($B161="",$J161=0),"",$L161/$J161)</f>
        <v/>
      </c>
      <c r="Q161" s="32"/>
    </row>
    <row r="162" customFormat="false" ht="15.75" hidden="false" customHeight="true" outlineLevel="0" collapsed="false">
      <c r="A162" s="27"/>
      <c r="B162" s="28"/>
      <c r="C162" s="28"/>
      <c r="D162" s="27"/>
      <c r="E162" s="28"/>
      <c r="F162" s="28"/>
      <c r="G162" s="29"/>
      <c r="H162" s="27"/>
      <c r="I162" s="41"/>
      <c r="J162" s="30" t="str">
        <f aca="false">IF($B162="","",COUNTIF('Lead Management'!$Q$4:$Q$1003,$B162))</f>
        <v/>
      </c>
      <c r="K162" s="30" t="str">
        <f aca="false">IF($B162="","",COUNTIF(Consultation!$G$4:$G$1003,$B162))</f>
        <v/>
      </c>
      <c r="L162" s="30" t="str">
        <f aca="false">IF($B162="","",COUNTIF(Customers!$K$4:$K$1003,$B162))</f>
        <v/>
      </c>
      <c r="M162" s="34" t="str">
        <f aca="false">IF($B162="","",SUMIF(Customers!$K$4:$K$1003,$B162,Customers!$M$4:$M$1003))</f>
        <v/>
      </c>
      <c r="N162" s="48"/>
      <c r="O162" s="34" t="str">
        <f aca="false">IF($B162="","",$M162*$N162)</f>
        <v/>
      </c>
      <c r="P162" s="35" t="str">
        <f aca="false">IF(OR($B162="",$J162=0),"",$L162/$J162)</f>
        <v/>
      </c>
      <c r="Q162" s="32"/>
    </row>
    <row r="163" customFormat="false" ht="15.75" hidden="false" customHeight="true" outlineLevel="0" collapsed="false">
      <c r="A163" s="27"/>
      <c r="B163" s="28"/>
      <c r="C163" s="28"/>
      <c r="D163" s="27"/>
      <c r="E163" s="28"/>
      <c r="F163" s="28"/>
      <c r="G163" s="29"/>
      <c r="H163" s="27"/>
      <c r="I163" s="41"/>
      <c r="J163" s="30" t="str">
        <f aca="false">IF($B163="","",COUNTIF('Lead Management'!$Q$4:$Q$1003,$B163))</f>
        <v/>
      </c>
      <c r="K163" s="30" t="str">
        <f aca="false">IF($B163="","",COUNTIF(Consultation!$G$4:$G$1003,$B163))</f>
        <v/>
      </c>
      <c r="L163" s="30" t="str">
        <f aca="false">IF($B163="","",COUNTIF(Customers!$K$4:$K$1003,$B163))</f>
        <v/>
      </c>
      <c r="M163" s="34" t="str">
        <f aca="false">IF($B163="","",SUMIF(Customers!$K$4:$K$1003,$B163,Customers!$M$4:$M$1003))</f>
        <v/>
      </c>
      <c r="N163" s="48"/>
      <c r="O163" s="34" t="str">
        <f aca="false">IF($B163="","",$M163*$N163)</f>
        <v/>
      </c>
      <c r="P163" s="35" t="str">
        <f aca="false">IF(OR($B163="",$J163=0),"",$L163/$J163)</f>
        <v/>
      </c>
      <c r="Q163" s="32"/>
    </row>
    <row r="164" customFormat="false" ht="15.75" hidden="false" customHeight="true" outlineLevel="0" collapsed="false">
      <c r="A164" s="27"/>
      <c r="B164" s="28"/>
      <c r="C164" s="28"/>
      <c r="D164" s="27"/>
      <c r="E164" s="28"/>
      <c r="F164" s="28"/>
      <c r="G164" s="29"/>
      <c r="H164" s="27"/>
      <c r="I164" s="41"/>
      <c r="J164" s="30" t="str">
        <f aca="false">IF($B164="","",COUNTIF('Lead Management'!$Q$4:$Q$1003,$B164))</f>
        <v/>
      </c>
      <c r="K164" s="30" t="str">
        <f aca="false">IF($B164="","",COUNTIF(Consultation!$G$4:$G$1003,$B164))</f>
        <v/>
      </c>
      <c r="L164" s="30" t="str">
        <f aca="false">IF($B164="","",COUNTIF(Customers!$K$4:$K$1003,$B164))</f>
        <v/>
      </c>
      <c r="M164" s="34" t="str">
        <f aca="false">IF($B164="","",SUMIF(Customers!$K$4:$K$1003,$B164,Customers!$M$4:$M$1003))</f>
        <v/>
      </c>
      <c r="N164" s="48"/>
      <c r="O164" s="34" t="str">
        <f aca="false">IF($B164="","",$M164*$N164)</f>
        <v/>
      </c>
      <c r="P164" s="35" t="str">
        <f aca="false">IF(OR($B164="",$J164=0),"",$L164/$J164)</f>
        <v/>
      </c>
      <c r="Q164" s="32"/>
    </row>
    <row r="165" customFormat="false" ht="15.75" hidden="false" customHeight="true" outlineLevel="0" collapsed="false">
      <c r="A165" s="27"/>
      <c r="B165" s="28"/>
      <c r="C165" s="28"/>
      <c r="D165" s="27"/>
      <c r="E165" s="28"/>
      <c r="F165" s="28"/>
      <c r="G165" s="29"/>
      <c r="H165" s="27"/>
      <c r="I165" s="41"/>
      <c r="J165" s="30" t="str">
        <f aca="false">IF($B165="","",COUNTIF('Lead Management'!$Q$4:$Q$1003,$B165))</f>
        <v/>
      </c>
      <c r="K165" s="30" t="str">
        <f aca="false">IF($B165="","",COUNTIF(Consultation!$G$4:$G$1003,$B165))</f>
        <v/>
      </c>
      <c r="L165" s="30" t="str">
        <f aca="false">IF($B165="","",COUNTIF(Customers!$K$4:$K$1003,$B165))</f>
        <v/>
      </c>
      <c r="M165" s="34" t="str">
        <f aca="false">IF($B165="","",SUMIF(Customers!$K$4:$K$1003,$B165,Customers!$M$4:$M$1003))</f>
        <v/>
      </c>
      <c r="N165" s="48"/>
      <c r="O165" s="34" t="str">
        <f aca="false">IF($B165="","",$M165*$N165)</f>
        <v/>
      </c>
      <c r="P165" s="35" t="str">
        <f aca="false">IF(OR($B165="",$J165=0),"",$L165/$J165)</f>
        <v/>
      </c>
      <c r="Q165" s="32"/>
    </row>
    <row r="166" customFormat="false" ht="15.75" hidden="false" customHeight="true" outlineLevel="0" collapsed="false">
      <c r="A166" s="27"/>
      <c r="B166" s="28"/>
      <c r="C166" s="28"/>
      <c r="D166" s="27"/>
      <c r="E166" s="28"/>
      <c r="F166" s="28"/>
      <c r="G166" s="29"/>
      <c r="H166" s="27"/>
      <c r="I166" s="41"/>
      <c r="J166" s="30" t="str">
        <f aca="false">IF($B166="","",COUNTIF('Lead Management'!$Q$4:$Q$1003,$B166))</f>
        <v/>
      </c>
      <c r="K166" s="30" t="str">
        <f aca="false">IF($B166="","",COUNTIF(Consultation!$G$4:$G$1003,$B166))</f>
        <v/>
      </c>
      <c r="L166" s="30" t="str">
        <f aca="false">IF($B166="","",COUNTIF(Customers!$K$4:$K$1003,$B166))</f>
        <v/>
      </c>
      <c r="M166" s="34" t="str">
        <f aca="false">IF($B166="","",SUMIF(Customers!$K$4:$K$1003,$B166,Customers!$M$4:$M$1003))</f>
        <v/>
      </c>
      <c r="N166" s="48"/>
      <c r="O166" s="34" t="str">
        <f aca="false">IF($B166="","",$M166*$N166)</f>
        <v/>
      </c>
      <c r="P166" s="35" t="str">
        <f aca="false">IF(OR($B166="",$J166=0),"",$L166/$J166)</f>
        <v/>
      </c>
      <c r="Q166" s="32"/>
    </row>
    <row r="167" customFormat="false" ht="15.75" hidden="false" customHeight="true" outlineLevel="0" collapsed="false">
      <c r="A167" s="27"/>
      <c r="B167" s="28"/>
      <c r="C167" s="28"/>
      <c r="D167" s="27"/>
      <c r="E167" s="28"/>
      <c r="F167" s="28"/>
      <c r="G167" s="29"/>
      <c r="H167" s="27"/>
      <c r="I167" s="41"/>
      <c r="J167" s="30" t="str">
        <f aca="false">IF($B167="","",COUNTIF('Lead Management'!$Q$4:$Q$1003,$B167))</f>
        <v/>
      </c>
      <c r="K167" s="30" t="str">
        <f aca="false">IF($B167="","",COUNTIF(Consultation!$G$4:$G$1003,$B167))</f>
        <v/>
      </c>
      <c r="L167" s="30" t="str">
        <f aca="false">IF($B167="","",COUNTIF(Customers!$K$4:$K$1003,$B167))</f>
        <v/>
      </c>
      <c r="M167" s="34" t="str">
        <f aca="false">IF($B167="","",SUMIF(Customers!$K$4:$K$1003,$B167,Customers!$M$4:$M$1003))</f>
        <v/>
      </c>
      <c r="N167" s="48"/>
      <c r="O167" s="34" t="str">
        <f aca="false">IF($B167="","",$M167*$N167)</f>
        <v/>
      </c>
      <c r="P167" s="35" t="str">
        <f aca="false">IF(OR($B167="",$J167=0),"",$L167/$J167)</f>
        <v/>
      </c>
      <c r="Q167" s="32"/>
    </row>
    <row r="168" customFormat="false" ht="15.75" hidden="false" customHeight="true" outlineLevel="0" collapsed="false">
      <c r="A168" s="27"/>
      <c r="B168" s="28"/>
      <c r="C168" s="28"/>
      <c r="D168" s="27"/>
      <c r="E168" s="28"/>
      <c r="F168" s="28"/>
      <c r="G168" s="29"/>
      <c r="H168" s="27"/>
      <c r="I168" s="41"/>
      <c r="J168" s="30" t="str">
        <f aca="false">IF($B168="","",COUNTIF('Lead Management'!$Q$4:$Q$1003,$B168))</f>
        <v/>
      </c>
      <c r="K168" s="30" t="str">
        <f aca="false">IF($B168="","",COUNTIF(Consultation!$G$4:$G$1003,$B168))</f>
        <v/>
      </c>
      <c r="L168" s="30" t="str">
        <f aca="false">IF($B168="","",COUNTIF(Customers!$K$4:$K$1003,$B168))</f>
        <v/>
      </c>
      <c r="M168" s="34" t="str">
        <f aca="false">IF($B168="","",SUMIF(Customers!$K$4:$K$1003,$B168,Customers!$M$4:$M$1003))</f>
        <v/>
      </c>
      <c r="N168" s="48"/>
      <c r="O168" s="34" t="str">
        <f aca="false">IF($B168="","",$M168*$N168)</f>
        <v/>
      </c>
      <c r="P168" s="35" t="str">
        <f aca="false">IF(OR($B168="",$J168=0),"",$L168/$J168)</f>
        <v/>
      </c>
      <c r="Q168" s="32"/>
    </row>
    <row r="169" customFormat="false" ht="15.75" hidden="false" customHeight="true" outlineLevel="0" collapsed="false">
      <c r="A169" s="27"/>
      <c r="B169" s="28"/>
      <c r="C169" s="28"/>
      <c r="D169" s="27"/>
      <c r="E169" s="28"/>
      <c r="F169" s="28"/>
      <c r="G169" s="29"/>
      <c r="H169" s="27"/>
      <c r="I169" s="41"/>
      <c r="J169" s="30" t="str">
        <f aca="false">IF($B169="","",COUNTIF('Lead Management'!$Q$4:$Q$1003,$B169))</f>
        <v/>
      </c>
      <c r="K169" s="30" t="str">
        <f aca="false">IF($B169="","",COUNTIF(Consultation!$G$4:$G$1003,$B169))</f>
        <v/>
      </c>
      <c r="L169" s="30" t="str">
        <f aca="false">IF($B169="","",COUNTIF(Customers!$K$4:$K$1003,$B169))</f>
        <v/>
      </c>
      <c r="M169" s="34" t="str">
        <f aca="false">IF($B169="","",SUMIF(Customers!$K$4:$K$1003,$B169,Customers!$M$4:$M$1003))</f>
        <v/>
      </c>
      <c r="N169" s="48"/>
      <c r="O169" s="34" t="str">
        <f aca="false">IF($B169="","",$M169*$N169)</f>
        <v/>
      </c>
      <c r="P169" s="35" t="str">
        <f aca="false">IF(OR($B169="",$J169=0),"",$L169/$J169)</f>
        <v/>
      </c>
      <c r="Q169" s="32"/>
    </row>
    <row r="170" customFormat="false" ht="15.75" hidden="false" customHeight="true" outlineLevel="0" collapsed="false">
      <c r="A170" s="27"/>
      <c r="B170" s="28"/>
      <c r="C170" s="28"/>
      <c r="D170" s="27"/>
      <c r="E170" s="28"/>
      <c r="F170" s="28"/>
      <c r="G170" s="29"/>
      <c r="H170" s="27"/>
      <c r="I170" s="41"/>
      <c r="J170" s="30" t="str">
        <f aca="false">IF($B170="","",COUNTIF('Lead Management'!$Q$4:$Q$1003,$B170))</f>
        <v/>
      </c>
      <c r="K170" s="30" t="str">
        <f aca="false">IF($B170="","",COUNTIF(Consultation!$G$4:$G$1003,$B170))</f>
        <v/>
      </c>
      <c r="L170" s="30" t="str">
        <f aca="false">IF($B170="","",COUNTIF(Customers!$K$4:$K$1003,$B170))</f>
        <v/>
      </c>
      <c r="M170" s="34" t="str">
        <f aca="false">IF($B170="","",SUMIF(Customers!$K$4:$K$1003,$B170,Customers!$M$4:$M$1003))</f>
        <v/>
      </c>
      <c r="N170" s="48"/>
      <c r="O170" s="34" t="str">
        <f aca="false">IF($B170="","",$M170*$N170)</f>
        <v/>
      </c>
      <c r="P170" s="35" t="str">
        <f aca="false">IF(OR($B170="",$J170=0),"",$L170/$J170)</f>
        <v/>
      </c>
      <c r="Q170" s="32"/>
    </row>
    <row r="171" customFormat="false" ht="15.75" hidden="false" customHeight="true" outlineLevel="0" collapsed="false">
      <c r="A171" s="27"/>
      <c r="B171" s="28"/>
      <c r="C171" s="28"/>
      <c r="D171" s="27"/>
      <c r="E171" s="28"/>
      <c r="F171" s="28"/>
      <c r="G171" s="29"/>
      <c r="H171" s="27"/>
      <c r="I171" s="41"/>
      <c r="J171" s="30" t="str">
        <f aca="false">IF($B171="","",COUNTIF('Lead Management'!$Q$4:$Q$1003,$B171))</f>
        <v/>
      </c>
      <c r="K171" s="30" t="str">
        <f aca="false">IF($B171="","",COUNTIF(Consultation!$G$4:$G$1003,$B171))</f>
        <v/>
      </c>
      <c r="L171" s="30" t="str">
        <f aca="false">IF($B171="","",COUNTIF(Customers!$K$4:$K$1003,$B171))</f>
        <v/>
      </c>
      <c r="M171" s="34" t="str">
        <f aca="false">IF($B171="","",SUMIF(Customers!$K$4:$K$1003,$B171,Customers!$M$4:$M$1003))</f>
        <v/>
      </c>
      <c r="N171" s="48"/>
      <c r="O171" s="34" t="str">
        <f aca="false">IF($B171="","",$M171*$N171)</f>
        <v/>
      </c>
      <c r="P171" s="35" t="str">
        <f aca="false">IF(OR($B171="",$J171=0),"",$L171/$J171)</f>
        <v/>
      </c>
      <c r="Q171" s="32"/>
    </row>
    <row r="172" customFormat="false" ht="15.75" hidden="false" customHeight="true" outlineLevel="0" collapsed="false">
      <c r="A172" s="27"/>
      <c r="B172" s="28"/>
      <c r="C172" s="28"/>
      <c r="D172" s="27"/>
      <c r="E172" s="28"/>
      <c r="F172" s="28"/>
      <c r="G172" s="29"/>
      <c r="H172" s="27"/>
      <c r="I172" s="41"/>
      <c r="J172" s="30" t="str">
        <f aca="false">IF($B172="","",COUNTIF('Lead Management'!$Q$4:$Q$1003,$B172))</f>
        <v/>
      </c>
      <c r="K172" s="30" t="str">
        <f aca="false">IF($B172="","",COUNTIF(Consultation!$G$4:$G$1003,$B172))</f>
        <v/>
      </c>
      <c r="L172" s="30" t="str">
        <f aca="false">IF($B172="","",COUNTIF(Customers!$K$4:$K$1003,$B172))</f>
        <v/>
      </c>
      <c r="M172" s="34" t="str">
        <f aca="false">IF($B172="","",SUMIF(Customers!$K$4:$K$1003,$B172,Customers!$M$4:$M$1003))</f>
        <v/>
      </c>
      <c r="N172" s="48"/>
      <c r="O172" s="34" t="str">
        <f aca="false">IF($B172="","",$M172*$N172)</f>
        <v/>
      </c>
      <c r="P172" s="35" t="str">
        <f aca="false">IF(OR($B172="",$J172=0),"",$L172/$J172)</f>
        <v/>
      </c>
      <c r="Q172" s="32"/>
    </row>
    <row r="173" customFormat="false" ht="15.75" hidden="false" customHeight="true" outlineLevel="0" collapsed="false">
      <c r="A173" s="27"/>
      <c r="B173" s="28"/>
      <c r="C173" s="28"/>
      <c r="D173" s="27"/>
      <c r="E173" s="28"/>
      <c r="F173" s="28"/>
      <c r="G173" s="29"/>
      <c r="H173" s="27"/>
      <c r="I173" s="41"/>
      <c r="J173" s="30" t="str">
        <f aca="false">IF($B173="","",COUNTIF('Lead Management'!$Q$4:$Q$1003,$B173))</f>
        <v/>
      </c>
      <c r="K173" s="30" t="str">
        <f aca="false">IF($B173="","",COUNTIF(Consultation!$G$4:$G$1003,$B173))</f>
        <v/>
      </c>
      <c r="L173" s="30" t="str">
        <f aca="false">IF($B173="","",COUNTIF(Customers!$K$4:$K$1003,$B173))</f>
        <v/>
      </c>
      <c r="M173" s="34" t="str">
        <f aca="false">IF($B173="","",SUMIF(Customers!$K$4:$K$1003,$B173,Customers!$M$4:$M$1003))</f>
        <v/>
      </c>
      <c r="N173" s="48"/>
      <c r="O173" s="34" t="str">
        <f aca="false">IF($B173="","",$M173*$N173)</f>
        <v/>
      </c>
      <c r="P173" s="35" t="str">
        <f aca="false">IF(OR($B173="",$J173=0),"",$L173/$J173)</f>
        <v/>
      </c>
      <c r="Q173" s="32"/>
    </row>
    <row r="174" customFormat="false" ht="15.75" hidden="false" customHeight="true" outlineLevel="0" collapsed="false">
      <c r="A174" s="27"/>
      <c r="B174" s="28"/>
      <c r="C174" s="28"/>
      <c r="D174" s="27"/>
      <c r="E174" s="28"/>
      <c r="F174" s="28"/>
      <c r="G174" s="29"/>
      <c r="H174" s="27"/>
      <c r="I174" s="41"/>
      <c r="J174" s="30" t="str">
        <f aca="false">IF($B174="","",COUNTIF('Lead Management'!$Q$4:$Q$1003,$B174))</f>
        <v/>
      </c>
      <c r="K174" s="30" t="str">
        <f aca="false">IF($B174="","",COUNTIF(Consultation!$G$4:$G$1003,$B174))</f>
        <v/>
      </c>
      <c r="L174" s="30" t="str">
        <f aca="false">IF($B174="","",COUNTIF(Customers!$K$4:$K$1003,$B174))</f>
        <v/>
      </c>
      <c r="M174" s="34" t="str">
        <f aca="false">IF($B174="","",SUMIF(Customers!$K$4:$K$1003,$B174,Customers!$M$4:$M$1003))</f>
        <v/>
      </c>
      <c r="N174" s="48"/>
      <c r="O174" s="34" t="str">
        <f aca="false">IF($B174="","",$M174*$N174)</f>
        <v/>
      </c>
      <c r="P174" s="35" t="str">
        <f aca="false">IF(OR($B174="",$J174=0),"",$L174/$J174)</f>
        <v/>
      </c>
      <c r="Q174" s="32"/>
    </row>
    <row r="175" customFormat="false" ht="15.75" hidden="false" customHeight="true" outlineLevel="0" collapsed="false">
      <c r="A175" s="27"/>
      <c r="B175" s="28"/>
      <c r="C175" s="28"/>
      <c r="D175" s="27"/>
      <c r="E175" s="28"/>
      <c r="F175" s="28"/>
      <c r="G175" s="29"/>
      <c r="H175" s="27"/>
      <c r="I175" s="41"/>
      <c r="J175" s="30" t="str">
        <f aca="false">IF($B175="","",COUNTIF('Lead Management'!$Q$4:$Q$1003,$B175))</f>
        <v/>
      </c>
      <c r="K175" s="30" t="str">
        <f aca="false">IF($B175="","",COUNTIF(Consultation!$G$4:$G$1003,$B175))</f>
        <v/>
      </c>
      <c r="L175" s="30" t="str">
        <f aca="false">IF($B175="","",COUNTIF(Customers!$K$4:$K$1003,$B175))</f>
        <v/>
      </c>
      <c r="M175" s="34" t="str">
        <f aca="false">IF($B175="","",SUMIF(Customers!$K$4:$K$1003,$B175,Customers!$M$4:$M$1003))</f>
        <v/>
      </c>
      <c r="N175" s="48"/>
      <c r="O175" s="34" t="str">
        <f aca="false">IF($B175="","",$M175*$N175)</f>
        <v/>
      </c>
      <c r="P175" s="35" t="str">
        <f aca="false">IF(OR($B175="",$J175=0),"",$L175/$J175)</f>
        <v/>
      </c>
      <c r="Q175" s="32"/>
    </row>
    <row r="176" customFormat="false" ht="15.75" hidden="false" customHeight="true" outlineLevel="0" collapsed="false">
      <c r="A176" s="27"/>
      <c r="B176" s="28"/>
      <c r="C176" s="28"/>
      <c r="D176" s="27"/>
      <c r="E176" s="28"/>
      <c r="F176" s="28"/>
      <c r="G176" s="29"/>
      <c r="H176" s="27"/>
      <c r="I176" s="41"/>
      <c r="J176" s="30" t="str">
        <f aca="false">IF($B176="","",COUNTIF('Lead Management'!$Q$4:$Q$1003,$B176))</f>
        <v/>
      </c>
      <c r="K176" s="30" t="str">
        <f aca="false">IF($B176="","",COUNTIF(Consultation!$G$4:$G$1003,$B176))</f>
        <v/>
      </c>
      <c r="L176" s="30" t="str">
        <f aca="false">IF($B176="","",COUNTIF(Customers!$K$4:$K$1003,$B176))</f>
        <v/>
      </c>
      <c r="M176" s="34" t="str">
        <f aca="false">IF($B176="","",SUMIF(Customers!$K$4:$K$1003,$B176,Customers!$M$4:$M$1003))</f>
        <v/>
      </c>
      <c r="N176" s="48"/>
      <c r="O176" s="34" t="str">
        <f aca="false">IF($B176="","",$M176*$N176)</f>
        <v/>
      </c>
      <c r="P176" s="35" t="str">
        <f aca="false">IF(OR($B176="",$J176=0),"",$L176/$J176)</f>
        <v/>
      </c>
      <c r="Q176" s="32"/>
    </row>
    <row r="177" customFormat="false" ht="15.75" hidden="false" customHeight="true" outlineLevel="0" collapsed="false">
      <c r="A177" s="27"/>
      <c r="B177" s="28"/>
      <c r="C177" s="28"/>
      <c r="D177" s="27"/>
      <c r="E177" s="28"/>
      <c r="F177" s="28"/>
      <c r="G177" s="29"/>
      <c r="H177" s="27"/>
      <c r="I177" s="41"/>
      <c r="J177" s="30" t="str">
        <f aca="false">IF($B177="","",COUNTIF('Lead Management'!$Q$4:$Q$1003,$B177))</f>
        <v/>
      </c>
      <c r="K177" s="30" t="str">
        <f aca="false">IF($B177="","",COUNTIF(Consultation!$G$4:$G$1003,$B177))</f>
        <v/>
      </c>
      <c r="L177" s="30" t="str">
        <f aca="false">IF($B177="","",COUNTIF(Customers!$K$4:$K$1003,$B177))</f>
        <v/>
      </c>
      <c r="M177" s="34" t="str">
        <f aca="false">IF($B177="","",SUMIF(Customers!$K$4:$K$1003,$B177,Customers!$M$4:$M$1003))</f>
        <v/>
      </c>
      <c r="N177" s="48"/>
      <c r="O177" s="34" t="str">
        <f aca="false">IF($B177="","",$M177*$N177)</f>
        <v/>
      </c>
      <c r="P177" s="35" t="str">
        <f aca="false">IF(OR($B177="",$J177=0),"",$L177/$J177)</f>
        <v/>
      </c>
      <c r="Q177" s="32"/>
    </row>
    <row r="178" customFormat="false" ht="15.75" hidden="false" customHeight="true" outlineLevel="0" collapsed="false">
      <c r="A178" s="27"/>
      <c r="B178" s="28"/>
      <c r="C178" s="28"/>
      <c r="D178" s="27"/>
      <c r="E178" s="28"/>
      <c r="F178" s="28"/>
      <c r="G178" s="29"/>
      <c r="H178" s="27"/>
      <c r="I178" s="41"/>
      <c r="J178" s="30" t="str">
        <f aca="false">IF($B178="","",COUNTIF('Lead Management'!$Q$4:$Q$1003,$B178))</f>
        <v/>
      </c>
      <c r="K178" s="30" t="str">
        <f aca="false">IF($B178="","",COUNTIF(Consultation!$G$4:$G$1003,$B178))</f>
        <v/>
      </c>
      <c r="L178" s="30" t="str">
        <f aca="false">IF($B178="","",COUNTIF(Customers!$K$4:$K$1003,$B178))</f>
        <v/>
      </c>
      <c r="M178" s="34" t="str">
        <f aca="false">IF($B178="","",SUMIF(Customers!$K$4:$K$1003,$B178,Customers!$M$4:$M$1003))</f>
        <v/>
      </c>
      <c r="N178" s="48"/>
      <c r="O178" s="34" t="str">
        <f aca="false">IF($B178="","",$M178*$N178)</f>
        <v/>
      </c>
      <c r="P178" s="35" t="str">
        <f aca="false">IF(OR($B178="",$J178=0),"",$L178/$J178)</f>
        <v/>
      </c>
      <c r="Q178" s="32"/>
    </row>
    <row r="179" customFormat="false" ht="15.75" hidden="false" customHeight="true" outlineLevel="0" collapsed="false">
      <c r="A179" s="27"/>
      <c r="B179" s="28"/>
      <c r="C179" s="28"/>
      <c r="D179" s="27"/>
      <c r="E179" s="28"/>
      <c r="F179" s="28"/>
      <c r="G179" s="29"/>
      <c r="H179" s="27"/>
      <c r="I179" s="41"/>
      <c r="J179" s="30" t="str">
        <f aca="false">IF($B179="","",COUNTIF('Lead Management'!$Q$4:$Q$1003,$B179))</f>
        <v/>
      </c>
      <c r="K179" s="30" t="str">
        <f aca="false">IF($B179="","",COUNTIF(Consultation!$G$4:$G$1003,$B179))</f>
        <v/>
      </c>
      <c r="L179" s="30" t="str">
        <f aca="false">IF($B179="","",COUNTIF(Customers!$K$4:$K$1003,$B179))</f>
        <v/>
      </c>
      <c r="M179" s="34" t="str">
        <f aca="false">IF($B179="","",SUMIF(Customers!$K$4:$K$1003,$B179,Customers!$M$4:$M$1003))</f>
        <v/>
      </c>
      <c r="N179" s="48"/>
      <c r="O179" s="34" t="str">
        <f aca="false">IF($B179="","",$M179*$N179)</f>
        <v/>
      </c>
      <c r="P179" s="35" t="str">
        <f aca="false">IF(OR($B179="",$J179=0),"",$L179/$J179)</f>
        <v/>
      </c>
      <c r="Q179" s="32"/>
    </row>
    <row r="180" customFormat="false" ht="15.75" hidden="false" customHeight="true" outlineLevel="0" collapsed="false">
      <c r="A180" s="27"/>
      <c r="B180" s="28"/>
      <c r="C180" s="28"/>
      <c r="D180" s="27"/>
      <c r="E180" s="28"/>
      <c r="F180" s="28"/>
      <c r="G180" s="29"/>
      <c r="H180" s="27"/>
      <c r="I180" s="41"/>
      <c r="J180" s="30" t="str">
        <f aca="false">IF($B180="","",COUNTIF('Lead Management'!$Q$4:$Q$1003,$B180))</f>
        <v/>
      </c>
      <c r="K180" s="30" t="str">
        <f aca="false">IF($B180="","",COUNTIF(Consultation!$G$4:$G$1003,$B180))</f>
        <v/>
      </c>
      <c r="L180" s="30" t="str">
        <f aca="false">IF($B180="","",COUNTIF(Customers!$K$4:$K$1003,$B180))</f>
        <v/>
      </c>
      <c r="M180" s="34" t="str">
        <f aca="false">IF($B180="","",SUMIF(Customers!$K$4:$K$1003,$B180,Customers!$M$4:$M$1003))</f>
        <v/>
      </c>
      <c r="N180" s="48"/>
      <c r="O180" s="34" t="str">
        <f aca="false">IF($B180="","",$M180*$N180)</f>
        <v/>
      </c>
      <c r="P180" s="35" t="str">
        <f aca="false">IF(OR($B180="",$J180=0),"",$L180/$J180)</f>
        <v/>
      </c>
      <c r="Q180" s="32"/>
    </row>
    <row r="181" customFormat="false" ht="15.75" hidden="false" customHeight="true" outlineLevel="0" collapsed="false">
      <c r="A181" s="27"/>
      <c r="B181" s="28"/>
      <c r="C181" s="28"/>
      <c r="D181" s="27"/>
      <c r="E181" s="28"/>
      <c r="F181" s="28"/>
      <c r="G181" s="29"/>
      <c r="H181" s="27"/>
      <c r="I181" s="41"/>
      <c r="J181" s="30" t="str">
        <f aca="false">IF($B181="","",COUNTIF('Lead Management'!$Q$4:$Q$1003,$B181))</f>
        <v/>
      </c>
      <c r="K181" s="30" t="str">
        <f aca="false">IF($B181="","",COUNTIF(Consultation!$G$4:$G$1003,$B181))</f>
        <v/>
      </c>
      <c r="L181" s="30" t="str">
        <f aca="false">IF($B181="","",COUNTIF(Customers!$K$4:$K$1003,$B181))</f>
        <v/>
      </c>
      <c r="M181" s="34" t="str">
        <f aca="false">IF($B181="","",SUMIF(Customers!$K$4:$K$1003,$B181,Customers!$M$4:$M$1003))</f>
        <v/>
      </c>
      <c r="N181" s="48"/>
      <c r="O181" s="34" t="str">
        <f aca="false">IF($B181="","",$M181*$N181)</f>
        <v/>
      </c>
      <c r="P181" s="35" t="str">
        <f aca="false">IF(OR($B181="",$J181=0),"",$L181/$J181)</f>
        <v/>
      </c>
      <c r="Q181" s="32"/>
    </row>
    <row r="182" customFormat="false" ht="15.75" hidden="false" customHeight="true" outlineLevel="0" collapsed="false">
      <c r="A182" s="27"/>
      <c r="B182" s="28"/>
      <c r="C182" s="28"/>
      <c r="D182" s="27"/>
      <c r="E182" s="28"/>
      <c r="F182" s="28"/>
      <c r="G182" s="29"/>
      <c r="H182" s="27"/>
      <c r="I182" s="41"/>
      <c r="J182" s="30" t="str">
        <f aca="false">IF($B182="","",COUNTIF('Lead Management'!$Q$4:$Q$1003,$B182))</f>
        <v/>
      </c>
      <c r="K182" s="30" t="str">
        <f aca="false">IF($B182="","",COUNTIF(Consultation!$G$4:$G$1003,$B182))</f>
        <v/>
      </c>
      <c r="L182" s="30" t="str">
        <f aca="false">IF($B182="","",COUNTIF(Customers!$K$4:$K$1003,$B182))</f>
        <v/>
      </c>
      <c r="M182" s="34" t="str">
        <f aca="false">IF($B182="","",SUMIF(Customers!$K$4:$K$1003,$B182,Customers!$M$4:$M$1003))</f>
        <v/>
      </c>
      <c r="N182" s="48"/>
      <c r="O182" s="34" t="str">
        <f aca="false">IF($B182="","",$M182*$N182)</f>
        <v/>
      </c>
      <c r="P182" s="35" t="str">
        <f aca="false">IF(OR($B182="",$J182=0),"",$L182/$J182)</f>
        <v/>
      </c>
      <c r="Q182" s="32"/>
    </row>
    <row r="183" customFormat="false" ht="15.75" hidden="false" customHeight="true" outlineLevel="0" collapsed="false">
      <c r="A183" s="27"/>
      <c r="B183" s="28"/>
      <c r="C183" s="28"/>
      <c r="D183" s="27"/>
      <c r="E183" s="28"/>
      <c r="F183" s="28"/>
      <c r="G183" s="29"/>
      <c r="H183" s="27"/>
      <c r="I183" s="41"/>
      <c r="J183" s="30" t="str">
        <f aca="false">IF($B183="","",COUNTIF('Lead Management'!$Q$4:$Q$1003,$B183))</f>
        <v/>
      </c>
      <c r="K183" s="30" t="str">
        <f aca="false">IF($B183="","",COUNTIF(Consultation!$G$4:$G$1003,$B183))</f>
        <v/>
      </c>
      <c r="L183" s="30" t="str">
        <f aca="false">IF($B183="","",COUNTIF(Customers!$K$4:$K$1003,$B183))</f>
        <v/>
      </c>
      <c r="M183" s="34" t="str">
        <f aca="false">IF($B183="","",SUMIF(Customers!$K$4:$K$1003,$B183,Customers!$M$4:$M$1003))</f>
        <v/>
      </c>
      <c r="N183" s="48"/>
      <c r="O183" s="34" t="str">
        <f aca="false">IF($B183="","",$M183*$N183)</f>
        <v/>
      </c>
      <c r="P183" s="35" t="str">
        <f aca="false">IF(OR($B183="",$J183=0),"",$L183/$J183)</f>
        <v/>
      </c>
      <c r="Q183" s="32"/>
    </row>
    <row r="184" customFormat="false" ht="15.75" hidden="false" customHeight="true" outlineLevel="0" collapsed="false">
      <c r="A184" s="27"/>
      <c r="B184" s="28"/>
      <c r="C184" s="28"/>
      <c r="D184" s="27"/>
      <c r="E184" s="28"/>
      <c r="F184" s="28"/>
      <c r="G184" s="29"/>
      <c r="H184" s="27"/>
      <c r="I184" s="41"/>
      <c r="J184" s="30" t="str">
        <f aca="false">IF($B184="","",COUNTIF('Lead Management'!$Q$4:$Q$1003,$B184))</f>
        <v/>
      </c>
      <c r="K184" s="30" t="str">
        <f aca="false">IF($B184="","",COUNTIF(Consultation!$G$4:$G$1003,$B184))</f>
        <v/>
      </c>
      <c r="L184" s="30" t="str">
        <f aca="false">IF($B184="","",COUNTIF(Customers!$K$4:$K$1003,$B184))</f>
        <v/>
      </c>
      <c r="M184" s="34" t="str">
        <f aca="false">IF($B184="","",SUMIF(Customers!$K$4:$K$1003,$B184,Customers!$M$4:$M$1003))</f>
        <v/>
      </c>
      <c r="N184" s="48"/>
      <c r="O184" s="34" t="str">
        <f aca="false">IF($B184="","",$M184*$N184)</f>
        <v/>
      </c>
      <c r="P184" s="35" t="str">
        <f aca="false">IF(OR($B184="",$J184=0),"",$L184/$J184)</f>
        <v/>
      </c>
      <c r="Q184" s="32"/>
    </row>
    <row r="185" customFormat="false" ht="15.75" hidden="false" customHeight="true" outlineLevel="0" collapsed="false">
      <c r="A185" s="27"/>
      <c r="B185" s="28"/>
      <c r="C185" s="28"/>
      <c r="D185" s="27"/>
      <c r="E185" s="28"/>
      <c r="F185" s="28"/>
      <c r="G185" s="29"/>
      <c r="H185" s="27"/>
      <c r="I185" s="41"/>
      <c r="J185" s="30" t="str">
        <f aca="false">IF($B185="","",COUNTIF('Lead Management'!$Q$4:$Q$1003,$B185))</f>
        <v/>
      </c>
      <c r="K185" s="30" t="str">
        <f aca="false">IF($B185="","",COUNTIF(Consultation!$G$4:$G$1003,$B185))</f>
        <v/>
      </c>
      <c r="L185" s="30" t="str">
        <f aca="false">IF($B185="","",COUNTIF(Customers!$K$4:$K$1003,$B185))</f>
        <v/>
      </c>
      <c r="M185" s="34" t="str">
        <f aca="false">IF($B185="","",SUMIF(Customers!$K$4:$K$1003,$B185,Customers!$M$4:$M$1003))</f>
        <v/>
      </c>
      <c r="N185" s="48"/>
      <c r="O185" s="34" t="str">
        <f aca="false">IF($B185="","",$M185*$N185)</f>
        <v/>
      </c>
      <c r="P185" s="35" t="str">
        <f aca="false">IF(OR($B185="",$J185=0),"",$L185/$J185)</f>
        <v/>
      </c>
      <c r="Q185" s="32"/>
    </row>
    <row r="186" customFormat="false" ht="15.75" hidden="false" customHeight="true" outlineLevel="0" collapsed="false">
      <c r="A186" s="27"/>
      <c r="B186" s="28"/>
      <c r="C186" s="28"/>
      <c r="D186" s="27"/>
      <c r="E186" s="28"/>
      <c r="F186" s="28"/>
      <c r="G186" s="29"/>
      <c r="H186" s="27"/>
      <c r="I186" s="41"/>
      <c r="J186" s="30" t="str">
        <f aca="false">IF($B186="","",COUNTIF('Lead Management'!$Q$4:$Q$1003,$B186))</f>
        <v/>
      </c>
      <c r="K186" s="30" t="str">
        <f aca="false">IF($B186="","",COUNTIF(Consultation!$G$4:$G$1003,$B186))</f>
        <v/>
      </c>
      <c r="L186" s="30" t="str">
        <f aca="false">IF($B186="","",COUNTIF(Customers!$K$4:$K$1003,$B186))</f>
        <v/>
      </c>
      <c r="M186" s="34" t="str">
        <f aca="false">IF($B186="","",SUMIF(Customers!$K$4:$K$1003,$B186,Customers!$M$4:$M$1003))</f>
        <v/>
      </c>
      <c r="N186" s="48"/>
      <c r="O186" s="34" t="str">
        <f aca="false">IF($B186="","",$M186*$N186)</f>
        <v/>
      </c>
      <c r="P186" s="35" t="str">
        <f aca="false">IF(OR($B186="",$J186=0),"",$L186/$J186)</f>
        <v/>
      </c>
      <c r="Q186" s="32"/>
    </row>
    <row r="187" customFormat="false" ht="15.75" hidden="false" customHeight="true" outlineLevel="0" collapsed="false">
      <c r="A187" s="27"/>
      <c r="B187" s="28"/>
      <c r="C187" s="28"/>
      <c r="D187" s="27"/>
      <c r="E187" s="28"/>
      <c r="F187" s="28"/>
      <c r="G187" s="29"/>
      <c r="H187" s="27"/>
      <c r="I187" s="41"/>
      <c r="J187" s="30" t="str">
        <f aca="false">IF($B187="","",COUNTIF('Lead Management'!$Q$4:$Q$1003,$B187))</f>
        <v/>
      </c>
      <c r="K187" s="30" t="str">
        <f aca="false">IF($B187="","",COUNTIF(Consultation!$G$4:$G$1003,$B187))</f>
        <v/>
      </c>
      <c r="L187" s="30" t="str">
        <f aca="false">IF($B187="","",COUNTIF(Customers!$K$4:$K$1003,$B187))</f>
        <v/>
      </c>
      <c r="M187" s="34" t="str">
        <f aca="false">IF($B187="","",SUMIF(Customers!$K$4:$K$1003,$B187,Customers!$M$4:$M$1003))</f>
        <v/>
      </c>
      <c r="N187" s="48"/>
      <c r="O187" s="34" t="str">
        <f aca="false">IF($B187="","",$M187*$N187)</f>
        <v/>
      </c>
      <c r="P187" s="35" t="str">
        <f aca="false">IF(OR($B187="",$J187=0),"",$L187/$J187)</f>
        <v/>
      </c>
      <c r="Q187" s="32"/>
    </row>
    <row r="188" customFormat="false" ht="15.75" hidden="false" customHeight="true" outlineLevel="0" collapsed="false">
      <c r="A188" s="27"/>
      <c r="B188" s="28"/>
      <c r="C188" s="28"/>
      <c r="D188" s="27"/>
      <c r="E188" s="28"/>
      <c r="F188" s="28"/>
      <c r="G188" s="29"/>
      <c r="H188" s="27"/>
      <c r="I188" s="41"/>
      <c r="J188" s="30" t="str">
        <f aca="false">IF($B188="","",COUNTIF('Lead Management'!$Q$4:$Q$1003,$B188))</f>
        <v/>
      </c>
      <c r="K188" s="30" t="str">
        <f aca="false">IF($B188="","",COUNTIF(Consultation!$G$4:$G$1003,$B188))</f>
        <v/>
      </c>
      <c r="L188" s="30" t="str">
        <f aca="false">IF($B188="","",COUNTIF(Customers!$K$4:$K$1003,$B188))</f>
        <v/>
      </c>
      <c r="M188" s="34" t="str">
        <f aca="false">IF($B188="","",SUMIF(Customers!$K$4:$K$1003,$B188,Customers!$M$4:$M$1003))</f>
        <v/>
      </c>
      <c r="N188" s="48"/>
      <c r="O188" s="34" t="str">
        <f aca="false">IF($B188="","",$M188*$N188)</f>
        <v/>
      </c>
      <c r="P188" s="35" t="str">
        <f aca="false">IF(OR($B188="",$J188=0),"",$L188/$J188)</f>
        <v/>
      </c>
      <c r="Q188" s="32"/>
    </row>
    <row r="189" customFormat="false" ht="15.75" hidden="false" customHeight="true" outlineLevel="0" collapsed="false">
      <c r="A189" s="27"/>
      <c r="B189" s="28"/>
      <c r="C189" s="28"/>
      <c r="D189" s="27"/>
      <c r="E189" s="28"/>
      <c r="F189" s="28"/>
      <c r="G189" s="29"/>
      <c r="H189" s="27"/>
      <c r="I189" s="41"/>
      <c r="J189" s="30" t="str">
        <f aca="false">IF($B189="","",COUNTIF('Lead Management'!$Q$4:$Q$1003,$B189))</f>
        <v/>
      </c>
      <c r="K189" s="30" t="str">
        <f aca="false">IF($B189="","",COUNTIF(Consultation!$G$4:$G$1003,$B189))</f>
        <v/>
      </c>
      <c r="L189" s="30" t="str">
        <f aca="false">IF($B189="","",COUNTIF(Customers!$K$4:$K$1003,$B189))</f>
        <v/>
      </c>
      <c r="M189" s="34" t="str">
        <f aca="false">IF($B189="","",SUMIF(Customers!$K$4:$K$1003,$B189,Customers!$M$4:$M$1003))</f>
        <v/>
      </c>
      <c r="N189" s="48"/>
      <c r="O189" s="34" t="str">
        <f aca="false">IF($B189="","",$M189*$N189)</f>
        <v/>
      </c>
      <c r="P189" s="35" t="str">
        <f aca="false">IF(OR($B189="",$J189=0),"",$L189/$J189)</f>
        <v/>
      </c>
      <c r="Q189" s="32"/>
    </row>
    <row r="190" customFormat="false" ht="15.75" hidden="false" customHeight="true" outlineLevel="0" collapsed="false">
      <c r="A190" s="27"/>
      <c r="B190" s="28"/>
      <c r="C190" s="28"/>
      <c r="D190" s="27"/>
      <c r="E190" s="28"/>
      <c r="F190" s="28"/>
      <c r="G190" s="29"/>
      <c r="H190" s="27"/>
      <c r="I190" s="41"/>
      <c r="J190" s="30" t="str">
        <f aca="false">IF($B190="","",COUNTIF('Lead Management'!$Q$4:$Q$1003,$B190))</f>
        <v/>
      </c>
      <c r="K190" s="30" t="str">
        <f aca="false">IF($B190="","",COUNTIF(Consultation!$G$4:$G$1003,$B190))</f>
        <v/>
      </c>
      <c r="L190" s="30" t="str">
        <f aca="false">IF($B190="","",COUNTIF(Customers!$K$4:$K$1003,$B190))</f>
        <v/>
      </c>
      <c r="M190" s="34" t="str">
        <f aca="false">IF($B190="","",SUMIF(Customers!$K$4:$K$1003,$B190,Customers!$M$4:$M$1003))</f>
        <v/>
      </c>
      <c r="N190" s="48"/>
      <c r="O190" s="34" t="str">
        <f aca="false">IF($B190="","",$M190*$N190)</f>
        <v/>
      </c>
      <c r="P190" s="35" t="str">
        <f aca="false">IF(OR($B190="",$J190=0),"",$L190/$J190)</f>
        <v/>
      </c>
      <c r="Q190" s="32"/>
    </row>
    <row r="191" customFormat="false" ht="15.75" hidden="false" customHeight="true" outlineLevel="0" collapsed="false">
      <c r="A191" s="27"/>
      <c r="B191" s="28"/>
      <c r="C191" s="28"/>
      <c r="D191" s="27"/>
      <c r="E191" s="28"/>
      <c r="F191" s="28"/>
      <c r="G191" s="29"/>
      <c r="H191" s="27"/>
      <c r="I191" s="41"/>
      <c r="J191" s="30" t="str">
        <f aca="false">IF($B191="","",COUNTIF('Lead Management'!$Q$4:$Q$1003,$B191))</f>
        <v/>
      </c>
      <c r="K191" s="30" t="str">
        <f aca="false">IF($B191="","",COUNTIF(Consultation!$G$4:$G$1003,$B191))</f>
        <v/>
      </c>
      <c r="L191" s="30" t="str">
        <f aca="false">IF($B191="","",COUNTIF(Customers!$K$4:$K$1003,$B191))</f>
        <v/>
      </c>
      <c r="M191" s="34" t="str">
        <f aca="false">IF($B191="","",SUMIF(Customers!$K$4:$K$1003,$B191,Customers!$M$4:$M$1003))</f>
        <v/>
      </c>
      <c r="N191" s="48"/>
      <c r="O191" s="34" t="str">
        <f aca="false">IF($B191="","",$M191*$N191)</f>
        <v/>
      </c>
      <c r="P191" s="35" t="str">
        <f aca="false">IF(OR($B191="",$J191=0),"",$L191/$J191)</f>
        <v/>
      </c>
      <c r="Q191" s="32"/>
    </row>
    <row r="192" customFormat="false" ht="15.75" hidden="false" customHeight="true" outlineLevel="0" collapsed="false">
      <c r="A192" s="27"/>
      <c r="B192" s="28"/>
      <c r="C192" s="28"/>
      <c r="D192" s="27"/>
      <c r="E192" s="28"/>
      <c r="F192" s="28"/>
      <c r="G192" s="29"/>
      <c r="H192" s="27"/>
      <c r="I192" s="41"/>
      <c r="J192" s="30" t="str">
        <f aca="false">IF($B192="","",COUNTIF('Lead Management'!$Q$4:$Q$1003,$B192))</f>
        <v/>
      </c>
      <c r="K192" s="30" t="str">
        <f aca="false">IF($B192="","",COUNTIF(Consultation!$G$4:$G$1003,$B192))</f>
        <v/>
      </c>
      <c r="L192" s="30" t="str">
        <f aca="false">IF($B192="","",COUNTIF(Customers!$K$4:$K$1003,$B192))</f>
        <v/>
      </c>
      <c r="M192" s="34" t="str">
        <f aca="false">IF($B192="","",SUMIF(Customers!$K$4:$K$1003,$B192,Customers!$M$4:$M$1003))</f>
        <v/>
      </c>
      <c r="N192" s="48"/>
      <c r="O192" s="34" t="str">
        <f aca="false">IF($B192="","",$M192*$N192)</f>
        <v/>
      </c>
      <c r="P192" s="35" t="str">
        <f aca="false">IF(OR($B192="",$J192=0),"",$L192/$J192)</f>
        <v/>
      </c>
      <c r="Q192" s="32"/>
    </row>
    <row r="193" customFormat="false" ht="15.75" hidden="false" customHeight="true" outlineLevel="0" collapsed="false">
      <c r="A193" s="27"/>
      <c r="B193" s="28"/>
      <c r="C193" s="28"/>
      <c r="D193" s="27"/>
      <c r="E193" s="28"/>
      <c r="F193" s="28"/>
      <c r="G193" s="29"/>
      <c r="H193" s="27"/>
      <c r="I193" s="41"/>
      <c r="J193" s="30" t="str">
        <f aca="false">IF($B193="","",COUNTIF('Lead Management'!$Q$4:$Q$1003,$B193))</f>
        <v/>
      </c>
      <c r="K193" s="30" t="str">
        <f aca="false">IF($B193="","",COUNTIF(Consultation!$G$4:$G$1003,$B193))</f>
        <v/>
      </c>
      <c r="L193" s="30" t="str">
        <f aca="false">IF($B193="","",COUNTIF(Customers!$K$4:$K$1003,$B193))</f>
        <v/>
      </c>
      <c r="M193" s="34" t="str">
        <f aca="false">IF($B193="","",SUMIF(Customers!$K$4:$K$1003,$B193,Customers!$M$4:$M$1003))</f>
        <v/>
      </c>
      <c r="N193" s="48"/>
      <c r="O193" s="34" t="str">
        <f aca="false">IF($B193="","",$M193*$N193)</f>
        <v/>
      </c>
      <c r="P193" s="35" t="str">
        <f aca="false">IF(OR($B193="",$J193=0),"",$L193/$J193)</f>
        <v/>
      </c>
      <c r="Q193" s="32"/>
    </row>
    <row r="194" customFormat="false" ht="15.75" hidden="false" customHeight="true" outlineLevel="0" collapsed="false">
      <c r="A194" s="27"/>
      <c r="B194" s="28"/>
      <c r="C194" s="28"/>
      <c r="D194" s="27"/>
      <c r="E194" s="28"/>
      <c r="F194" s="28"/>
      <c r="G194" s="29"/>
      <c r="H194" s="27"/>
      <c r="I194" s="41"/>
      <c r="J194" s="30" t="str">
        <f aca="false">IF($B194="","",COUNTIF('Lead Management'!$Q$4:$Q$1003,$B194))</f>
        <v/>
      </c>
      <c r="K194" s="30" t="str">
        <f aca="false">IF($B194="","",COUNTIF(Consultation!$G$4:$G$1003,$B194))</f>
        <v/>
      </c>
      <c r="L194" s="30" t="str">
        <f aca="false">IF($B194="","",COUNTIF(Customers!$K$4:$K$1003,$B194))</f>
        <v/>
      </c>
      <c r="M194" s="34" t="str">
        <f aca="false">IF($B194="","",SUMIF(Customers!$K$4:$K$1003,$B194,Customers!$M$4:$M$1003))</f>
        <v/>
      </c>
      <c r="N194" s="48"/>
      <c r="O194" s="34" t="str">
        <f aca="false">IF($B194="","",$M194*$N194)</f>
        <v/>
      </c>
      <c r="P194" s="35" t="str">
        <f aca="false">IF(OR($B194="",$J194=0),"",$L194/$J194)</f>
        <v/>
      </c>
      <c r="Q194" s="32"/>
    </row>
    <row r="195" customFormat="false" ht="15.75" hidden="false" customHeight="true" outlineLevel="0" collapsed="false">
      <c r="A195" s="27"/>
      <c r="B195" s="28"/>
      <c r="C195" s="28"/>
      <c r="D195" s="27"/>
      <c r="E195" s="28"/>
      <c r="F195" s="28"/>
      <c r="G195" s="29"/>
      <c r="H195" s="27"/>
      <c r="I195" s="41"/>
      <c r="J195" s="30" t="str">
        <f aca="false">IF($B195="","",COUNTIF('Lead Management'!$Q$4:$Q$1003,$B195))</f>
        <v/>
      </c>
      <c r="K195" s="30" t="str">
        <f aca="false">IF($B195="","",COUNTIF(Consultation!$G$4:$G$1003,$B195))</f>
        <v/>
      </c>
      <c r="L195" s="30" t="str">
        <f aca="false">IF($B195="","",COUNTIF(Customers!$K$4:$K$1003,$B195))</f>
        <v/>
      </c>
      <c r="M195" s="34" t="str">
        <f aca="false">IF($B195="","",SUMIF(Customers!$K$4:$K$1003,$B195,Customers!$M$4:$M$1003))</f>
        <v/>
      </c>
      <c r="N195" s="48"/>
      <c r="O195" s="34" t="str">
        <f aca="false">IF($B195="","",$M195*$N195)</f>
        <v/>
      </c>
      <c r="P195" s="35" t="str">
        <f aca="false">IF(OR($B195="",$J195=0),"",$L195/$J195)</f>
        <v/>
      </c>
      <c r="Q195" s="32"/>
    </row>
    <row r="196" customFormat="false" ht="15.75" hidden="false" customHeight="true" outlineLevel="0" collapsed="false">
      <c r="A196" s="27"/>
      <c r="B196" s="28"/>
      <c r="C196" s="28"/>
      <c r="D196" s="27"/>
      <c r="E196" s="28"/>
      <c r="F196" s="28"/>
      <c r="G196" s="29"/>
      <c r="H196" s="27"/>
      <c r="I196" s="41"/>
      <c r="J196" s="30" t="str">
        <f aca="false">IF($B196="","",COUNTIF('Lead Management'!$Q$4:$Q$1003,$B196))</f>
        <v/>
      </c>
      <c r="K196" s="30" t="str">
        <f aca="false">IF($B196="","",COUNTIF(Consultation!$G$4:$G$1003,$B196))</f>
        <v/>
      </c>
      <c r="L196" s="30" t="str">
        <f aca="false">IF($B196="","",COUNTIF(Customers!$K$4:$K$1003,$B196))</f>
        <v/>
      </c>
      <c r="M196" s="34" t="str">
        <f aca="false">IF($B196="","",SUMIF(Customers!$K$4:$K$1003,$B196,Customers!$M$4:$M$1003))</f>
        <v/>
      </c>
      <c r="N196" s="48"/>
      <c r="O196" s="34" t="str">
        <f aca="false">IF($B196="","",$M196*$N196)</f>
        <v/>
      </c>
      <c r="P196" s="35" t="str">
        <f aca="false">IF(OR($B196="",$J196=0),"",$L196/$J196)</f>
        <v/>
      </c>
      <c r="Q196" s="32"/>
    </row>
    <row r="197" customFormat="false" ht="15.75" hidden="false" customHeight="true" outlineLevel="0" collapsed="false">
      <c r="A197" s="27"/>
      <c r="B197" s="28"/>
      <c r="C197" s="28"/>
      <c r="D197" s="27"/>
      <c r="E197" s="28"/>
      <c r="F197" s="28"/>
      <c r="G197" s="29"/>
      <c r="H197" s="27"/>
      <c r="I197" s="41"/>
      <c r="J197" s="30" t="str">
        <f aca="false">IF($B197="","",COUNTIF('Lead Management'!$Q$4:$Q$1003,$B197))</f>
        <v/>
      </c>
      <c r="K197" s="30" t="str">
        <f aca="false">IF($B197="","",COUNTIF(Consultation!$G$4:$G$1003,$B197))</f>
        <v/>
      </c>
      <c r="L197" s="30" t="str">
        <f aca="false">IF($B197="","",COUNTIF(Customers!$K$4:$K$1003,$B197))</f>
        <v/>
      </c>
      <c r="M197" s="34" t="str">
        <f aca="false">IF($B197="","",SUMIF(Customers!$K$4:$K$1003,$B197,Customers!$M$4:$M$1003))</f>
        <v/>
      </c>
      <c r="N197" s="48"/>
      <c r="O197" s="34" t="str">
        <f aca="false">IF($B197="","",$M197*$N197)</f>
        <v/>
      </c>
      <c r="P197" s="35" t="str">
        <f aca="false">IF(OR($B197="",$J197=0),"",$L197/$J197)</f>
        <v/>
      </c>
      <c r="Q197" s="32"/>
    </row>
    <row r="198" customFormat="false" ht="15.75" hidden="false" customHeight="true" outlineLevel="0" collapsed="false">
      <c r="A198" s="27"/>
      <c r="B198" s="28"/>
      <c r="C198" s="28"/>
      <c r="D198" s="27"/>
      <c r="E198" s="28"/>
      <c r="F198" s="28"/>
      <c r="G198" s="29"/>
      <c r="H198" s="27"/>
      <c r="I198" s="41"/>
      <c r="J198" s="30" t="str">
        <f aca="false">IF($B198="","",COUNTIF('Lead Management'!$Q$4:$Q$1003,$B198))</f>
        <v/>
      </c>
      <c r="K198" s="30" t="str">
        <f aca="false">IF($B198="","",COUNTIF(Consultation!$G$4:$G$1003,$B198))</f>
        <v/>
      </c>
      <c r="L198" s="30" t="str">
        <f aca="false">IF($B198="","",COUNTIF(Customers!$K$4:$K$1003,$B198))</f>
        <v/>
      </c>
      <c r="M198" s="34" t="str">
        <f aca="false">IF($B198="","",SUMIF(Customers!$K$4:$K$1003,$B198,Customers!$M$4:$M$1003))</f>
        <v/>
      </c>
      <c r="N198" s="48"/>
      <c r="O198" s="34" t="str">
        <f aca="false">IF($B198="","",$M198*$N198)</f>
        <v/>
      </c>
      <c r="P198" s="35" t="str">
        <f aca="false">IF(OR($B198="",$J198=0),"",$L198/$J198)</f>
        <v/>
      </c>
      <c r="Q198" s="32"/>
    </row>
    <row r="199" customFormat="false" ht="15.75" hidden="false" customHeight="true" outlineLevel="0" collapsed="false">
      <c r="A199" s="27"/>
      <c r="B199" s="28"/>
      <c r="C199" s="28"/>
      <c r="D199" s="27"/>
      <c r="E199" s="28"/>
      <c r="F199" s="28"/>
      <c r="G199" s="29"/>
      <c r="H199" s="27"/>
      <c r="I199" s="41"/>
      <c r="J199" s="30" t="str">
        <f aca="false">IF($B199="","",COUNTIF('Lead Management'!$Q$4:$Q$1003,$B199))</f>
        <v/>
      </c>
      <c r="K199" s="30" t="str">
        <f aca="false">IF($B199="","",COUNTIF(Consultation!$G$4:$G$1003,$B199))</f>
        <v/>
      </c>
      <c r="L199" s="30" t="str">
        <f aca="false">IF($B199="","",COUNTIF(Customers!$K$4:$K$1003,$B199))</f>
        <v/>
      </c>
      <c r="M199" s="34" t="str">
        <f aca="false">IF($B199="","",SUMIF(Customers!$K$4:$K$1003,$B199,Customers!$M$4:$M$1003))</f>
        <v/>
      </c>
      <c r="N199" s="48"/>
      <c r="O199" s="34" t="str">
        <f aca="false">IF($B199="","",$M199*$N199)</f>
        <v/>
      </c>
      <c r="P199" s="35" t="str">
        <f aca="false">IF(OR($B199="",$J199=0),"",$L199/$J199)</f>
        <v/>
      </c>
      <c r="Q199" s="32"/>
    </row>
    <row r="200" customFormat="false" ht="15.75" hidden="false" customHeight="true" outlineLevel="0" collapsed="false">
      <c r="A200" s="27"/>
      <c r="B200" s="28"/>
      <c r="C200" s="28"/>
      <c r="D200" s="27"/>
      <c r="E200" s="28"/>
      <c r="F200" s="28"/>
      <c r="G200" s="29"/>
      <c r="H200" s="27"/>
      <c r="I200" s="41"/>
      <c r="J200" s="30" t="str">
        <f aca="false">IF($B200="","",COUNTIF('Lead Management'!$Q$4:$Q$1003,$B200))</f>
        <v/>
      </c>
      <c r="K200" s="30" t="str">
        <f aca="false">IF($B200="","",COUNTIF(Consultation!$G$4:$G$1003,$B200))</f>
        <v/>
      </c>
      <c r="L200" s="30" t="str">
        <f aca="false">IF($B200="","",COUNTIF(Customers!$K$4:$K$1003,$B200))</f>
        <v/>
      </c>
      <c r="M200" s="34" t="str">
        <f aca="false">IF($B200="","",SUMIF(Customers!$K$4:$K$1003,$B200,Customers!$M$4:$M$1003))</f>
        <v/>
      </c>
      <c r="N200" s="48"/>
      <c r="O200" s="34" t="str">
        <f aca="false">IF($B200="","",$M200*$N200)</f>
        <v/>
      </c>
      <c r="P200" s="35" t="str">
        <f aca="false">IF(OR($B200="",$J200=0),"",$L200/$J200)</f>
        <v/>
      </c>
      <c r="Q200" s="32"/>
    </row>
    <row r="201" customFormat="false" ht="15.75" hidden="false" customHeight="true" outlineLevel="0" collapsed="false">
      <c r="A201" s="27"/>
      <c r="B201" s="28"/>
      <c r="C201" s="28"/>
      <c r="D201" s="27"/>
      <c r="E201" s="28"/>
      <c r="F201" s="28"/>
      <c r="G201" s="29"/>
      <c r="H201" s="27"/>
      <c r="I201" s="41"/>
      <c r="J201" s="30" t="str">
        <f aca="false">IF($B201="","",COUNTIF('Lead Management'!$Q$4:$Q$1003,$B201))</f>
        <v/>
      </c>
      <c r="K201" s="30" t="str">
        <f aca="false">IF($B201="","",COUNTIF(Consultation!$G$4:$G$1003,$B201))</f>
        <v/>
      </c>
      <c r="L201" s="30" t="str">
        <f aca="false">IF($B201="","",COUNTIF(Customers!$K$4:$K$1003,$B201))</f>
        <v/>
      </c>
      <c r="M201" s="34" t="str">
        <f aca="false">IF($B201="","",SUMIF(Customers!$K$4:$K$1003,$B201,Customers!$M$4:$M$1003))</f>
        <v/>
      </c>
      <c r="N201" s="48"/>
      <c r="O201" s="34" t="str">
        <f aca="false">IF($B201="","",$M201*$N201)</f>
        <v/>
      </c>
      <c r="P201" s="35" t="str">
        <f aca="false">IF(OR($B201="",$J201=0),"",$L201/$J201)</f>
        <v/>
      </c>
      <c r="Q201" s="32"/>
    </row>
    <row r="202" customFormat="false" ht="15.75" hidden="false" customHeight="true" outlineLevel="0" collapsed="false">
      <c r="A202" s="27"/>
      <c r="B202" s="28"/>
      <c r="C202" s="28"/>
      <c r="D202" s="27"/>
      <c r="E202" s="28"/>
      <c r="F202" s="28"/>
      <c r="G202" s="29"/>
      <c r="H202" s="27"/>
      <c r="I202" s="41"/>
      <c r="J202" s="30" t="str">
        <f aca="false">IF($B202="","",COUNTIF('Lead Management'!$Q$4:$Q$1003,$B202))</f>
        <v/>
      </c>
      <c r="K202" s="30" t="str">
        <f aca="false">IF($B202="","",COUNTIF(Consultation!$G$4:$G$1003,$B202))</f>
        <v/>
      </c>
      <c r="L202" s="30" t="str">
        <f aca="false">IF($B202="","",COUNTIF(Customers!$K$4:$K$1003,$B202))</f>
        <v/>
      </c>
      <c r="M202" s="34" t="str">
        <f aca="false">IF($B202="","",SUMIF(Customers!$K$4:$K$1003,$B202,Customers!$M$4:$M$1003))</f>
        <v/>
      </c>
      <c r="N202" s="48"/>
      <c r="O202" s="34" t="str">
        <f aca="false">IF($B202="","",$M202*$N202)</f>
        <v/>
      </c>
      <c r="P202" s="35" t="str">
        <f aca="false">IF(OR($B202="",$J202=0),"",$L202/$J202)</f>
        <v/>
      </c>
      <c r="Q202" s="32"/>
    </row>
    <row r="203" customFormat="false" ht="15.75" hidden="false" customHeight="true" outlineLevel="0" collapsed="false">
      <c r="A203" s="27"/>
      <c r="B203" s="28"/>
      <c r="C203" s="28"/>
      <c r="D203" s="27"/>
      <c r="E203" s="28"/>
      <c r="F203" s="28"/>
      <c r="G203" s="29"/>
      <c r="H203" s="27"/>
      <c r="I203" s="41"/>
      <c r="J203" s="30" t="str">
        <f aca="false">IF($B203="","",COUNTIF('Lead Management'!$Q$4:$Q$1003,$B203))</f>
        <v/>
      </c>
      <c r="K203" s="30" t="str">
        <f aca="false">IF($B203="","",COUNTIF(Consultation!$G$4:$G$1003,$B203))</f>
        <v/>
      </c>
      <c r="L203" s="30" t="str">
        <f aca="false">IF($B203="","",COUNTIF(Customers!$K$4:$K$1003,$B203))</f>
        <v/>
      </c>
      <c r="M203" s="34" t="str">
        <f aca="false">IF($B203="","",SUMIF(Customers!$K$4:$K$1003,$B203,Customers!$M$4:$M$1003))</f>
        <v/>
      </c>
      <c r="N203" s="48"/>
      <c r="O203" s="34" t="str">
        <f aca="false">IF($B203="","",$M203*$N203)</f>
        <v/>
      </c>
      <c r="P203" s="35" t="str">
        <f aca="false">IF(OR($B203="",$J203=0),"",$L203/$J203)</f>
        <v/>
      </c>
      <c r="Q203" s="32"/>
    </row>
  </sheetData>
  <autoFilter ref="A3:Q203"/>
  <mergeCells count="2">
    <mergeCell ref="A1:Q1"/>
    <mergeCell ref="A2:Q2"/>
  </mergeCells>
  <conditionalFormatting sqref="A4:Q203">
    <cfRule type="expression" priority="2" aboveAverage="0" equalAverage="0" bottom="0" percent="0" rank="0" text="" dxfId="17">
      <formula>MOD(ROW(),2)=0</formula>
    </cfRule>
  </conditionalFormatting>
  <conditionalFormatting sqref="H4:H203">
    <cfRule type="cellIs" priority="3" operator="equal" aboveAverage="0" equalAverage="0" bottom="0" percent="0" rank="0" text="" dxfId="19">
      <formula>"Active"</formula>
    </cfRule>
    <cfRule type="cellIs" priority="4" operator="equal" aboveAverage="0" equalAverage="0" bottom="0" percent="0" rank="0" text="" dxfId="20">
      <formula>"On Leave"</formula>
    </cfRule>
    <cfRule type="cellIs" priority="5" operator="equal" aboveAverage="0" equalAverage="0" bottom="0" percent="0" rank="0" text="" dxfId="18">
      <formula>"Probation"</formula>
    </cfRule>
    <cfRule type="cellIs" priority="6" operator="equal" aboveAverage="0" equalAverage="0" bottom="0" percent="0" rank="0" text="" dxfId="22">
      <formula>"Resigned"</formula>
    </cfRule>
  </conditionalFormatting>
  <conditionalFormatting sqref="P4:P203">
    <cfRule type="dataBar" priority="7">
      <dataBar showValue="1" minLength="10" maxLength="90">
        <cfvo type="num" val="0"/>
        <cfvo type="num" val="1"/>
        <color rgb="FF2E5C8A"/>
      </dataBar>
      <extLst>
        <ext xmlns:x14="http://schemas.microsoft.com/office/spreadsheetml/2009/9/main" uri="{B025F937-C7B1-47D3-B67F-A62EFF666E3E}">
          <x14:id>{16B0CECB-F242-4ED2-B88D-6EE673B06923}</x14:id>
        </ext>
      </extLst>
    </cfRule>
  </conditionalFormatting>
  <dataValidations count="3">
    <dataValidation allowBlank="true" error="Please choose one of the values from the drop-down list." errorStyle="stop" errorTitle="Invalid entry" operator="between" showDropDown="false" showErrorMessage="false" showInputMessage="false" sqref="C4:C203" type="list">
      <formula1>Settings!$P$32:$P$39</formula1>
      <formula2>0</formula2>
    </dataValidation>
    <dataValidation allowBlank="true" error="Please choose one of the values from the drop-down list." errorStyle="stop" errorTitle="Invalid entry" operator="between" showDropDown="false" showErrorMessage="false" showInputMessage="false" sqref="H4:H203" type="list">
      <formula1>"Active,On Leave,Probation,Resigned"</formula1>
      <formula2>0</formula2>
    </dataValidation>
    <dataValidation allowBlank="true" error="Enter a valid date (dd/mm/yyyy)." errorStyle="stop" errorTitle="Invalid date" operator="between" showDropDown="false" showErrorMessage="false" showInputMessage="false" sqref="G4:G203" type="date">
      <formula1>DATE(2020,1,1)</formula1>
      <formula2>DATE(2100,12,31)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16B0CECB-F242-4ED2-B88D-6EE673B06923}">
            <x14:dataBar minLength="10" maxLength="90" axisPosition="none" gradient="true">
              <x14:cfvo type="num">
                <xm:f>0</xm:f>
              </x14:cfvo>
              <x14:cfvo type="num">
                <xm:f>1</xm:f>
              </x14:cfvo>
              <x14:negativeFillColor rgb="FF2E5C8A"/>
              <x14:axisColor rgb="FF000000"/>
            </x14:dataBar>
          </x14:cfRule>
          <xm:sqref>P4:P203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S20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2734375" defaultRowHeight="15" customHeight="false"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13"/>
    <col collapsed="false" customWidth="true" hidden="false" outlineLevel="0" max="5" min="4" style="0" width="12"/>
    <col collapsed="false" customWidth="true" hidden="false" outlineLevel="0" max="6" min="6" style="0" width="15"/>
    <col collapsed="false" customWidth="true" hidden="false" outlineLevel="0" max="7" min="7" style="0" width="17"/>
    <col collapsed="false" customWidth="true" hidden="false" outlineLevel="0" max="8" min="8" style="0" width="13"/>
    <col collapsed="false" customWidth="true" hidden="false" outlineLevel="0" max="9" min="9" style="0" width="10"/>
    <col collapsed="false" customWidth="true" hidden="false" outlineLevel="0" max="10" min="10" style="0" width="9"/>
    <col collapsed="false" customWidth="true" hidden="false" outlineLevel="0" max="11" min="11" style="0" width="13"/>
    <col collapsed="false" customWidth="true" hidden="false" outlineLevel="0" max="12" min="12" style="0" width="16"/>
    <col collapsed="false" customWidth="true" hidden="false" outlineLevel="0" max="13" min="13" style="0" width="13"/>
    <col collapsed="false" customWidth="true" hidden="false" outlineLevel="0" max="14" min="14" style="0" width="16"/>
    <col collapsed="false" customWidth="true" hidden="false" outlineLevel="0" max="15" min="15" style="0" width="20"/>
    <col collapsed="false" customWidth="true" hidden="false" outlineLevel="0" max="16" min="16" style="0" width="10"/>
    <col collapsed="false" customWidth="true" hidden="false" outlineLevel="0" max="17" min="17" style="0" width="14"/>
    <col collapsed="false" customWidth="true" hidden="false" outlineLevel="0" max="18" min="18" style="0" width="15"/>
    <col collapsed="false" customWidth="true" hidden="false" outlineLevel="0" max="19" min="19" style="0" width="48"/>
  </cols>
  <sheetData>
    <row r="1" customFormat="false" ht="30" hidden="false" customHeight="true" outlineLevel="0" collapsed="false">
      <c r="A1" s="1" t="s">
        <v>670</v>
      </c>
      <c r="B1" s="1"/>
      <c r="C1" s="1"/>
      <c r="D1" s="1"/>
      <c r="E1" s="1"/>
      <c r="F1" s="1"/>
      <c r="G1" s="1"/>
      <c r="H1" s="1"/>
      <c r="I1" s="1"/>
      <c r="J1" s="1"/>
      <c r="K1" s="1"/>
      <c r="L1" s="1"/>
      <c r="M1" s="1"/>
      <c r="N1" s="1"/>
      <c r="O1" s="1"/>
      <c r="P1" s="1"/>
      <c r="Q1" s="1"/>
      <c r="R1" s="1"/>
      <c r="S1" s="1"/>
    </row>
    <row r="2" customFormat="false" ht="15.75" hidden="false" customHeight="true" outlineLevel="0" collapsed="false">
      <c r="A2" s="2" t="s">
        <v>671</v>
      </c>
      <c r="B2" s="2"/>
      <c r="C2" s="2"/>
      <c r="D2" s="2"/>
      <c r="E2" s="2"/>
      <c r="F2" s="2"/>
      <c r="G2" s="2"/>
      <c r="H2" s="2"/>
      <c r="I2" s="2"/>
      <c r="J2" s="2"/>
      <c r="K2" s="2"/>
      <c r="L2" s="2"/>
      <c r="M2" s="2"/>
      <c r="N2" s="2"/>
      <c r="O2" s="2"/>
      <c r="P2" s="2"/>
      <c r="Q2" s="2"/>
      <c r="R2" s="2"/>
      <c r="S2" s="2"/>
    </row>
    <row r="3" customFormat="false" ht="31.5" hidden="false" customHeight="true" outlineLevel="0" collapsed="false">
      <c r="A3" s="26" t="s">
        <v>672</v>
      </c>
      <c r="B3" s="26" t="s">
        <v>673</v>
      </c>
      <c r="C3" s="26" t="s">
        <v>674</v>
      </c>
      <c r="D3" s="26" t="s">
        <v>675</v>
      </c>
      <c r="E3" s="26" t="s">
        <v>676</v>
      </c>
      <c r="F3" s="26" t="s">
        <v>677</v>
      </c>
      <c r="G3" s="26" t="s">
        <v>678</v>
      </c>
      <c r="H3" s="26" t="s">
        <v>679</v>
      </c>
      <c r="I3" s="26" t="s">
        <v>680</v>
      </c>
      <c r="J3" s="26" t="s">
        <v>681</v>
      </c>
      <c r="K3" s="26" t="s">
        <v>682</v>
      </c>
      <c r="L3" s="26" t="s">
        <v>683</v>
      </c>
      <c r="M3" s="26" t="s">
        <v>684</v>
      </c>
      <c r="N3" s="26" t="s">
        <v>685</v>
      </c>
      <c r="O3" s="26" t="s">
        <v>686</v>
      </c>
      <c r="P3" s="26" t="s">
        <v>687</v>
      </c>
      <c r="Q3" s="26" t="s">
        <v>688</v>
      </c>
      <c r="R3" s="26" t="s">
        <v>689</v>
      </c>
      <c r="S3" s="26" t="s">
        <v>54</v>
      </c>
    </row>
    <row r="4" customFormat="false" ht="15.75" hidden="false" customHeight="true" outlineLevel="0" collapsed="false">
      <c r="A4" s="27" t="s">
        <v>690</v>
      </c>
      <c r="B4" s="28" t="s">
        <v>691</v>
      </c>
      <c r="C4" s="27" t="s">
        <v>66</v>
      </c>
      <c r="D4" s="29" t="n">
        <v>46027</v>
      </c>
      <c r="E4" s="29" t="n">
        <v>46081</v>
      </c>
      <c r="F4" s="41" t="n">
        <v>4500</v>
      </c>
      <c r="G4" s="41" t="n">
        <v>4300</v>
      </c>
      <c r="H4" s="49" t="n">
        <v>182000</v>
      </c>
      <c r="I4" s="49" t="n">
        <v>5460</v>
      </c>
      <c r="J4" s="50" t="n">
        <f aca="false">IF(OR($A4="",$H4=0),"",$I4/$H4)</f>
        <v>0.03</v>
      </c>
      <c r="K4" s="30" t="n">
        <f aca="false">IF($A4="","",COUNTIFS('Lead Management'!$O$4:$O$1003,$C4,'Lead Management'!$P$4:$P$1003,"&gt;="&amp;$D4,'Lead Management'!$P$4:$P$1003,"&lt;="&amp;$E4))</f>
        <v>3</v>
      </c>
      <c r="L4" s="34" t="n">
        <f aca="false">IF(OR($A4="",$K4=0),"",$G4/$K4)</f>
        <v>1433.33333333333</v>
      </c>
      <c r="M4" s="30" t="n">
        <f aca="false">IF($A4="","",COUNTIFS('Lead Management'!$O$4:$O$1003,$C4,'Lead Management'!$P$4:$P$1003,"&gt;="&amp;$D4,'Lead Management'!$P$4:$P$1003,"&lt;="&amp;$E4,'Lead Management'!$V$4:$V$1003,"Yes"))</f>
        <v>3</v>
      </c>
      <c r="N4" s="30" t="n">
        <f aca="false">IF($A4="","",COUNTIFS(Customers!$S$4:$S$1003,$C4,Customers!$T$4:$T$1003,"&gt;="&amp;$D4,Customers!$T$4:$T$1003,"&lt;="&amp;$E4))</f>
        <v>3</v>
      </c>
      <c r="O4" s="34" t="n">
        <f aca="false">IF($A4="","",SUMIFS(Customers!$M$4:$M$1003,Customers!$S$4:$S$1003,$C4,Customers!$T$4:$T$1003,"&gt;="&amp;$D4,Customers!$T$4:$T$1003,"&lt;="&amp;$E4))</f>
        <v>76000</v>
      </c>
      <c r="P4" s="35" t="n">
        <f aca="false">IF(OR($A4="",$G4=0),"",($O4-$G4)/$G4)</f>
        <v>16.6744186046512</v>
      </c>
      <c r="Q4" s="35" t="n">
        <f aca="false">IF(OR($A4="",$K4=0),"",$N4/$K4)</f>
        <v>1</v>
      </c>
      <c r="R4" s="27" t="s">
        <v>275</v>
      </c>
      <c r="S4" s="32" t="s">
        <v>692</v>
      </c>
    </row>
    <row r="5" customFormat="false" ht="15.75" hidden="false" customHeight="true" outlineLevel="0" collapsed="false">
      <c r="A5" s="27" t="s">
        <v>693</v>
      </c>
      <c r="B5" s="28" t="s">
        <v>694</v>
      </c>
      <c r="C5" s="27" t="s">
        <v>66</v>
      </c>
      <c r="D5" s="29" t="n">
        <v>46082</v>
      </c>
      <c r="E5" s="29" t="n">
        <v>46142</v>
      </c>
      <c r="F5" s="41" t="n">
        <v>6000</v>
      </c>
      <c r="G5" s="41" t="n">
        <v>5850</v>
      </c>
      <c r="H5" s="49" t="n">
        <v>246000</v>
      </c>
      <c r="I5" s="49" t="n">
        <v>8610</v>
      </c>
      <c r="J5" s="50" t="n">
        <f aca="false">IF(OR($A5="",$H5=0),"",$I5/$H5)</f>
        <v>0.035</v>
      </c>
      <c r="K5" s="30" t="n">
        <f aca="false">IF($A5="","",COUNTIFS('Lead Management'!$O$4:$O$1003,$C5,'Lead Management'!$P$4:$P$1003,"&gt;="&amp;$D5,'Lead Management'!$P$4:$P$1003,"&lt;="&amp;$E5))</f>
        <v>4</v>
      </c>
      <c r="L5" s="34" t="n">
        <f aca="false">IF(OR($A5="",$K5=0),"",$G5/$K5)</f>
        <v>1462.5</v>
      </c>
      <c r="M5" s="30" t="n">
        <f aca="false">IF($A5="","",COUNTIFS('Lead Management'!$O$4:$O$1003,$C5,'Lead Management'!$P$4:$P$1003,"&gt;="&amp;$D5,'Lead Management'!$P$4:$P$1003,"&lt;="&amp;$E5,'Lead Management'!$V$4:$V$1003,"Yes"))</f>
        <v>4</v>
      </c>
      <c r="N5" s="30" t="n">
        <f aca="false">IF($A5="","",COUNTIFS(Customers!$S$4:$S$1003,$C5,Customers!$T$4:$T$1003,"&gt;="&amp;$D5,Customers!$T$4:$T$1003,"&lt;="&amp;$E5))</f>
        <v>3</v>
      </c>
      <c r="O5" s="34" t="n">
        <f aca="false">IF($A5="","",SUMIFS(Customers!$M$4:$M$1003,Customers!$S$4:$S$1003,$C5,Customers!$T$4:$T$1003,"&gt;="&amp;$D5,Customers!$T$4:$T$1003,"&lt;="&amp;$E5))</f>
        <v>48750</v>
      </c>
      <c r="P5" s="35" t="n">
        <f aca="false">IF(OR($A5="",$G5=0),"",($O5-$G5)/$G5)</f>
        <v>7.33333333333333</v>
      </c>
      <c r="Q5" s="35" t="n">
        <f aca="false">IF(OR($A5="",$K5=0),"",$N5/$K5)</f>
        <v>0.75</v>
      </c>
      <c r="R5" s="27" t="s">
        <v>275</v>
      </c>
      <c r="S5" s="32" t="s">
        <v>695</v>
      </c>
    </row>
    <row r="6" customFormat="false" ht="15.75" hidden="false" customHeight="true" outlineLevel="0" collapsed="false">
      <c r="A6" s="27" t="s">
        <v>696</v>
      </c>
      <c r="B6" s="28" t="s">
        <v>697</v>
      </c>
      <c r="C6" s="27" t="s">
        <v>89</v>
      </c>
      <c r="D6" s="29" t="n">
        <v>46054</v>
      </c>
      <c r="E6" s="29" t="n">
        <v>46127</v>
      </c>
      <c r="F6" s="41" t="n">
        <v>3200</v>
      </c>
      <c r="G6" s="41" t="n">
        <v>3050</v>
      </c>
      <c r="H6" s="49" t="n">
        <v>121000</v>
      </c>
      <c r="I6" s="49" t="n">
        <v>3388</v>
      </c>
      <c r="J6" s="50" t="n">
        <f aca="false">IF(OR($A6="",$H6=0),"",$I6/$H6)</f>
        <v>0.028</v>
      </c>
      <c r="K6" s="30" t="n">
        <f aca="false">IF($A6="","",COUNTIFS('Lead Management'!$O$4:$O$1003,$C6,'Lead Management'!$P$4:$P$1003,"&gt;="&amp;$D6,'Lead Management'!$P$4:$P$1003,"&lt;="&amp;$E6))</f>
        <v>3</v>
      </c>
      <c r="L6" s="34" t="n">
        <f aca="false">IF(OR($A6="",$K6=0),"",$G6/$K6)</f>
        <v>1016.66666666667</v>
      </c>
      <c r="M6" s="30" t="n">
        <f aca="false">IF($A6="","",COUNTIFS('Lead Management'!$O$4:$O$1003,$C6,'Lead Management'!$P$4:$P$1003,"&gt;="&amp;$D6,'Lead Management'!$P$4:$P$1003,"&lt;="&amp;$E6,'Lead Management'!$V$4:$V$1003,"Yes"))</f>
        <v>3</v>
      </c>
      <c r="N6" s="30" t="n">
        <f aca="false">IF($A6="","",COUNTIFS(Customers!$S$4:$S$1003,$C6,Customers!$T$4:$T$1003,"&gt;="&amp;$D6,Customers!$T$4:$T$1003,"&lt;="&amp;$E6))</f>
        <v>2</v>
      </c>
      <c r="O6" s="34" t="n">
        <f aca="false">IF($A6="","",SUMIFS(Customers!$M$4:$M$1003,Customers!$S$4:$S$1003,$C6,Customers!$T$4:$T$1003,"&gt;="&amp;$D6,Customers!$T$4:$T$1003,"&lt;="&amp;$E6))</f>
        <v>37500</v>
      </c>
      <c r="P6" s="35" t="n">
        <f aca="false">IF(OR($A6="",$G6=0),"",($O6-$G6)/$G6)</f>
        <v>11.2950819672131</v>
      </c>
      <c r="Q6" s="35" t="n">
        <f aca="false">IF(OR($A6="",$K6=0),"",$N6/$K6)</f>
        <v>0.666666666666667</v>
      </c>
      <c r="R6" s="27" t="s">
        <v>275</v>
      </c>
      <c r="S6" s="32" t="s">
        <v>698</v>
      </c>
    </row>
    <row r="7" customFormat="false" ht="15.75" hidden="false" customHeight="true" outlineLevel="0" collapsed="false">
      <c r="A7" s="27" t="s">
        <v>699</v>
      </c>
      <c r="B7" s="28" t="s">
        <v>700</v>
      </c>
      <c r="C7" s="27" t="s">
        <v>107</v>
      </c>
      <c r="D7" s="29" t="n">
        <v>46023</v>
      </c>
      <c r="E7" s="29" t="n">
        <v>46234</v>
      </c>
      <c r="F7" s="41" t="n">
        <v>2800</v>
      </c>
      <c r="G7" s="41" t="n">
        <v>2400</v>
      </c>
      <c r="H7" s="49" t="n">
        <v>64000</v>
      </c>
      <c r="I7" s="49" t="n">
        <v>2560</v>
      </c>
      <c r="J7" s="50" t="n">
        <f aca="false">IF(OR($A7="",$H7=0),"",$I7/$H7)</f>
        <v>0.04</v>
      </c>
      <c r="K7" s="30" t="n">
        <f aca="false">IF($A7="","",COUNTIFS('Lead Management'!$O$4:$O$1003,$C7,'Lead Management'!$P$4:$P$1003,"&gt;="&amp;$D7,'Lead Management'!$P$4:$P$1003,"&lt;="&amp;$E7))</f>
        <v>5</v>
      </c>
      <c r="L7" s="34" t="n">
        <f aca="false">IF(OR($A7="",$K7=0),"",$G7/$K7)</f>
        <v>480</v>
      </c>
      <c r="M7" s="30" t="n">
        <f aca="false">IF($A7="","",COUNTIFS('Lead Management'!$O$4:$O$1003,$C7,'Lead Management'!$P$4:$P$1003,"&gt;="&amp;$D7,'Lead Management'!$P$4:$P$1003,"&lt;="&amp;$E7,'Lead Management'!$V$4:$V$1003,"Yes"))</f>
        <v>3</v>
      </c>
      <c r="N7" s="30" t="n">
        <f aca="false">IF($A7="","",COUNTIFS(Customers!$S$4:$S$1003,$C7,Customers!$T$4:$T$1003,"&gt;="&amp;$D7,Customers!$T$4:$T$1003,"&lt;="&amp;$E7))</f>
        <v>2</v>
      </c>
      <c r="O7" s="34" t="n">
        <f aca="false">IF($A7="","",SUMIFS(Customers!$M$4:$M$1003,Customers!$S$4:$S$1003,$C7,Customers!$T$4:$T$1003,"&gt;="&amp;$D7,Customers!$T$4:$T$1003,"&lt;="&amp;$E7))</f>
        <v>29500</v>
      </c>
      <c r="P7" s="35" t="n">
        <f aca="false">IF(OR($A7="",$G7=0),"",($O7-$G7)/$G7)</f>
        <v>11.2916666666667</v>
      </c>
      <c r="Q7" s="35" t="n">
        <f aca="false">IF(OR($A7="",$K7=0),"",$N7/$K7)</f>
        <v>0.4</v>
      </c>
      <c r="R7" s="27" t="s">
        <v>351</v>
      </c>
      <c r="S7" s="32" t="s">
        <v>701</v>
      </c>
    </row>
    <row r="8" customFormat="false" ht="15.75" hidden="false" customHeight="true" outlineLevel="0" collapsed="false">
      <c r="A8" s="27" t="s">
        <v>702</v>
      </c>
      <c r="B8" s="28" t="s">
        <v>703</v>
      </c>
      <c r="C8" s="27" t="s">
        <v>114</v>
      </c>
      <c r="D8" s="29" t="n">
        <v>46054</v>
      </c>
      <c r="E8" s="29" t="n">
        <v>46234</v>
      </c>
      <c r="F8" s="41" t="n">
        <v>1500</v>
      </c>
      <c r="G8" s="41" t="n">
        <v>1400</v>
      </c>
      <c r="H8" s="49" t="n">
        <v>0</v>
      </c>
      <c r="I8" s="49" t="n">
        <v>0</v>
      </c>
      <c r="J8" s="50" t="str">
        <f aca="false">IF(OR($A8="",$H8=0),"",$I8/$H8)</f>
        <v/>
      </c>
      <c r="K8" s="30" t="n">
        <f aca="false">IF($A8="","",COUNTIFS('Lead Management'!$O$4:$O$1003,$C8,'Lead Management'!$P$4:$P$1003,"&gt;="&amp;$D8,'Lead Management'!$P$4:$P$1003,"&lt;="&amp;$E8))</f>
        <v>4</v>
      </c>
      <c r="L8" s="34" t="n">
        <f aca="false">IF(OR($A8="",$K8=0),"",$G8/$K8)</f>
        <v>350</v>
      </c>
      <c r="M8" s="30" t="n">
        <f aca="false">IF($A8="","",COUNTIFS('Lead Management'!$O$4:$O$1003,$C8,'Lead Management'!$P$4:$P$1003,"&gt;="&amp;$D8,'Lead Management'!$P$4:$P$1003,"&lt;="&amp;$E8,'Lead Management'!$V$4:$V$1003,"Yes"))</f>
        <v>2</v>
      </c>
      <c r="N8" s="30" t="n">
        <f aca="false">IF($A8="","",COUNTIFS(Customers!$S$4:$S$1003,$C8,Customers!$T$4:$T$1003,"&gt;="&amp;$D8,Customers!$T$4:$T$1003,"&lt;="&amp;$E8))</f>
        <v>2</v>
      </c>
      <c r="O8" s="34" t="n">
        <f aca="false">IF($A8="","",SUMIFS(Customers!$M$4:$M$1003,Customers!$S$4:$S$1003,$C8,Customers!$T$4:$T$1003,"&gt;="&amp;$D8,Customers!$T$4:$T$1003,"&lt;="&amp;$E8))</f>
        <v>33500</v>
      </c>
      <c r="P8" s="35" t="n">
        <f aca="false">IF(OR($A8="",$G8=0),"",($O8-$G8)/$G8)</f>
        <v>22.9285714285714</v>
      </c>
      <c r="Q8" s="35" t="n">
        <f aca="false">IF(OR($A8="",$K8=0),"",$N8/$K8)</f>
        <v>0.5</v>
      </c>
      <c r="R8" s="27" t="s">
        <v>351</v>
      </c>
      <c r="S8" s="32" t="s">
        <v>704</v>
      </c>
    </row>
    <row r="9" customFormat="false" ht="15.75" hidden="false" customHeight="true" outlineLevel="0" collapsed="false">
      <c r="A9" s="27" t="s">
        <v>705</v>
      </c>
      <c r="B9" s="28" t="s">
        <v>706</v>
      </c>
      <c r="C9" s="27" t="s">
        <v>66</v>
      </c>
      <c r="D9" s="29" t="n">
        <v>46143</v>
      </c>
      <c r="E9" s="29" t="n">
        <v>46234</v>
      </c>
      <c r="F9" s="41" t="n">
        <v>5200</v>
      </c>
      <c r="G9" s="41" t="n">
        <v>2300</v>
      </c>
      <c r="H9" s="49" t="n">
        <v>158000</v>
      </c>
      <c r="I9" s="49" t="n">
        <v>6320</v>
      </c>
      <c r="J9" s="50" t="n">
        <f aca="false">IF(OR($A9="",$H9=0),"",$I9/$H9)</f>
        <v>0.04</v>
      </c>
      <c r="K9" s="30" t="n">
        <f aca="false">IF($A9="","",COUNTIFS('Lead Management'!$O$4:$O$1003,$C9,'Lead Management'!$P$4:$P$1003,"&gt;="&amp;$D9,'Lead Management'!$P$4:$P$1003,"&lt;="&amp;$E9))</f>
        <v>8</v>
      </c>
      <c r="L9" s="34" t="n">
        <f aca="false">IF(OR($A9="",$K9=0),"",$G9/$K9)</f>
        <v>287.5</v>
      </c>
      <c r="M9" s="30" t="n">
        <f aca="false">IF($A9="","",COUNTIFS('Lead Management'!$O$4:$O$1003,$C9,'Lead Management'!$P$4:$P$1003,"&gt;="&amp;$D9,'Lead Management'!$P$4:$P$1003,"&lt;="&amp;$E9,'Lead Management'!$V$4:$V$1003,"Yes"))</f>
        <v>2</v>
      </c>
      <c r="N9" s="30" t="n">
        <f aca="false">IF($A9="","",COUNTIFS(Customers!$S$4:$S$1003,$C9,Customers!$T$4:$T$1003,"&gt;="&amp;$D9,Customers!$T$4:$T$1003,"&lt;="&amp;$E9))</f>
        <v>0</v>
      </c>
      <c r="O9" s="34" t="n">
        <f aca="false">IF($A9="","",SUMIFS(Customers!$M$4:$M$1003,Customers!$S$4:$S$1003,$C9,Customers!$T$4:$T$1003,"&gt;="&amp;$D9,Customers!$T$4:$T$1003,"&lt;="&amp;$E9))</f>
        <v>0</v>
      </c>
      <c r="P9" s="35" t="n">
        <f aca="false">IF(OR($A9="",$G9=0),"",($O9-$G9)/$G9)</f>
        <v>-1</v>
      </c>
      <c r="Q9" s="35" t="n">
        <f aca="false">IF(OR($A9="",$K9=0),"",$N9/$K9)</f>
        <v>0</v>
      </c>
      <c r="R9" s="27" t="s">
        <v>351</v>
      </c>
      <c r="S9" s="32" t="s">
        <v>707</v>
      </c>
    </row>
    <row r="10" customFormat="false" ht="15.75" hidden="false" customHeight="true" outlineLevel="0" collapsed="false">
      <c r="A10" s="27"/>
      <c r="B10" s="28"/>
      <c r="C10" s="27"/>
      <c r="D10" s="29"/>
      <c r="E10" s="29"/>
      <c r="F10" s="41"/>
      <c r="G10" s="41"/>
      <c r="H10" s="49"/>
      <c r="I10" s="49"/>
      <c r="J10" s="50" t="str">
        <f aca="false">IF(OR($A10="",$H10=0),"",$I10/$H10)</f>
        <v/>
      </c>
      <c r="K10" s="30" t="str">
        <f aca="false">IF($A10="","",COUNTIFS('Lead Management'!$O$4:$O$1003,$C10,'Lead Management'!$P$4:$P$1003,"&gt;="&amp;$D10,'Lead Management'!$P$4:$P$1003,"&lt;="&amp;$E10))</f>
        <v/>
      </c>
      <c r="L10" s="34" t="str">
        <f aca="false">IF(OR($A10="",$K10=0),"",$G10/$K10)</f>
        <v/>
      </c>
      <c r="M10" s="30" t="str">
        <f aca="false">IF($A10="","",COUNTIFS('Lead Management'!$O$4:$O$1003,$C10,'Lead Management'!$P$4:$P$1003,"&gt;="&amp;$D10,'Lead Management'!$P$4:$P$1003,"&lt;="&amp;$E10,'Lead Management'!$V$4:$V$1003,"Yes"))</f>
        <v/>
      </c>
      <c r="N10" s="30" t="str">
        <f aca="false">IF($A10="","",COUNTIFS(Customers!$S$4:$S$1003,$C10,Customers!$T$4:$T$1003,"&gt;="&amp;$D10,Customers!$T$4:$T$1003,"&lt;="&amp;$E10))</f>
        <v/>
      </c>
      <c r="O10" s="34" t="str">
        <f aca="false">IF($A10="","",SUMIFS(Customers!$M$4:$M$1003,Customers!$S$4:$S$1003,$C10,Customers!$T$4:$T$1003,"&gt;="&amp;$D10,Customers!$T$4:$T$1003,"&lt;="&amp;$E10))</f>
        <v/>
      </c>
      <c r="P10" s="35" t="str">
        <f aca="false">IF(OR($A10="",$G10=0),"",($O10-$G10)/$G10)</f>
        <v/>
      </c>
      <c r="Q10" s="35" t="str">
        <f aca="false">IF(OR($A10="",$K10=0),"",$N10/$K10)</f>
        <v/>
      </c>
      <c r="R10" s="27"/>
      <c r="S10" s="32"/>
    </row>
    <row r="11" customFormat="false" ht="15.75" hidden="false" customHeight="true" outlineLevel="0" collapsed="false">
      <c r="A11" s="27"/>
      <c r="B11" s="28"/>
      <c r="C11" s="27"/>
      <c r="D11" s="29"/>
      <c r="E11" s="29"/>
      <c r="F11" s="41"/>
      <c r="G11" s="41"/>
      <c r="H11" s="49"/>
      <c r="I11" s="49"/>
      <c r="J11" s="50" t="str">
        <f aca="false">IF(OR($A11="",$H11=0),"",$I11/$H11)</f>
        <v/>
      </c>
      <c r="K11" s="30" t="str">
        <f aca="false">IF($A11="","",COUNTIFS('Lead Management'!$O$4:$O$1003,$C11,'Lead Management'!$P$4:$P$1003,"&gt;="&amp;$D11,'Lead Management'!$P$4:$P$1003,"&lt;="&amp;$E11))</f>
        <v/>
      </c>
      <c r="L11" s="34" t="str">
        <f aca="false">IF(OR($A11="",$K11=0),"",$G11/$K11)</f>
        <v/>
      </c>
      <c r="M11" s="30" t="str">
        <f aca="false">IF($A11="","",COUNTIFS('Lead Management'!$O$4:$O$1003,$C11,'Lead Management'!$P$4:$P$1003,"&gt;="&amp;$D11,'Lead Management'!$P$4:$P$1003,"&lt;="&amp;$E11,'Lead Management'!$V$4:$V$1003,"Yes"))</f>
        <v/>
      </c>
      <c r="N11" s="30" t="str">
        <f aca="false">IF($A11="","",COUNTIFS(Customers!$S$4:$S$1003,$C11,Customers!$T$4:$T$1003,"&gt;="&amp;$D11,Customers!$T$4:$T$1003,"&lt;="&amp;$E11))</f>
        <v/>
      </c>
      <c r="O11" s="34" t="str">
        <f aca="false">IF($A11="","",SUMIFS(Customers!$M$4:$M$1003,Customers!$S$4:$S$1003,$C11,Customers!$T$4:$T$1003,"&gt;="&amp;$D11,Customers!$T$4:$T$1003,"&lt;="&amp;$E11))</f>
        <v/>
      </c>
      <c r="P11" s="35" t="str">
        <f aca="false">IF(OR($A11="",$G11=0),"",($O11-$G11)/$G11)</f>
        <v/>
      </c>
      <c r="Q11" s="35" t="str">
        <f aca="false">IF(OR($A11="",$K11=0),"",$N11/$K11)</f>
        <v/>
      </c>
      <c r="R11" s="27"/>
      <c r="S11" s="32"/>
    </row>
    <row r="12" customFormat="false" ht="15.75" hidden="false" customHeight="true" outlineLevel="0" collapsed="false">
      <c r="A12" s="27"/>
      <c r="B12" s="28"/>
      <c r="C12" s="27"/>
      <c r="D12" s="29"/>
      <c r="E12" s="29"/>
      <c r="F12" s="41"/>
      <c r="G12" s="41"/>
      <c r="H12" s="49"/>
      <c r="I12" s="49"/>
      <c r="J12" s="50" t="str">
        <f aca="false">IF(OR($A12="",$H12=0),"",$I12/$H12)</f>
        <v/>
      </c>
      <c r="K12" s="30" t="str">
        <f aca="false">IF($A12="","",COUNTIFS('Lead Management'!$O$4:$O$1003,$C12,'Lead Management'!$P$4:$P$1003,"&gt;="&amp;$D12,'Lead Management'!$P$4:$P$1003,"&lt;="&amp;$E12))</f>
        <v/>
      </c>
      <c r="L12" s="34" t="str">
        <f aca="false">IF(OR($A12="",$K12=0),"",$G12/$K12)</f>
        <v/>
      </c>
      <c r="M12" s="30" t="str">
        <f aca="false">IF($A12="","",COUNTIFS('Lead Management'!$O$4:$O$1003,$C12,'Lead Management'!$P$4:$P$1003,"&gt;="&amp;$D12,'Lead Management'!$P$4:$P$1003,"&lt;="&amp;$E12,'Lead Management'!$V$4:$V$1003,"Yes"))</f>
        <v/>
      </c>
      <c r="N12" s="30" t="str">
        <f aca="false">IF($A12="","",COUNTIFS(Customers!$S$4:$S$1003,$C12,Customers!$T$4:$T$1003,"&gt;="&amp;$D12,Customers!$T$4:$T$1003,"&lt;="&amp;$E12))</f>
        <v/>
      </c>
      <c r="O12" s="34" t="str">
        <f aca="false">IF($A12="","",SUMIFS(Customers!$M$4:$M$1003,Customers!$S$4:$S$1003,$C12,Customers!$T$4:$T$1003,"&gt;="&amp;$D12,Customers!$T$4:$T$1003,"&lt;="&amp;$E12))</f>
        <v/>
      </c>
      <c r="P12" s="35" t="str">
        <f aca="false">IF(OR($A12="",$G12=0),"",($O12-$G12)/$G12)</f>
        <v/>
      </c>
      <c r="Q12" s="35" t="str">
        <f aca="false">IF(OR($A12="",$K12=0),"",$N12/$K12)</f>
        <v/>
      </c>
      <c r="R12" s="27"/>
      <c r="S12" s="32"/>
    </row>
    <row r="13" customFormat="false" ht="15.75" hidden="false" customHeight="true" outlineLevel="0" collapsed="false">
      <c r="A13" s="27"/>
      <c r="B13" s="28"/>
      <c r="C13" s="27"/>
      <c r="D13" s="29"/>
      <c r="E13" s="29"/>
      <c r="F13" s="41"/>
      <c r="G13" s="41"/>
      <c r="H13" s="49"/>
      <c r="I13" s="49"/>
      <c r="J13" s="50" t="str">
        <f aca="false">IF(OR($A13="",$H13=0),"",$I13/$H13)</f>
        <v/>
      </c>
      <c r="K13" s="30" t="str">
        <f aca="false">IF($A13="","",COUNTIFS('Lead Management'!$O$4:$O$1003,$C13,'Lead Management'!$P$4:$P$1003,"&gt;="&amp;$D13,'Lead Management'!$P$4:$P$1003,"&lt;="&amp;$E13))</f>
        <v/>
      </c>
      <c r="L13" s="34" t="str">
        <f aca="false">IF(OR($A13="",$K13=0),"",$G13/$K13)</f>
        <v/>
      </c>
      <c r="M13" s="30" t="str">
        <f aca="false">IF($A13="","",COUNTIFS('Lead Management'!$O$4:$O$1003,$C13,'Lead Management'!$P$4:$P$1003,"&gt;="&amp;$D13,'Lead Management'!$P$4:$P$1003,"&lt;="&amp;$E13,'Lead Management'!$V$4:$V$1003,"Yes"))</f>
        <v/>
      </c>
      <c r="N13" s="30" t="str">
        <f aca="false">IF($A13="","",COUNTIFS(Customers!$S$4:$S$1003,$C13,Customers!$T$4:$T$1003,"&gt;="&amp;$D13,Customers!$T$4:$T$1003,"&lt;="&amp;$E13))</f>
        <v/>
      </c>
      <c r="O13" s="34" t="str">
        <f aca="false">IF($A13="","",SUMIFS(Customers!$M$4:$M$1003,Customers!$S$4:$S$1003,$C13,Customers!$T$4:$T$1003,"&gt;="&amp;$D13,Customers!$T$4:$T$1003,"&lt;="&amp;$E13))</f>
        <v/>
      </c>
      <c r="P13" s="35" t="str">
        <f aca="false">IF(OR($A13="",$G13=0),"",($O13-$G13)/$G13)</f>
        <v/>
      </c>
      <c r="Q13" s="35" t="str">
        <f aca="false">IF(OR($A13="",$K13=0),"",$N13/$K13)</f>
        <v/>
      </c>
      <c r="R13" s="27"/>
      <c r="S13" s="32"/>
    </row>
    <row r="14" customFormat="false" ht="15.75" hidden="false" customHeight="true" outlineLevel="0" collapsed="false">
      <c r="A14" s="27"/>
      <c r="B14" s="28"/>
      <c r="C14" s="27"/>
      <c r="D14" s="29"/>
      <c r="E14" s="29"/>
      <c r="F14" s="41"/>
      <c r="G14" s="41"/>
      <c r="H14" s="49"/>
      <c r="I14" s="49"/>
      <c r="J14" s="50" t="str">
        <f aca="false">IF(OR($A14="",$H14=0),"",$I14/$H14)</f>
        <v/>
      </c>
      <c r="K14" s="30" t="str">
        <f aca="false">IF($A14="","",COUNTIFS('Lead Management'!$O$4:$O$1003,$C14,'Lead Management'!$P$4:$P$1003,"&gt;="&amp;$D14,'Lead Management'!$P$4:$P$1003,"&lt;="&amp;$E14))</f>
        <v/>
      </c>
      <c r="L14" s="34" t="str">
        <f aca="false">IF(OR($A14="",$K14=0),"",$G14/$K14)</f>
        <v/>
      </c>
      <c r="M14" s="30" t="str">
        <f aca="false">IF($A14="","",COUNTIFS('Lead Management'!$O$4:$O$1003,$C14,'Lead Management'!$P$4:$P$1003,"&gt;="&amp;$D14,'Lead Management'!$P$4:$P$1003,"&lt;="&amp;$E14,'Lead Management'!$V$4:$V$1003,"Yes"))</f>
        <v/>
      </c>
      <c r="N14" s="30" t="str">
        <f aca="false">IF($A14="","",COUNTIFS(Customers!$S$4:$S$1003,$C14,Customers!$T$4:$T$1003,"&gt;="&amp;$D14,Customers!$T$4:$T$1003,"&lt;="&amp;$E14))</f>
        <v/>
      </c>
      <c r="O14" s="34" t="str">
        <f aca="false">IF($A14="","",SUMIFS(Customers!$M$4:$M$1003,Customers!$S$4:$S$1003,$C14,Customers!$T$4:$T$1003,"&gt;="&amp;$D14,Customers!$T$4:$T$1003,"&lt;="&amp;$E14))</f>
        <v/>
      </c>
      <c r="P14" s="35" t="str">
        <f aca="false">IF(OR($A14="",$G14=0),"",($O14-$G14)/$G14)</f>
        <v/>
      </c>
      <c r="Q14" s="35" t="str">
        <f aca="false">IF(OR($A14="",$K14=0),"",$N14/$K14)</f>
        <v/>
      </c>
      <c r="R14" s="27"/>
      <c r="S14" s="32"/>
    </row>
    <row r="15" customFormat="false" ht="15.75" hidden="false" customHeight="true" outlineLevel="0" collapsed="false">
      <c r="A15" s="27"/>
      <c r="B15" s="28"/>
      <c r="C15" s="27"/>
      <c r="D15" s="29"/>
      <c r="E15" s="29"/>
      <c r="F15" s="41"/>
      <c r="G15" s="41"/>
      <c r="H15" s="49"/>
      <c r="I15" s="49"/>
      <c r="J15" s="50" t="str">
        <f aca="false">IF(OR($A15="",$H15=0),"",$I15/$H15)</f>
        <v/>
      </c>
      <c r="K15" s="30" t="str">
        <f aca="false">IF($A15="","",COUNTIFS('Lead Management'!$O$4:$O$1003,$C15,'Lead Management'!$P$4:$P$1003,"&gt;="&amp;$D15,'Lead Management'!$P$4:$P$1003,"&lt;="&amp;$E15))</f>
        <v/>
      </c>
      <c r="L15" s="34" t="str">
        <f aca="false">IF(OR($A15="",$K15=0),"",$G15/$K15)</f>
        <v/>
      </c>
      <c r="M15" s="30" t="str">
        <f aca="false">IF($A15="","",COUNTIFS('Lead Management'!$O$4:$O$1003,$C15,'Lead Management'!$P$4:$P$1003,"&gt;="&amp;$D15,'Lead Management'!$P$4:$P$1003,"&lt;="&amp;$E15,'Lead Management'!$V$4:$V$1003,"Yes"))</f>
        <v/>
      </c>
      <c r="N15" s="30" t="str">
        <f aca="false">IF($A15="","",COUNTIFS(Customers!$S$4:$S$1003,$C15,Customers!$T$4:$T$1003,"&gt;="&amp;$D15,Customers!$T$4:$T$1003,"&lt;="&amp;$E15))</f>
        <v/>
      </c>
      <c r="O15" s="34" t="str">
        <f aca="false">IF($A15="","",SUMIFS(Customers!$M$4:$M$1003,Customers!$S$4:$S$1003,$C15,Customers!$T$4:$T$1003,"&gt;="&amp;$D15,Customers!$T$4:$T$1003,"&lt;="&amp;$E15))</f>
        <v/>
      </c>
      <c r="P15" s="35" t="str">
        <f aca="false">IF(OR($A15="",$G15=0),"",($O15-$G15)/$G15)</f>
        <v/>
      </c>
      <c r="Q15" s="35" t="str">
        <f aca="false">IF(OR($A15="",$K15=0),"",$N15/$K15)</f>
        <v/>
      </c>
      <c r="R15" s="27"/>
      <c r="S15" s="32"/>
    </row>
    <row r="16" customFormat="false" ht="15.75" hidden="false" customHeight="true" outlineLevel="0" collapsed="false">
      <c r="A16" s="27"/>
      <c r="B16" s="28"/>
      <c r="C16" s="27"/>
      <c r="D16" s="29"/>
      <c r="E16" s="29"/>
      <c r="F16" s="41"/>
      <c r="G16" s="41"/>
      <c r="H16" s="49"/>
      <c r="I16" s="49"/>
      <c r="J16" s="50" t="str">
        <f aca="false">IF(OR($A16="",$H16=0),"",$I16/$H16)</f>
        <v/>
      </c>
      <c r="K16" s="30" t="str">
        <f aca="false">IF($A16="","",COUNTIFS('Lead Management'!$O$4:$O$1003,$C16,'Lead Management'!$P$4:$P$1003,"&gt;="&amp;$D16,'Lead Management'!$P$4:$P$1003,"&lt;="&amp;$E16))</f>
        <v/>
      </c>
      <c r="L16" s="34" t="str">
        <f aca="false">IF(OR($A16="",$K16=0),"",$G16/$K16)</f>
        <v/>
      </c>
      <c r="M16" s="30" t="str">
        <f aca="false">IF($A16="","",COUNTIFS('Lead Management'!$O$4:$O$1003,$C16,'Lead Management'!$P$4:$P$1003,"&gt;="&amp;$D16,'Lead Management'!$P$4:$P$1003,"&lt;="&amp;$E16,'Lead Management'!$V$4:$V$1003,"Yes"))</f>
        <v/>
      </c>
      <c r="N16" s="30" t="str">
        <f aca="false">IF($A16="","",COUNTIFS(Customers!$S$4:$S$1003,$C16,Customers!$T$4:$T$1003,"&gt;="&amp;$D16,Customers!$T$4:$T$1003,"&lt;="&amp;$E16))</f>
        <v/>
      </c>
      <c r="O16" s="34" t="str">
        <f aca="false">IF($A16="","",SUMIFS(Customers!$M$4:$M$1003,Customers!$S$4:$S$1003,$C16,Customers!$T$4:$T$1003,"&gt;="&amp;$D16,Customers!$T$4:$T$1003,"&lt;="&amp;$E16))</f>
        <v/>
      </c>
      <c r="P16" s="35" t="str">
        <f aca="false">IF(OR($A16="",$G16=0),"",($O16-$G16)/$G16)</f>
        <v/>
      </c>
      <c r="Q16" s="35" t="str">
        <f aca="false">IF(OR($A16="",$K16=0),"",$N16/$K16)</f>
        <v/>
      </c>
      <c r="R16" s="27"/>
      <c r="S16" s="32"/>
    </row>
    <row r="17" customFormat="false" ht="15.75" hidden="false" customHeight="true" outlineLevel="0" collapsed="false">
      <c r="A17" s="27"/>
      <c r="B17" s="28"/>
      <c r="C17" s="27"/>
      <c r="D17" s="29"/>
      <c r="E17" s="29"/>
      <c r="F17" s="41"/>
      <c r="G17" s="41"/>
      <c r="H17" s="49"/>
      <c r="I17" s="49"/>
      <c r="J17" s="50" t="str">
        <f aca="false">IF(OR($A17="",$H17=0),"",$I17/$H17)</f>
        <v/>
      </c>
      <c r="K17" s="30" t="str">
        <f aca="false">IF($A17="","",COUNTIFS('Lead Management'!$O$4:$O$1003,$C17,'Lead Management'!$P$4:$P$1003,"&gt;="&amp;$D17,'Lead Management'!$P$4:$P$1003,"&lt;="&amp;$E17))</f>
        <v/>
      </c>
      <c r="L17" s="34" t="str">
        <f aca="false">IF(OR($A17="",$K17=0),"",$G17/$K17)</f>
        <v/>
      </c>
      <c r="M17" s="30" t="str">
        <f aca="false">IF($A17="","",COUNTIFS('Lead Management'!$O$4:$O$1003,$C17,'Lead Management'!$P$4:$P$1003,"&gt;="&amp;$D17,'Lead Management'!$P$4:$P$1003,"&lt;="&amp;$E17,'Lead Management'!$V$4:$V$1003,"Yes"))</f>
        <v/>
      </c>
      <c r="N17" s="30" t="str">
        <f aca="false">IF($A17="","",COUNTIFS(Customers!$S$4:$S$1003,$C17,Customers!$T$4:$T$1003,"&gt;="&amp;$D17,Customers!$T$4:$T$1003,"&lt;="&amp;$E17))</f>
        <v/>
      </c>
      <c r="O17" s="34" t="str">
        <f aca="false">IF($A17="","",SUMIFS(Customers!$M$4:$M$1003,Customers!$S$4:$S$1003,$C17,Customers!$T$4:$T$1003,"&gt;="&amp;$D17,Customers!$T$4:$T$1003,"&lt;="&amp;$E17))</f>
        <v/>
      </c>
      <c r="P17" s="35" t="str">
        <f aca="false">IF(OR($A17="",$G17=0),"",($O17-$G17)/$G17)</f>
        <v/>
      </c>
      <c r="Q17" s="35" t="str">
        <f aca="false">IF(OR($A17="",$K17=0),"",$N17/$K17)</f>
        <v/>
      </c>
      <c r="R17" s="27"/>
      <c r="S17" s="32"/>
    </row>
    <row r="18" customFormat="false" ht="15.75" hidden="false" customHeight="true" outlineLevel="0" collapsed="false">
      <c r="A18" s="27"/>
      <c r="B18" s="28"/>
      <c r="C18" s="27"/>
      <c r="D18" s="29"/>
      <c r="E18" s="29"/>
      <c r="F18" s="41"/>
      <c r="G18" s="41"/>
      <c r="H18" s="49"/>
      <c r="I18" s="49"/>
      <c r="J18" s="50" t="str">
        <f aca="false">IF(OR($A18="",$H18=0),"",$I18/$H18)</f>
        <v/>
      </c>
      <c r="K18" s="30" t="str">
        <f aca="false">IF($A18="","",COUNTIFS('Lead Management'!$O$4:$O$1003,$C18,'Lead Management'!$P$4:$P$1003,"&gt;="&amp;$D18,'Lead Management'!$P$4:$P$1003,"&lt;="&amp;$E18))</f>
        <v/>
      </c>
      <c r="L18" s="34" t="str">
        <f aca="false">IF(OR($A18="",$K18=0),"",$G18/$K18)</f>
        <v/>
      </c>
      <c r="M18" s="30" t="str">
        <f aca="false">IF($A18="","",COUNTIFS('Lead Management'!$O$4:$O$1003,$C18,'Lead Management'!$P$4:$P$1003,"&gt;="&amp;$D18,'Lead Management'!$P$4:$P$1003,"&lt;="&amp;$E18,'Lead Management'!$V$4:$V$1003,"Yes"))</f>
        <v/>
      </c>
      <c r="N18" s="30" t="str">
        <f aca="false">IF($A18="","",COUNTIFS(Customers!$S$4:$S$1003,$C18,Customers!$T$4:$T$1003,"&gt;="&amp;$D18,Customers!$T$4:$T$1003,"&lt;="&amp;$E18))</f>
        <v/>
      </c>
      <c r="O18" s="34" t="str">
        <f aca="false">IF($A18="","",SUMIFS(Customers!$M$4:$M$1003,Customers!$S$4:$S$1003,$C18,Customers!$T$4:$T$1003,"&gt;="&amp;$D18,Customers!$T$4:$T$1003,"&lt;="&amp;$E18))</f>
        <v/>
      </c>
      <c r="P18" s="35" t="str">
        <f aca="false">IF(OR($A18="",$G18=0),"",($O18-$G18)/$G18)</f>
        <v/>
      </c>
      <c r="Q18" s="35" t="str">
        <f aca="false">IF(OR($A18="",$K18=0),"",$N18/$K18)</f>
        <v/>
      </c>
      <c r="R18" s="27"/>
      <c r="S18" s="32"/>
    </row>
    <row r="19" customFormat="false" ht="15.75" hidden="false" customHeight="true" outlineLevel="0" collapsed="false">
      <c r="A19" s="27"/>
      <c r="B19" s="28"/>
      <c r="C19" s="27"/>
      <c r="D19" s="29"/>
      <c r="E19" s="29"/>
      <c r="F19" s="41"/>
      <c r="G19" s="41"/>
      <c r="H19" s="49"/>
      <c r="I19" s="49"/>
      <c r="J19" s="50" t="str">
        <f aca="false">IF(OR($A19="",$H19=0),"",$I19/$H19)</f>
        <v/>
      </c>
      <c r="K19" s="30" t="str">
        <f aca="false">IF($A19="","",COUNTIFS('Lead Management'!$O$4:$O$1003,$C19,'Lead Management'!$P$4:$P$1003,"&gt;="&amp;$D19,'Lead Management'!$P$4:$P$1003,"&lt;="&amp;$E19))</f>
        <v/>
      </c>
      <c r="L19" s="34" t="str">
        <f aca="false">IF(OR($A19="",$K19=0),"",$G19/$K19)</f>
        <v/>
      </c>
      <c r="M19" s="30" t="str">
        <f aca="false">IF($A19="","",COUNTIFS('Lead Management'!$O$4:$O$1003,$C19,'Lead Management'!$P$4:$P$1003,"&gt;="&amp;$D19,'Lead Management'!$P$4:$P$1003,"&lt;="&amp;$E19,'Lead Management'!$V$4:$V$1003,"Yes"))</f>
        <v/>
      </c>
      <c r="N19" s="30" t="str">
        <f aca="false">IF($A19="","",COUNTIFS(Customers!$S$4:$S$1003,$C19,Customers!$T$4:$T$1003,"&gt;="&amp;$D19,Customers!$T$4:$T$1003,"&lt;="&amp;$E19))</f>
        <v/>
      </c>
      <c r="O19" s="34" t="str">
        <f aca="false">IF($A19="","",SUMIFS(Customers!$M$4:$M$1003,Customers!$S$4:$S$1003,$C19,Customers!$T$4:$T$1003,"&gt;="&amp;$D19,Customers!$T$4:$T$1003,"&lt;="&amp;$E19))</f>
        <v/>
      </c>
      <c r="P19" s="35" t="str">
        <f aca="false">IF(OR($A19="",$G19=0),"",($O19-$G19)/$G19)</f>
        <v/>
      </c>
      <c r="Q19" s="35" t="str">
        <f aca="false">IF(OR($A19="",$K19=0),"",$N19/$K19)</f>
        <v/>
      </c>
      <c r="R19" s="27"/>
      <c r="S19" s="32"/>
    </row>
    <row r="20" customFormat="false" ht="15.75" hidden="false" customHeight="true" outlineLevel="0" collapsed="false">
      <c r="A20" s="27"/>
      <c r="B20" s="28"/>
      <c r="C20" s="27"/>
      <c r="D20" s="29"/>
      <c r="E20" s="29"/>
      <c r="F20" s="41"/>
      <c r="G20" s="41"/>
      <c r="H20" s="49"/>
      <c r="I20" s="49"/>
      <c r="J20" s="50" t="str">
        <f aca="false">IF(OR($A20="",$H20=0),"",$I20/$H20)</f>
        <v/>
      </c>
      <c r="K20" s="30" t="str">
        <f aca="false">IF($A20="","",COUNTIFS('Lead Management'!$O$4:$O$1003,$C20,'Lead Management'!$P$4:$P$1003,"&gt;="&amp;$D20,'Lead Management'!$P$4:$P$1003,"&lt;="&amp;$E20))</f>
        <v/>
      </c>
      <c r="L20" s="34" t="str">
        <f aca="false">IF(OR($A20="",$K20=0),"",$G20/$K20)</f>
        <v/>
      </c>
      <c r="M20" s="30" t="str">
        <f aca="false">IF($A20="","",COUNTIFS('Lead Management'!$O$4:$O$1003,$C20,'Lead Management'!$P$4:$P$1003,"&gt;="&amp;$D20,'Lead Management'!$P$4:$P$1003,"&lt;="&amp;$E20,'Lead Management'!$V$4:$V$1003,"Yes"))</f>
        <v/>
      </c>
      <c r="N20" s="30" t="str">
        <f aca="false">IF($A20="","",COUNTIFS(Customers!$S$4:$S$1003,$C20,Customers!$T$4:$T$1003,"&gt;="&amp;$D20,Customers!$T$4:$T$1003,"&lt;="&amp;$E20))</f>
        <v/>
      </c>
      <c r="O20" s="34" t="str">
        <f aca="false">IF($A20="","",SUMIFS(Customers!$M$4:$M$1003,Customers!$S$4:$S$1003,$C20,Customers!$T$4:$T$1003,"&gt;="&amp;$D20,Customers!$T$4:$T$1003,"&lt;="&amp;$E20))</f>
        <v/>
      </c>
      <c r="P20" s="35" t="str">
        <f aca="false">IF(OR($A20="",$G20=0),"",($O20-$G20)/$G20)</f>
        <v/>
      </c>
      <c r="Q20" s="35" t="str">
        <f aca="false">IF(OR($A20="",$K20=0),"",$N20/$K20)</f>
        <v/>
      </c>
      <c r="R20" s="27"/>
      <c r="S20" s="32"/>
    </row>
    <row r="21" customFormat="false" ht="15.75" hidden="false" customHeight="true" outlineLevel="0" collapsed="false">
      <c r="A21" s="27"/>
      <c r="B21" s="28"/>
      <c r="C21" s="27"/>
      <c r="D21" s="29"/>
      <c r="E21" s="29"/>
      <c r="F21" s="41"/>
      <c r="G21" s="41"/>
      <c r="H21" s="49"/>
      <c r="I21" s="49"/>
      <c r="J21" s="50" t="str">
        <f aca="false">IF(OR($A21="",$H21=0),"",$I21/$H21)</f>
        <v/>
      </c>
      <c r="K21" s="30" t="str">
        <f aca="false">IF($A21="","",COUNTIFS('Lead Management'!$O$4:$O$1003,$C21,'Lead Management'!$P$4:$P$1003,"&gt;="&amp;$D21,'Lead Management'!$P$4:$P$1003,"&lt;="&amp;$E21))</f>
        <v/>
      </c>
      <c r="L21" s="34" t="str">
        <f aca="false">IF(OR($A21="",$K21=0),"",$G21/$K21)</f>
        <v/>
      </c>
      <c r="M21" s="30" t="str">
        <f aca="false">IF($A21="","",COUNTIFS('Lead Management'!$O$4:$O$1003,$C21,'Lead Management'!$P$4:$P$1003,"&gt;="&amp;$D21,'Lead Management'!$P$4:$P$1003,"&lt;="&amp;$E21,'Lead Management'!$V$4:$V$1003,"Yes"))</f>
        <v/>
      </c>
      <c r="N21" s="30" t="str">
        <f aca="false">IF($A21="","",COUNTIFS(Customers!$S$4:$S$1003,$C21,Customers!$T$4:$T$1003,"&gt;="&amp;$D21,Customers!$T$4:$T$1003,"&lt;="&amp;$E21))</f>
        <v/>
      </c>
      <c r="O21" s="34" t="str">
        <f aca="false">IF($A21="","",SUMIFS(Customers!$M$4:$M$1003,Customers!$S$4:$S$1003,$C21,Customers!$T$4:$T$1003,"&gt;="&amp;$D21,Customers!$T$4:$T$1003,"&lt;="&amp;$E21))</f>
        <v/>
      </c>
      <c r="P21" s="35" t="str">
        <f aca="false">IF(OR($A21="",$G21=0),"",($O21-$G21)/$G21)</f>
        <v/>
      </c>
      <c r="Q21" s="35" t="str">
        <f aca="false">IF(OR($A21="",$K21=0),"",$N21/$K21)</f>
        <v/>
      </c>
      <c r="R21" s="27"/>
      <c r="S21" s="32"/>
    </row>
    <row r="22" customFormat="false" ht="15.75" hidden="false" customHeight="true" outlineLevel="0" collapsed="false">
      <c r="A22" s="27"/>
      <c r="B22" s="28"/>
      <c r="C22" s="27"/>
      <c r="D22" s="29"/>
      <c r="E22" s="29"/>
      <c r="F22" s="41"/>
      <c r="G22" s="41"/>
      <c r="H22" s="49"/>
      <c r="I22" s="49"/>
      <c r="J22" s="50" t="str">
        <f aca="false">IF(OR($A22="",$H22=0),"",$I22/$H22)</f>
        <v/>
      </c>
      <c r="K22" s="30" t="str">
        <f aca="false">IF($A22="","",COUNTIFS('Lead Management'!$O$4:$O$1003,$C22,'Lead Management'!$P$4:$P$1003,"&gt;="&amp;$D22,'Lead Management'!$P$4:$P$1003,"&lt;="&amp;$E22))</f>
        <v/>
      </c>
      <c r="L22" s="34" t="str">
        <f aca="false">IF(OR($A22="",$K22=0),"",$G22/$K22)</f>
        <v/>
      </c>
      <c r="M22" s="30" t="str">
        <f aca="false">IF($A22="","",COUNTIFS('Lead Management'!$O$4:$O$1003,$C22,'Lead Management'!$P$4:$P$1003,"&gt;="&amp;$D22,'Lead Management'!$P$4:$P$1003,"&lt;="&amp;$E22,'Lead Management'!$V$4:$V$1003,"Yes"))</f>
        <v/>
      </c>
      <c r="N22" s="30" t="str">
        <f aca="false">IF($A22="","",COUNTIFS(Customers!$S$4:$S$1003,$C22,Customers!$T$4:$T$1003,"&gt;="&amp;$D22,Customers!$T$4:$T$1003,"&lt;="&amp;$E22))</f>
        <v/>
      </c>
      <c r="O22" s="34" t="str">
        <f aca="false">IF($A22="","",SUMIFS(Customers!$M$4:$M$1003,Customers!$S$4:$S$1003,$C22,Customers!$T$4:$T$1003,"&gt;="&amp;$D22,Customers!$T$4:$T$1003,"&lt;="&amp;$E22))</f>
        <v/>
      </c>
      <c r="P22" s="35" t="str">
        <f aca="false">IF(OR($A22="",$G22=0),"",($O22-$G22)/$G22)</f>
        <v/>
      </c>
      <c r="Q22" s="35" t="str">
        <f aca="false">IF(OR($A22="",$K22=0),"",$N22/$K22)</f>
        <v/>
      </c>
      <c r="R22" s="27"/>
      <c r="S22" s="32"/>
    </row>
    <row r="23" customFormat="false" ht="15.75" hidden="false" customHeight="true" outlineLevel="0" collapsed="false">
      <c r="A23" s="27"/>
      <c r="B23" s="28"/>
      <c r="C23" s="27"/>
      <c r="D23" s="29"/>
      <c r="E23" s="29"/>
      <c r="F23" s="41"/>
      <c r="G23" s="41"/>
      <c r="H23" s="49"/>
      <c r="I23" s="49"/>
      <c r="J23" s="50" t="str">
        <f aca="false">IF(OR($A23="",$H23=0),"",$I23/$H23)</f>
        <v/>
      </c>
      <c r="K23" s="30" t="str">
        <f aca="false">IF($A23="","",COUNTIFS('Lead Management'!$O$4:$O$1003,$C23,'Lead Management'!$P$4:$P$1003,"&gt;="&amp;$D23,'Lead Management'!$P$4:$P$1003,"&lt;="&amp;$E23))</f>
        <v/>
      </c>
      <c r="L23" s="34" t="str">
        <f aca="false">IF(OR($A23="",$K23=0),"",$G23/$K23)</f>
        <v/>
      </c>
      <c r="M23" s="30" t="str">
        <f aca="false">IF($A23="","",COUNTIFS('Lead Management'!$O$4:$O$1003,$C23,'Lead Management'!$P$4:$P$1003,"&gt;="&amp;$D23,'Lead Management'!$P$4:$P$1003,"&lt;="&amp;$E23,'Lead Management'!$V$4:$V$1003,"Yes"))</f>
        <v/>
      </c>
      <c r="N23" s="30" t="str">
        <f aca="false">IF($A23="","",COUNTIFS(Customers!$S$4:$S$1003,$C23,Customers!$T$4:$T$1003,"&gt;="&amp;$D23,Customers!$T$4:$T$1003,"&lt;="&amp;$E23))</f>
        <v/>
      </c>
      <c r="O23" s="34" t="str">
        <f aca="false">IF($A23="","",SUMIFS(Customers!$M$4:$M$1003,Customers!$S$4:$S$1003,$C23,Customers!$T$4:$T$1003,"&gt;="&amp;$D23,Customers!$T$4:$T$1003,"&lt;="&amp;$E23))</f>
        <v/>
      </c>
      <c r="P23" s="35" t="str">
        <f aca="false">IF(OR($A23="",$G23=0),"",($O23-$G23)/$G23)</f>
        <v/>
      </c>
      <c r="Q23" s="35" t="str">
        <f aca="false">IF(OR($A23="",$K23=0),"",$N23/$K23)</f>
        <v/>
      </c>
      <c r="R23" s="27"/>
      <c r="S23" s="32"/>
    </row>
    <row r="24" customFormat="false" ht="15.75" hidden="false" customHeight="true" outlineLevel="0" collapsed="false">
      <c r="A24" s="27"/>
      <c r="B24" s="28"/>
      <c r="C24" s="27"/>
      <c r="D24" s="29"/>
      <c r="E24" s="29"/>
      <c r="F24" s="41"/>
      <c r="G24" s="41"/>
      <c r="H24" s="49"/>
      <c r="I24" s="49"/>
      <c r="J24" s="50" t="str">
        <f aca="false">IF(OR($A24="",$H24=0),"",$I24/$H24)</f>
        <v/>
      </c>
      <c r="K24" s="30" t="str">
        <f aca="false">IF($A24="","",COUNTIFS('Lead Management'!$O$4:$O$1003,$C24,'Lead Management'!$P$4:$P$1003,"&gt;="&amp;$D24,'Lead Management'!$P$4:$P$1003,"&lt;="&amp;$E24))</f>
        <v/>
      </c>
      <c r="L24" s="34" t="str">
        <f aca="false">IF(OR($A24="",$K24=0),"",$G24/$K24)</f>
        <v/>
      </c>
      <c r="M24" s="30" t="str">
        <f aca="false">IF($A24="","",COUNTIFS('Lead Management'!$O$4:$O$1003,$C24,'Lead Management'!$P$4:$P$1003,"&gt;="&amp;$D24,'Lead Management'!$P$4:$P$1003,"&lt;="&amp;$E24,'Lead Management'!$V$4:$V$1003,"Yes"))</f>
        <v/>
      </c>
      <c r="N24" s="30" t="str">
        <f aca="false">IF($A24="","",COUNTIFS(Customers!$S$4:$S$1003,$C24,Customers!$T$4:$T$1003,"&gt;="&amp;$D24,Customers!$T$4:$T$1003,"&lt;="&amp;$E24))</f>
        <v/>
      </c>
      <c r="O24" s="34" t="str">
        <f aca="false">IF($A24="","",SUMIFS(Customers!$M$4:$M$1003,Customers!$S$4:$S$1003,$C24,Customers!$T$4:$T$1003,"&gt;="&amp;$D24,Customers!$T$4:$T$1003,"&lt;="&amp;$E24))</f>
        <v/>
      </c>
      <c r="P24" s="35" t="str">
        <f aca="false">IF(OR($A24="",$G24=0),"",($O24-$G24)/$G24)</f>
        <v/>
      </c>
      <c r="Q24" s="35" t="str">
        <f aca="false">IF(OR($A24="",$K24=0),"",$N24/$K24)</f>
        <v/>
      </c>
      <c r="R24" s="27"/>
      <c r="S24" s="32"/>
    </row>
    <row r="25" customFormat="false" ht="15.75" hidden="false" customHeight="true" outlineLevel="0" collapsed="false">
      <c r="A25" s="27"/>
      <c r="B25" s="28"/>
      <c r="C25" s="27"/>
      <c r="D25" s="29"/>
      <c r="E25" s="29"/>
      <c r="F25" s="41"/>
      <c r="G25" s="41"/>
      <c r="H25" s="49"/>
      <c r="I25" s="49"/>
      <c r="J25" s="50" t="str">
        <f aca="false">IF(OR($A25="",$H25=0),"",$I25/$H25)</f>
        <v/>
      </c>
      <c r="K25" s="30" t="str">
        <f aca="false">IF($A25="","",COUNTIFS('Lead Management'!$O$4:$O$1003,$C25,'Lead Management'!$P$4:$P$1003,"&gt;="&amp;$D25,'Lead Management'!$P$4:$P$1003,"&lt;="&amp;$E25))</f>
        <v/>
      </c>
      <c r="L25" s="34" t="str">
        <f aca="false">IF(OR($A25="",$K25=0),"",$G25/$K25)</f>
        <v/>
      </c>
      <c r="M25" s="30" t="str">
        <f aca="false">IF($A25="","",COUNTIFS('Lead Management'!$O$4:$O$1003,$C25,'Lead Management'!$P$4:$P$1003,"&gt;="&amp;$D25,'Lead Management'!$P$4:$P$1003,"&lt;="&amp;$E25,'Lead Management'!$V$4:$V$1003,"Yes"))</f>
        <v/>
      </c>
      <c r="N25" s="30" t="str">
        <f aca="false">IF($A25="","",COUNTIFS(Customers!$S$4:$S$1003,$C25,Customers!$T$4:$T$1003,"&gt;="&amp;$D25,Customers!$T$4:$T$1003,"&lt;="&amp;$E25))</f>
        <v/>
      </c>
      <c r="O25" s="34" t="str">
        <f aca="false">IF($A25="","",SUMIFS(Customers!$M$4:$M$1003,Customers!$S$4:$S$1003,$C25,Customers!$T$4:$T$1003,"&gt;="&amp;$D25,Customers!$T$4:$T$1003,"&lt;="&amp;$E25))</f>
        <v/>
      </c>
      <c r="P25" s="35" t="str">
        <f aca="false">IF(OR($A25="",$G25=0),"",($O25-$G25)/$G25)</f>
        <v/>
      </c>
      <c r="Q25" s="35" t="str">
        <f aca="false">IF(OR($A25="",$K25=0),"",$N25/$K25)</f>
        <v/>
      </c>
      <c r="R25" s="27"/>
      <c r="S25" s="32"/>
    </row>
    <row r="26" customFormat="false" ht="15.75" hidden="false" customHeight="true" outlineLevel="0" collapsed="false">
      <c r="A26" s="27"/>
      <c r="B26" s="28"/>
      <c r="C26" s="27"/>
      <c r="D26" s="29"/>
      <c r="E26" s="29"/>
      <c r="F26" s="41"/>
      <c r="G26" s="41"/>
      <c r="H26" s="49"/>
      <c r="I26" s="49"/>
      <c r="J26" s="50" t="str">
        <f aca="false">IF(OR($A26="",$H26=0),"",$I26/$H26)</f>
        <v/>
      </c>
      <c r="K26" s="30" t="str">
        <f aca="false">IF($A26="","",COUNTIFS('Lead Management'!$O$4:$O$1003,$C26,'Lead Management'!$P$4:$P$1003,"&gt;="&amp;$D26,'Lead Management'!$P$4:$P$1003,"&lt;="&amp;$E26))</f>
        <v/>
      </c>
      <c r="L26" s="34" t="str">
        <f aca="false">IF(OR($A26="",$K26=0),"",$G26/$K26)</f>
        <v/>
      </c>
      <c r="M26" s="30" t="str">
        <f aca="false">IF($A26="","",COUNTIFS('Lead Management'!$O$4:$O$1003,$C26,'Lead Management'!$P$4:$P$1003,"&gt;="&amp;$D26,'Lead Management'!$P$4:$P$1003,"&lt;="&amp;$E26,'Lead Management'!$V$4:$V$1003,"Yes"))</f>
        <v/>
      </c>
      <c r="N26" s="30" t="str">
        <f aca="false">IF($A26="","",COUNTIFS(Customers!$S$4:$S$1003,$C26,Customers!$T$4:$T$1003,"&gt;="&amp;$D26,Customers!$T$4:$T$1003,"&lt;="&amp;$E26))</f>
        <v/>
      </c>
      <c r="O26" s="34" t="str">
        <f aca="false">IF($A26="","",SUMIFS(Customers!$M$4:$M$1003,Customers!$S$4:$S$1003,$C26,Customers!$T$4:$T$1003,"&gt;="&amp;$D26,Customers!$T$4:$T$1003,"&lt;="&amp;$E26))</f>
        <v/>
      </c>
      <c r="P26" s="35" t="str">
        <f aca="false">IF(OR($A26="",$G26=0),"",($O26-$G26)/$G26)</f>
        <v/>
      </c>
      <c r="Q26" s="35" t="str">
        <f aca="false">IF(OR($A26="",$K26=0),"",$N26/$K26)</f>
        <v/>
      </c>
      <c r="R26" s="27"/>
      <c r="S26" s="32"/>
    </row>
    <row r="27" customFormat="false" ht="15.75" hidden="false" customHeight="true" outlineLevel="0" collapsed="false">
      <c r="A27" s="27"/>
      <c r="B27" s="28"/>
      <c r="C27" s="27"/>
      <c r="D27" s="29"/>
      <c r="E27" s="29"/>
      <c r="F27" s="41"/>
      <c r="G27" s="41"/>
      <c r="H27" s="49"/>
      <c r="I27" s="49"/>
      <c r="J27" s="50" t="str">
        <f aca="false">IF(OR($A27="",$H27=0),"",$I27/$H27)</f>
        <v/>
      </c>
      <c r="K27" s="30" t="str">
        <f aca="false">IF($A27="","",COUNTIFS('Lead Management'!$O$4:$O$1003,$C27,'Lead Management'!$P$4:$P$1003,"&gt;="&amp;$D27,'Lead Management'!$P$4:$P$1003,"&lt;="&amp;$E27))</f>
        <v/>
      </c>
      <c r="L27" s="34" t="str">
        <f aca="false">IF(OR($A27="",$K27=0),"",$G27/$K27)</f>
        <v/>
      </c>
      <c r="M27" s="30" t="str">
        <f aca="false">IF($A27="","",COUNTIFS('Lead Management'!$O$4:$O$1003,$C27,'Lead Management'!$P$4:$P$1003,"&gt;="&amp;$D27,'Lead Management'!$P$4:$P$1003,"&lt;="&amp;$E27,'Lead Management'!$V$4:$V$1003,"Yes"))</f>
        <v/>
      </c>
      <c r="N27" s="30" t="str">
        <f aca="false">IF($A27="","",COUNTIFS(Customers!$S$4:$S$1003,$C27,Customers!$T$4:$T$1003,"&gt;="&amp;$D27,Customers!$T$4:$T$1003,"&lt;="&amp;$E27))</f>
        <v/>
      </c>
      <c r="O27" s="34" t="str">
        <f aca="false">IF($A27="","",SUMIFS(Customers!$M$4:$M$1003,Customers!$S$4:$S$1003,$C27,Customers!$T$4:$T$1003,"&gt;="&amp;$D27,Customers!$T$4:$T$1003,"&lt;="&amp;$E27))</f>
        <v/>
      </c>
      <c r="P27" s="35" t="str">
        <f aca="false">IF(OR($A27="",$G27=0),"",($O27-$G27)/$G27)</f>
        <v/>
      </c>
      <c r="Q27" s="35" t="str">
        <f aca="false">IF(OR($A27="",$K27=0),"",$N27/$K27)</f>
        <v/>
      </c>
      <c r="R27" s="27"/>
      <c r="S27" s="32"/>
    </row>
    <row r="28" customFormat="false" ht="15.75" hidden="false" customHeight="true" outlineLevel="0" collapsed="false">
      <c r="A28" s="27"/>
      <c r="B28" s="28"/>
      <c r="C28" s="27"/>
      <c r="D28" s="29"/>
      <c r="E28" s="29"/>
      <c r="F28" s="41"/>
      <c r="G28" s="41"/>
      <c r="H28" s="49"/>
      <c r="I28" s="49"/>
      <c r="J28" s="50" t="str">
        <f aca="false">IF(OR($A28="",$H28=0),"",$I28/$H28)</f>
        <v/>
      </c>
      <c r="K28" s="30" t="str">
        <f aca="false">IF($A28="","",COUNTIFS('Lead Management'!$O$4:$O$1003,$C28,'Lead Management'!$P$4:$P$1003,"&gt;="&amp;$D28,'Lead Management'!$P$4:$P$1003,"&lt;="&amp;$E28))</f>
        <v/>
      </c>
      <c r="L28" s="34" t="str">
        <f aca="false">IF(OR($A28="",$K28=0),"",$G28/$K28)</f>
        <v/>
      </c>
      <c r="M28" s="30" t="str">
        <f aca="false">IF($A28="","",COUNTIFS('Lead Management'!$O$4:$O$1003,$C28,'Lead Management'!$P$4:$P$1003,"&gt;="&amp;$D28,'Lead Management'!$P$4:$P$1003,"&lt;="&amp;$E28,'Lead Management'!$V$4:$V$1003,"Yes"))</f>
        <v/>
      </c>
      <c r="N28" s="30" t="str">
        <f aca="false">IF($A28="","",COUNTIFS(Customers!$S$4:$S$1003,$C28,Customers!$T$4:$T$1003,"&gt;="&amp;$D28,Customers!$T$4:$T$1003,"&lt;="&amp;$E28))</f>
        <v/>
      </c>
      <c r="O28" s="34" t="str">
        <f aca="false">IF($A28="","",SUMIFS(Customers!$M$4:$M$1003,Customers!$S$4:$S$1003,$C28,Customers!$T$4:$T$1003,"&gt;="&amp;$D28,Customers!$T$4:$T$1003,"&lt;="&amp;$E28))</f>
        <v/>
      </c>
      <c r="P28" s="35" t="str">
        <f aca="false">IF(OR($A28="",$G28=0),"",($O28-$G28)/$G28)</f>
        <v/>
      </c>
      <c r="Q28" s="35" t="str">
        <f aca="false">IF(OR($A28="",$K28=0),"",$N28/$K28)</f>
        <v/>
      </c>
      <c r="R28" s="27"/>
      <c r="S28" s="32"/>
    </row>
    <row r="29" customFormat="false" ht="15.75" hidden="false" customHeight="true" outlineLevel="0" collapsed="false">
      <c r="A29" s="27"/>
      <c r="B29" s="28"/>
      <c r="C29" s="27"/>
      <c r="D29" s="29"/>
      <c r="E29" s="29"/>
      <c r="F29" s="41"/>
      <c r="G29" s="41"/>
      <c r="H29" s="49"/>
      <c r="I29" s="49"/>
      <c r="J29" s="50" t="str">
        <f aca="false">IF(OR($A29="",$H29=0),"",$I29/$H29)</f>
        <v/>
      </c>
      <c r="K29" s="30" t="str">
        <f aca="false">IF($A29="","",COUNTIFS('Lead Management'!$O$4:$O$1003,$C29,'Lead Management'!$P$4:$P$1003,"&gt;="&amp;$D29,'Lead Management'!$P$4:$P$1003,"&lt;="&amp;$E29))</f>
        <v/>
      </c>
      <c r="L29" s="34" t="str">
        <f aca="false">IF(OR($A29="",$K29=0),"",$G29/$K29)</f>
        <v/>
      </c>
      <c r="M29" s="30" t="str">
        <f aca="false">IF($A29="","",COUNTIFS('Lead Management'!$O$4:$O$1003,$C29,'Lead Management'!$P$4:$P$1003,"&gt;="&amp;$D29,'Lead Management'!$P$4:$P$1003,"&lt;="&amp;$E29,'Lead Management'!$V$4:$V$1003,"Yes"))</f>
        <v/>
      </c>
      <c r="N29" s="30" t="str">
        <f aca="false">IF($A29="","",COUNTIFS(Customers!$S$4:$S$1003,$C29,Customers!$T$4:$T$1003,"&gt;="&amp;$D29,Customers!$T$4:$T$1003,"&lt;="&amp;$E29))</f>
        <v/>
      </c>
      <c r="O29" s="34" t="str">
        <f aca="false">IF($A29="","",SUMIFS(Customers!$M$4:$M$1003,Customers!$S$4:$S$1003,$C29,Customers!$T$4:$T$1003,"&gt;="&amp;$D29,Customers!$T$4:$T$1003,"&lt;="&amp;$E29))</f>
        <v/>
      </c>
      <c r="P29" s="35" t="str">
        <f aca="false">IF(OR($A29="",$G29=0),"",($O29-$G29)/$G29)</f>
        <v/>
      </c>
      <c r="Q29" s="35" t="str">
        <f aca="false">IF(OR($A29="",$K29=0),"",$N29/$K29)</f>
        <v/>
      </c>
      <c r="R29" s="27"/>
      <c r="S29" s="32"/>
    </row>
    <row r="30" customFormat="false" ht="15.75" hidden="false" customHeight="true" outlineLevel="0" collapsed="false">
      <c r="A30" s="27"/>
      <c r="B30" s="28"/>
      <c r="C30" s="27"/>
      <c r="D30" s="29"/>
      <c r="E30" s="29"/>
      <c r="F30" s="41"/>
      <c r="G30" s="41"/>
      <c r="H30" s="49"/>
      <c r="I30" s="49"/>
      <c r="J30" s="50" t="str">
        <f aca="false">IF(OR($A30="",$H30=0),"",$I30/$H30)</f>
        <v/>
      </c>
      <c r="K30" s="30" t="str">
        <f aca="false">IF($A30="","",COUNTIFS('Lead Management'!$O$4:$O$1003,$C30,'Lead Management'!$P$4:$P$1003,"&gt;="&amp;$D30,'Lead Management'!$P$4:$P$1003,"&lt;="&amp;$E30))</f>
        <v/>
      </c>
      <c r="L30" s="34" t="str">
        <f aca="false">IF(OR($A30="",$K30=0),"",$G30/$K30)</f>
        <v/>
      </c>
      <c r="M30" s="30" t="str">
        <f aca="false">IF($A30="","",COUNTIFS('Lead Management'!$O$4:$O$1003,$C30,'Lead Management'!$P$4:$P$1003,"&gt;="&amp;$D30,'Lead Management'!$P$4:$P$1003,"&lt;="&amp;$E30,'Lead Management'!$V$4:$V$1003,"Yes"))</f>
        <v/>
      </c>
      <c r="N30" s="30" t="str">
        <f aca="false">IF($A30="","",COUNTIFS(Customers!$S$4:$S$1003,$C30,Customers!$T$4:$T$1003,"&gt;="&amp;$D30,Customers!$T$4:$T$1003,"&lt;="&amp;$E30))</f>
        <v/>
      </c>
      <c r="O30" s="34" t="str">
        <f aca="false">IF($A30="","",SUMIFS(Customers!$M$4:$M$1003,Customers!$S$4:$S$1003,$C30,Customers!$T$4:$T$1003,"&gt;="&amp;$D30,Customers!$T$4:$T$1003,"&lt;="&amp;$E30))</f>
        <v/>
      </c>
      <c r="P30" s="35" t="str">
        <f aca="false">IF(OR($A30="",$G30=0),"",($O30-$G30)/$G30)</f>
        <v/>
      </c>
      <c r="Q30" s="35" t="str">
        <f aca="false">IF(OR($A30="",$K30=0),"",$N30/$K30)</f>
        <v/>
      </c>
      <c r="R30" s="27"/>
      <c r="S30" s="32"/>
    </row>
    <row r="31" customFormat="false" ht="15.75" hidden="false" customHeight="true" outlineLevel="0" collapsed="false">
      <c r="A31" s="27"/>
      <c r="B31" s="28"/>
      <c r="C31" s="27"/>
      <c r="D31" s="29"/>
      <c r="E31" s="29"/>
      <c r="F31" s="41"/>
      <c r="G31" s="41"/>
      <c r="H31" s="49"/>
      <c r="I31" s="49"/>
      <c r="J31" s="50" t="str">
        <f aca="false">IF(OR($A31="",$H31=0),"",$I31/$H31)</f>
        <v/>
      </c>
      <c r="K31" s="30" t="str">
        <f aca="false">IF($A31="","",COUNTIFS('Lead Management'!$O$4:$O$1003,$C31,'Lead Management'!$P$4:$P$1003,"&gt;="&amp;$D31,'Lead Management'!$P$4:$P$1003,"&lt;="&amp;$E31))</f>
        <v/>
      </c>
      <c r="L31" s="34" t="str">
        <f aca="false">IF(OR($A31="",$K31=0),"",$G31/$K31)</f>
        <v/>
      </c>
      <c r="M31" s="30" t="str">
        <f aca="false">IF($A31="","",COUNTIFS('Lead Management'!$O$4:$O$1003,$C31,'Lead Management'!$P$4:$P$1003,"&gt;="&amp;$D31,'Lead Management'!$P$4:$P$1003,"&lt;="&amp;$E31,'Lead Management'!$V$4:$V$1003,"Yes"))</f>
        <v/>
      </c>
      <c r="N31" s="30" t="str">
        <f aca="false">IF($A31="","",COUNTIFS(Customers!$S$4:$S$1003,$C31,Customers!$T$4:$T$1003,"&gt;="&amp;$D31,Customers!$T$4:$T$1003,"&lt;="&amp;$E31))</f>
        <v/>
      </c>
      <c r="O31" s="34" t="str">
        <f aca="false">IF($A31="","",SUMIFS(Customers!$M$4:$M$1003,Customers!$S$4:$S$1003,$C31,Customers!$T$4:$T$1003,"&gt;="&amp;$D31,Customers!$T$4:$T$1003,"&lt;="&amp;$E31))</f>
        <v/>
      </c>
      <c r="P31" s="35" t="str">
        <f aca="false">IF(OR($A31="",$G31=0),"",($O31-$G31)/$G31)</f>
        <v/>
      </c>
      <c r="Q31" s="35" t="str">
        <f aca="false">IF(OR($A31="",$K31=0),"",$N31/$K31)</f>
        <v/>
      </c>
      <c r="R31" s="27"/>
      <c r="S31" s="32"/>
    </row>
    <row r="32" customFormat="false" ht="15.75" hidden="false" customHeight="true" outlineLevel="0" collapsed="false">
      <c r="A32" s="27"/>
      <c r="B32" s="28"/>
      <c r="C32" s="27"/>
      <c r="D32" s="29"/>
      <c r="E32" s="29"/>
      <c r="F32" s="41"/>
      <c r="G32" s="41"/>
      <c r="H32" s="49"/>
      <c r="I32" s="49"/>
      <c r="J32" s="50" t="str">
        <f aca="false">IF(OR($A32="",$H32=0),"",$I32/$H32)</f>
        <v/>
      </c>
      <c r="K32" s="30" t="str">
        <f aca="false">IF($A32="","",COUNTIFS('Lead Management'!$O$4:$O$1003,$C32,'Lead Management'!$P$4:$P$1003,"&gt;="&amp;$D32,'Lead Management'!$P$4:$P$1003,"&lt;="&amp;$E32))</f>
        <v/>
      </c>
      <c r="L32" s="34" t="str">
        <f aca="false">IF(OR($A32="",$K32=0),"",$G32/$K32)</f>
        <v/>
      </c>
      <c r="M32" s="30" t="str">
        <f aca="false">IF($A32="","",COUNTIFS('Lead Management'!$O$4:$O$1003,$C32,'Lead Management'!$P$4:$P$1003,"&gt;="&amp;$D32,'Lead Management'!$P$4:$P$1003,"&lt;="&amp;$E32,'Lead Management'!$V$4:$V$1003,"Yes"))</f>
        <v/>
      </c>
      <c r="N32" s="30" t="str">
        <f aca="false">IF($A32="","",COUNTIFS(Customers!$S$4:$S$1003,$C32,Customers!$T$4:$T$1003,"&gt;="&amp;$D32,Customers!$T$4:$T$1003,"&lt;="&amp;$E32))</f>
        <v/>
      </c>
      <c r="O32" s="34" t="str">
        <f aca="false">IF($A32="","",SUMIFS(Customers!$M$4:$M$1003,Customers!$S$4:$S$1003,$C32,Customers!$T$4:$T$1003,"&gt;="&amp;$D32,Customers!$T$4:$T$1003,"&lt;="&amp;$E32))</f>
        <v/>
      </c>
      <c r="P32" s="35" t="str">
        <f aca="false">IF(OR($A32="",$G32=0),"",($O32-$G32)/$G32)</f>
        <v/>
      </c>
      <c r="Q32" s="35" t="str">
        <f aca="false">IF(OR($A32="",$K32=0),"",$N32/$K32)</f>
        <v/>
      </c>
      <c r="R32" s="27"/>
      <c r="S32" s="32"/>
    </row>
    <row r="33" customFormat="false" ht="15.75" hidden="false" customHeight="true" outlineLevel="0" collapsed="false">
      <c r="A33" s="27"/>
      <c r="B33" s="28"/>
      <c r="C33" s="27"/>
      <c r="D33" s="29"/>
      <c r="E33" s="29"/>
      <c r="F33" s="41"/>
      <c r="G33" s="41"/>
      <c r="H33" s="49"/>
      <c r="I33" s="49"/>
      <c r="J33" s="50" t="str">
        <f aca="false">IF(OR($A33="",$H33=0),"",$I33/$H33)</f>
        <v/>
      </c>
      <c r="K33" s="30" t="str">
        <f aca="false">IF($A33="","",COUNTIFS('Lead Management'!$O$4:$O$1003,$C33,'Lead Management'!$P$4:$P$1003,"&gt;="&amp;$D33,'Lead Management'!$P$4:$P$1003,"&lt;="&amp;$E33))</f>
        <v/>
      </c>
      <c r="L33" s="34" t="str">
        <f aca="false">IF(OR($A33="",$K33=0),"",$G33/$K33)</f>
        <v/>
      </c>
      <c r="M33" s="30" t="str">
        <f aca="false">IF($A33="","",COUNTIFS('Lead Management'!$O$4:$O$1003,$C33,'Lead Management'!$P$4:$P$1003,"&gt;="&amp;$D33,'Lead Management'!$P$4:$P$1003,"&lt;="&amp;$E33,'Lead Management'!$V$4:$V$1003,"Yes"))</f>
        <v/>
      </c>
      <c r="N33" s="30" t="str">
        <f aca="false">IF($A33="","",COUNTIFS(Customers!$S$4:$S$1003,$C33,Customers!$T$4:$T$1003,"&gt;="&amp;$D33,Customers!$T$4:$T$1003,"&lt;="&amp;$E33))</f>
        <v/>
      </c>
      <c r="O33" s="34" t="str">
        <f aca="false">IF($A33="","",SUMIFS(Customers!$M$4:$M$1003,Customers!$S$4:$S$1003,$C33,Customers!$T$4:$T$1003,"&gt;="&amp;$D33,Customers!$T$4:$T$1003,"&lt;="&amp;$E33))</f>
        <v/>
      </c>
      <c r="P33" s="35" t="str">
        <f aca="false">IF(OR($A33="",$G33=0),"",($O33-$G33)/$G33)</f>
        <v/>
      </c>
      <c r="Q33" s="35" t="str">
        <f aca="false">IF(OR($A33="",$K33=0),"",$N33/$K33)</f>
        <v/>
      </c>
      <c r="R33" s="27"/>
      <c r="S33" s="32"/>
    </row>
    <row r="34" customFormat="false" ht="15.75" hidden="false" customHeight="true" outlineLevel="0" collapsed="false">
      <c r="A34" s="27"/>
      <c r="B34" s="28"/>
      <c r="C34" s="27"/>
      <c r="D34" s="29"/>
      <c r="E34" s="29"/>
      <c r="F34" s="41"/>
      <c r="G34" s="41"/>
      <c r="H34" s="49"/>
      <c r="I34" s="49"/>
      <c r="J34" s="50" t="str">
        <f aca="false">IF(OR($A34="",$H34=0),"",$I34/$H34)</f>
        <v/>
      </c>
      <c r="K34" s="30" t="str">
        <f aca="false">IF($A34="","",COUNTIFS('Lead Management'!$O$4:$O$1003,$C34,'Lead Management'!$P$4:$P$1003,"&gt;="&amp;$D34,'Lead Management'!$P$4:$P$1003,"&lt;="&amp;$E34))</f>
        <v/>
      </c>
      <c r="L34" s="34" t="str">
        <f aca="false">IF(OR($A34="",$K34=0),"",$G34/$K34)</f>
        <v/>
      </c>
      <c r="M34" s="30" t="str">
        <f aca="false">IF($A34="","",COUNTIFS('Lead Management'!$O$4:$O$1003,$C34,'Lead Management'!$P$4:$P$1003,"&gt;="&amp;$D34,'Lead Management'!$P$4:$P$1003,"&lt;="&amp;$E34,'Lead Management'!$V$4:$V$1003,"Yes"))</f>
        <v/>
      </c>
      <c r="N34" s="30" t="str">
        <f aca="false">IF($A34="","",COUNTIFS(Customers!$S$4:$S$1003,$C34,Customers!$T$4:$T$1003,"&gt;="&amp;$D34,Customers!$T$4:$T$1003,"&lt;="&amp;$E34))</f>
        <v/>
      </c>
      <c r="O34" s="34" t="str">
        <f aca="false">IF($A34="","",SUMIFS(Customers!$M$4:$M$1003,Customers!$S$4:$S$1003,$C34,Customers!$T$4:$T$1003,"&gt;="&amp;$D34,Customers!$T$4:$T$1003,"&lt;="&amp;$E34))</f>
        <v/>
      </c>
      <c r="P34" s="35" t="str">
        <f aca="false">IF(OR($A34="",$G34=0),"",($O34-$G34)/$G34)</f>
        <v/>
      </c>
      <c r="Q34" s="35" t="str">
        <f aca="false">IF(OR($A34="",$K34=0),"",$N34/$K34)</f>
        <v/>
      </c>
      <c r="R34" s="27"/>
      <c r="S34" s="32"/>
    </row>
    <row r="35" customFormat="false" ht="15.75" hidden="false" customHeight="true" outlineLevel="0" collapsed="false">
      <c r="A35" s="27"/>
      <c r="B35" s="28"/>
      <c r="C35" s="27"/>
      <c r="D35" s="29"/>
      <c r="E35" s="29"/>
      <c r="F35" s="41"/>
      <c r="G35" s="41"/>
      <c r="H35" s="49"/>
      <c r="I35" s="49"/>
      <c r="J35" s="50" t="str">
        <f aca="false">IF(OR($A35="",$H35=0),"",$I35/$H35)</f>
        <v/>
      </c>
      <c r="K35" s="30" t="str">
        <f aca="false">IF($A35="","",COUNTIFS('Lead Management'!$O$4:$O$1003,$C35,'Lead Management'!$P$4:$P$1003,"&gt;="&amp;$D35,'Lead Management'!$P$4:$P$1003,"&lt;="&amp;$E35))</f>
        <v/>
      </c>
      <c r="L35" s="34" t="str">
        <f aca="false">IF(OR($A35="",$K35=0),"",$G35/$K35)</f>
        <v/>
      </c>
      <c r="M35" s="30" t="str">
        <f aca="false">IF($A35="","",COUNTIFS('Lead Management'!$O$4:$O$1003,$C35,'Lead Management'!$P$4:$P$1003,"&gt;="&amp;$D35,'Lead Management'!$P$4:$P$1003,"&lt;="&amp;$E35,'Lead Management'!$V$4:$V$1003,"Yes"))</f>
        <v/>
      </c>
      <c r="N35" s="30" t="str">
        <f aca="false">IF($A35="","",COUNTIFS(Customers!$S$4:$S$1003,$C35,Customers!$T$4:$T$1003,"&gt;="&amp;$D35,Customers!$T$4:$T$1003,"&lt;="&amp;$E35))</f>
        <v/>
      </c>
      <c r="O35" s="34" t="str">
        <f aca="false">IF($A35="","",SUMIFS(Customers!$M$4:$M$1003,Customers!$S$4:$S$1003,$C35,Customers!$T$4:$T$1003,"&gt;="&amp;$D35,Customers!$T$4:$T$1003,"&lt;="&amp;$E35))</f>
        <v/>
      </c>
      <c r="P35" s="35" t="str">
        <f aca="false">IF(OR($A35="",$G35=0),"",($O35-$G35)/$G35)</f>
        <v/>
      </c>
      <c r="Q35" s="35" t="str">
        <f aca="false">IF(OR($A35="",$K35=0),"",$N35/$K35)</f>
        <v/>
      </c>
      <c r="R35" s="27"/>
      <c r="S35" s="32"/>
    </row>
    <row r="36" customFormat="false" ht="15.75" hidden="false" customHeight="true" outlineLevel="0" collapsed="false">
      <c r="A36" s="27"/>
      <c r="B36" s="28"/>
      <c r="C36" s="27"/>
      <c r="D36" s="29"/>
      <c r="E36" s="29"/>
      <c r="F36" s="41"/>
      <c r="G36" s="41"/>
      <c r="H36" s="49"/>
      <c r="I36" s="49"/>
      <c r="J36" s="50" t="str">
        <f aca="false">IF(OR($A36="",$H36=0),"",$I36/$H36)</f>
        <v/>
      </c>
      <c r="K36" s="30" t="str">
        <f aca="false">IF($A36="","",COUNTIFS('Lead Management'!$O$4:$O$1003,$C36,'Lead Management'!$P$4:$P$1003,"&gt;="&amp;$D36,'Lead Management'!$P$4:$P$1003,"&lt;="&amp;$E36))</f>
        <v/>
      </c>
      <c r="L36" s="34" t="str">
        <f aca="false">IF(OR($A36="",$K36=0),"",$G36/$K36)</f>
        <v/>
      </c>
      <c r="M36" s="30" t="str">
        <f aca="false">IF($A36="","",COUNTIFS('Lead Management'!$O$4:$O$1003,$C36,'Lead Management'!$P$4:$P$1003,"&gt;="&amp;$D36,'Lead Management'!$P$4:$P$1003,"&lt;="&amp;$E36,'Lead Management'!$V$4:$V$1003,"Yes"))</f>
        <v/>
      </c>
      <c r="N36" s="30" t="str">
        <f aca="false">IF($A36="","",COUNTIFS(Customers!$S$4:$S$1003,$C36,Customers!$T$4:$T$1003,"&gt;="&amp;$D36,Customers!$T$4:$T$1003,"&lt;="&amp;$E36))</f>
        <v/>
      </c>
      <c r="O36" s="34" t="str">
        <f aca="false">IF($A36="","",SUMIFS(Customers!$M$4:$M$1003,Customers!$S$4:$S$1003,$C36,Customers!$T$4:$T$1003,"&gt;="&amp;$D36,Customers!$T$4:$T$1003,"&lt;="&amp;$E36))</f>
        <v/>
      </c>
      <c r="P36" s="35" t="str">
        <f aca="false">IF(OR($A36="",$G36=0),"",($O36-$G36)/$G36)</f>
        <v/>
      </c>
      <c r="Q36" s="35" t="str">
        <f aca="false">IF(OR($A36="",$K36=0),"",$N36/$K36)</f>
        <v/>
      </c>
      <c r="R36" s="27"/>
      <c r="S36" s="32"/>
    </row>
    <row r="37" customFormat="false" ht="15.75" hidden="false" customHeight="true" outlineLevel="0" collapsed="false">
      <c r="A37" s="27"/>
      <c r="B37" s="28"/>
      <c r="C37" s="27"/>
      <c r="D37" s="29"/>
      <c r="E37" s="29"/>
      <c r="F37" s="41"/>
      <c r="G37" s="41"/>
      <c r="H37" s="49"/>
      <c r="I37" s="49"/>
      <c r="J37" s="50" t="str">
        <f aca="false">IF(OR($A37="",$H37=0),"",$I37/$H37)</f>
        <v/>
      </c>
      <c r="K37" s="30" t="str">
        <f aca="false">IF($A37="","",COUNTIFS('Lead Management'!$O$4:$O$1003,$C37,'Lead Management'!$P$4:$P$1003,"&gt;="&amp;$D37,'Lead Management'!$P$4:$P$1003,"&lt;="&amp;$E37))</f>
        <v/>
      </c>
      <c r="L37" s="34" t="str">
        <f aca="false">IF(OR($A37="",$K37=0),"",$G37/$K37)</f>
        <v/>
      </c>
      <c r="M37" s="30" t="str">
        <f aca="false">IF($A37="","",COUNTIFS('Lead Management'!$O$4:$O$1003,$C37,'Lead Management'!$P$4:$P$1003,"&gt;="&amp;$D37,'Lead Management'!$P$4:$P$1003,"&lt;="&amp;$E37,'Lead Management'!$V$4:$V$1003,"Yes"))</f>
        <v/>
      </c>
      <c r="N37" s="30" t="str">
        <f aca="false">IF($A37="","",COUNTIFS(Customers!$S$4:$S$1003,$C37,Customers!$T$4:$T$1003,"&gt;="&amp;$D37,Customers!$T$4:$T$1003,"&lt;="&amp;$E37))</f>
        <v/>
      </c>
      <c r="O37" s="34" t="str">
        <f aca="false">IF($A37="","",SUMIFS(Customers!$M$4:$M$1003,Customers!$S$4:$S$1003,$C37,Customers!$T$4:$T$1003,"&gt;="&amp;$D37,Customers!$T$4:$T$1003,"&lt;="&amp;$E37))</f>
        <v/>
      </c>
      <c r="P37" s="35" t="str">
        <f aca="false">IF(OR($A37="",$G37=0),"",($O37-$G37)/$G37)</f>
        <v/>
      </c>
      <c r="Q37" s="35" t="str">
        <f aca="false">IF(OR($A37="",$K37=0),"",$N37/$K37)</f>
        <v/>
      </c>
      <c r="R37" s="27"/>
      <c r="S37" s="32"/>
    </row>
    <row r="38" customFormat="false" ht="15.75" hidden="false" customHeight="true" outlineLevel="0" collapsed="false">
      <c r="A38" s="27"/>
      <c r="B38" s="28"/>
      <c r="C38" s="27"/>
      <c r="D38" s="29"/>
      <c r="E38" s="29"/>
      <c r="F38" s="41"/>
      <c r="G38" s="41"/>
      <c r="H38" s="49"/>
      <c r="I38" s="49"/>
      <c r="J38" s="50" t="str">
        <f aca="false">IF(OR($A38="",$H38=0),"",$I38/$H38)</f>
        <v/>
      </c>
      <c r="K38" s="30" t="str">
        <f aca="false">IF($A38="","",COUNTIFS('Lead Management'!$O$4:$O$1003,$C38,'Lead Management'!$P$4:$P$1003,"&gt;="&amp;$D38,'Lead Management'!$P$4:$P$1003,"&lt;="&amp;$E38))</f>
        <v/>
      </c>
      <c r="L38" s="34" t="str">
        <f aca="false">IF(OR($A38="",$K38=0),"",$G38/$K38)</f>
        <v/>
      </c>
      <c r="M38" s="30" t="str">
        <f aca="false">IF($A38="","",COUNTIFS('Lead Management'!$O$4:$O$1003,$C38,'Lead Management'!$P$4:$P$1003,"&gt;="&amp;$D38,'Lead Management'!$P$4:$P$1003,"&lt;="&amp;$E38,'Lead Management'!$V$4:$V$1003,"Yes"))</f>
        <v/>
      </c>
      <c r="N38" s="30" t="str">
        <f aca="false">IF($A38="","",COUNTIFS(Customers!$S$4:$S$1003,$C38,Customers!$T$4:$T$1003,"&gt;="&amp;$D38,Customers!$T$4:$T$1003,"&lt;="&amp;$E38))</f>
        <v/>
      </c>
      <c r="O38" s="34" t="str">
        <f aca="false">IF($A38="","",SUMIFS(Customers!$M$4:$M$1003,Customers!$S$4:$S$1003,$C38,Customers!$T$4:$T$1003,"&gt;="&amp;$D38,Customers!$T$4:$T$1003,"&lt;="&amp;$E38))</f>
        <v/>
      </c>
      <c r="P38" s="35" t="str">
        <f aca="false">IF(OR($A38="",$G38=0),"",($O38-$G38)/$G38)</f>
        <v/>
      </c>
      <c r="Q38" s="35" t="str">
        <f aca="false">IF(OR($A38="",$K38=0),"",$N38/$K38)</f>
        <v/>
      </c>
      <c r="R38" s="27"/>
      <c r="S38" s="32"/>
    </row>
    <row r="39" customFormat="false" ht="15.75" hidden="false" customHeight="true" outlineLevel="0" collapsed="false">
      <c r="A39" s="27"/>
      <c r="B39" s="28"/>
      <c r="C39" s="27"/>
      <c r="D39" s="29"/>
      <c r="E39" s="29"/>
      <c r="F39" s="41"/>
      <c r="G39" s="41"/>
      <c r="H39" s="49"/>
      <c r="I39" s="49"/>
      <c r="J39" s="50" t="str">
        <f aca="false">IF(OR($A39="",$H39=0),"",$I39/$H39)</f>
        <v/>
      </c>
      <c r="K39" s="30" t="str">
        <f aca="false">IF($A39="","",COUNTIFS('Lead Management'!$O$4:$O$1003,$C39,'Lead Management'!$P$4:$P$1003,"&gt;="&amp;$D39,'Lead Management'!$P$4:$P$1003,"&lt;="&amp;$E39))</f>
        <v/>
      </c>
      <c r="L39" s="34" t="str">
        <f aca="false">IF(OR($A39="",$K39=0),"",$G39/$K39)</f>
        <v/>
      </c>
      <c r="M39" s="30" t="str">
        <f aca="false">IF($A39="","",COUNTIFS('Lead Management'!$O$4:$O$1003,$C39,'Lead Management'!$P$4:$P$1003,"&gt;="&amp;$D39,'Lead Management'!$P$4:$P$1003,"&lt;="&amp;$E39,'Lead Management'!$V$4:$V$1003,"Yes"))</f>
        <v/>
      </c>
      <c r="N39" s="30" t="str">
        <f aca="false">IF($A39="","",COUNTIFS(Customers!$S$4:$S$1003,$C39,Customers!$T$4:$T$1003,"&gt;="&amp;$D39,Customers!$T$4:$T$1003,"&lt;="&amp;$E39))</f>
        <v/>
      </c>
      <c r="O39" s="34" t="str">
        <f aca="false">IF($A39="","",SUMIFS(Customers!$M$4:$M$1003,Customers!$S$4:$S$1003,$C39,Customers!$T$4:$T$1003,"&gt;="&amp;$D39,Customers!$T$4:$T$1003,"&lt;="&amp;$E39))</f>
        <v/>
      </c>
      <c r="P39" s="35" t="str">
        <f aca="false">IF(OR($A39="",$G39=0),"",($O39-$G39)/$G39)</f>
        <v/>
      </c>
      <c r="Q39" s="35" t="str">
        <f aca="false">IF(OR($A39="",$K39=0),"",$N39/$K39)</f>
        <v/>
      </c>
      <c r="R39" s="27"/>
      <c r="S39" s="32"/>
    </row>
    <row r="40" customFormat="false" ht="15.75" hidden="false" customHeight="true" outlineLevel="0" collapsed="false">
      <c r="A40" s="27"/>
      <c r="B40" s="28"/>
      <c r="C40" s="27"/>
      <c r="D40" s="29"/>
      <c r="E40" s="29"/>
      <c r="F40" s="41"/>
      <c r="G40" s="41"/>
      <c r="H40" s="49"/>
      <c r="I40" s="49"/>
      <c r="J40" s="50" t="str">
        <f aca="false">IF(OR($A40="",$H40=0),"",$I40/$H40)</f>
        <v/>
      </c>
      <c r="K40" s="30" t="str">
        <f aca="false">IF($A40="","",COUNTIFS('Lead Management'!$O$4:$O$1003,$C40,'Lead Management'!$P$4:$P$1003,"&gt;="&amp;$D40,'Lead Management'!$P$4:$P$1003,"&lt;="&amp;$E40))</f>
        <v/>
      </c>
      <c r="L40" s="34" t="str">
        <f aca="false">IF(OR($A40="",$K40=0),"",$G40/$K40)</f>
        <v/>
      </c>
      <c r="M40" s="30" t="str">
        <f aca="false">IF($A40="","",COUNTIFS('Lead Management'!$O$4:$O$1003,$C40,'Lead Management'!$P$4:$P$1003,"&gt;="&amp;$D40,'Lead Management'!$P$4:$P$1003,"&lt;="&amp;$E40,'Lead Management'!$V$4:$V$1003,"Yes"))</f>
        <v/>
      </c>
      <c r="N40" s="30" t="str">
        <f aca="false">IF($A40="","",COUNTIFS(Customers!$S$4:$S$1003,$C40,Customers!$T$4:$T$1003,"&gt;="&amp;$D40,Customers!$T$4:$T$1003,"&lt;="&amp;$E40))</f>
        <v/>
      </c>
      <c r="O40" s="34" t="str">
        <f aca="false">IF($A40="","",SUMIFS(Customers!$M$4:$M$1003,Customers!$S$4:$S$1003,$C40,Customers!$T$4:$T$1003,"&gt;="&amp;$D40,Customers!$T$4:$T$1003,"&lt;="&amp;$E40))</f>
        <v/>
      </c>
      <c r="P40" s="35" t="str">
        <f aca="false">IF(OR($A40="",$G40=0),"",($O40-$G40)/$G40)</f>
        <v/>
      </c>
      <c r="Q40" s="35" t="str">
        <f aca="false">IF(OR($A40="",$K40=0),"",$N40/$K40)</f>
        <v/>
      </c>
      <c r="R40" s="27"/>
      <c r="S40" s="32"/>
    </row>
    <row r="41" customFormat="false" ht="15.75" hidden="false" customHeight="true" outlineLevel="0" collapsed="false">
      <c r="A41" s="27"/>
      <c r="B41" s="28"/>
      <c r="C41" s="27"/>
      <c r="D41" s="29"/>
      <c r="E41" s="29"/>
      <c r="F41" s="41"/>
      <c r="G41" s="41"/>
      <c r="H41" s="49"/>
      <c r="I41" s="49"/>
      <c r="J41" s="50" t="str">
        <f aca="false">IF(OR($A41="",$H41=0),"",$I41/$H41)</f>
        <v/>
      </c>
      <c r="K41" s="30" t="str">
        <f aca="false">IF($A41="","",COUNTIFS('Lead Management'!$O$4:$O$1003,$C41,'Lead Management'!$P$4:$P$1003,"&gt;="&amp;$D41,'Lead Management'!$P$4:$P$1003,"&lt;="&amp;$E41))</f>
        <v/>
      </c>
      <c r="L41" s="34" t="str">
        <f aca="false">IF(OR($A41="",$K41=0),"",$G41/$K41)</f>
        <v/>
      </c>
      <c r="M41" s="30" t="str">
        <f aca="false">IF($A41="","",COUNTIFS('Lead Management'!$O$4:$O$1003,$C41,'Lead Management'!$P$4:$P$1003,"&gt;="&amp;$D41,'Lead Management'!$P$4:$P$1003,"&lt;="&amp;$E41,'Lead Management'!$V$4:$V$1003,"Yes"))</f>
        <v/>
      </c>
      <c r="N41" s="30" t="str">
        <f aca="false">IF($A41="","",COUNTIFS(Customers!$S$4:$S$1003,$C41,Customers!$T$4:$T$1003,"&gt;="&amp;$D41,Customers!$T$4:$T$1003,"&lt;="&amp;$E41))</f>
        <v/>
      </c>
      <c r="O41" s="34" t="str">
        <f aca="false">IF($A41="","",SUMIFS(Customers!$M$4:$M$1003,Customers!$S$4:$S$1003,$C41,Customers!$T$4:$T$1003,"&gt;="&amp;$D41,Customers!$T$4:$T$1003,"&lt;="&amp;$E41))</f>
        <v/>
      </c>
      <c r="P41" s="35" t="str">
        <f aca="false">IF(OR($A41="",$G41=0),"",($O41-$G41)/$G41)</f>
        <v/>
      </c>
      <c r="Q41" s="35" t="str">
        <f aca="false">IF(OR($A41="",$K41=0),"",$N41/$K41)</f>
        <v/>
      </c>
      <c r="R41" s="27"/>
      <c r="S41" s="32"/>
    </row>
    <row r="42" customFormat="false" ht="15.75" hidden="false" customHeight="true" outlineLevel="0" collapsed="false">
      <c r="A42" s="27"/>
      <c r="B42" s="28"/>
      <c r="C42" s="27"/>
      <c r="D42" s="29"/>
      <c r="E42" s="29"/>
      <c r="F42" s="41"/>
      <c r="G42" s="41"/>
      <c r="H42" s="49"/>
      <c r="I42" s="49"/>
      <c r="J42" s="50" t="str">
        <f aca="false">IF(OR($A42="",$H42=0),"",$I42/$H42)</f>
        <v/>
      </c>
      <c r="K42" s="30" t="str">
        <f aca="false">IF($A42="","",COUNTIFS('Lead Management'!$O$4:$O$1003,$C42,'Lead Management'!$P$4:$P$1003,"&gt;="&amp;$D42,'Lead Management'!$P$4:$P$1003,"&lt;="&amp;$E42))</f>
        <v/>
      </c>
      <c r="L42" s="34" t="str">
        <f aca="false">IF(OR($A42="",$K42=0),"",$G42/$K42)</f>
        <v/>
      </c>
      <c r="M42" s="30" t="str">
        <f aca="false">IF($A42="","",COUNTIFS('Lead Management'!$O$4:$O$1003,$C42,'Lead Management'!$P$4:$P$1003,"&gt;="&amp;$D42,'Lead Management'!$P$4:$P$1003,"&lt;="&amp;$E42,'Lead Management'!$V$4:$V$1003,"Yes"))</f>
        <v/>
      </c>
      <c r="N42" s="30" t="str">
        <f aca="false">IF($A42="","",COUNTIFS(Customers!$S$4:$S$1003,$C42,Customers!$T$4:$T$1003,"&gt;="&amp;$D42,Customers!$T$4:$T$1003,"&lt;="&amp;$E42))</f>
        <v/>
      </c>
      <c r="O42" s="34" t="str">
        <f aca="false">IF($A42="","",SUMIFS(Customers!$M$4:$M$1003,Customers!$S$4:$S$1003,$C42,Customers!$T$4:$T$1003,"&gt;="&amp;$D42,Customers!$T$4:$T$1003,"&lt;="&amp;$E42))</f>
        <v/>
      </c>
      <c r="P42" s="35" t="str">
        <f aca="false">IF(OR($A42="",$G42=0),"",($O42-$G42)/$G42)</f>
        <v/>
      </c>
      <c r="Q42" s="35" t="str">
        <f aca="false">IF(OR($A42="",$K42=0),"",$N42/$K42)</f>
        <v/>
      </c>
      <c r="R42" s="27"/>
      <c r="S42" s="32"/>
    </row>
    <row r="43" customFormat="false" ht="15.75" hidden="false" customHeight="true" outlineLevel="0" collapsed="false">
      <c r="A43" s="27"/>
      <c r="B43" s="28"/>
      <c r="C43" s="27"/>
      <c r="D43" s="29"/>
      <c r="E43" s="29"/>
      <c r="F43" s="41"/>
      <c r="G43" s="41"/>
      <c r="H43" s="49"/>
      <c r="I43" s="49"/>
      <c r="J43" s="50" t="str">
        <f aca="false">IF(OR($A43="",$H43=0),"",$I43/$H43)</f>
        <v/>
      </c>
      <c r="K43" s="30" t="str">
        <f aca="false">IF($A43="","",COUNTIFS('Lead Management'!$O$4:$O$1003,$C43,'Lead Management'!$P$4:$P$1003,"&gt;="&amp;$D43,'Lead Management'!$P$4:$P$1003,"&lt;="&amp;$E43))</f>
        <v/>
      </c>
      <c r="L43" s="34" t="str">
        <f aca="false">IF(OR($A43="",$K43=0),"",$G43/$K43)</f>
        <v/>
      </c>
      <c r="M43" s="30" t="str">
        <f aca="false">IF($A43="","",COUNTIFS('Lead Management'!$O$4:$O$1003,$C43,'Lead Management'!$P$4:$P$1003,"&gt;="&amp;$D43,'Lead Management'!$P$4:$P$1003,"&lt;="&amp;$E43,'Lead Management'!$V$4:$V$1003,"Yes"))</f>
        <v/>
      </c>
      <c r="N43" s="30" t="str">
        <f aca="false">IF($A43="","",COUNTIFS(Customers!$S$4:$S$1003,$C43,Customers!$T$4:$T$1003,"&gt;="&amp;$D43,Customers!$T$4:$T$1003,"&lt;="&amp;$E43))</f>
        <v/>
      </c>
      <c r="O43" s="34" t="str">
        <f aca="false">IF($A43="","",SUMIFS(Customers!$M$4:$M$1003,Customers!$S$4:$S$1003,$C43,Customers!$T$4:$T$1003,"&gt;="&amp;$D43,Customers!$T$4:$T$1003,"&lt;="&amp;$E43))</f>
        <v/>
      </c>
      <c r="P43" s="35" t="str">
        <f aca="false">IF(OR($A43="",$G43=0),"",($O43-$G43)/$G43)</f>
        <v/>
      </c>
      <c r="Q43" s="35" t="str">
        <f aca="false">IF(OR($A43="",$K43=0),"",$N43/$K43)</f>
        <v/>
      </c>
      <c r="R43" s="27"/>
      <c r="S43" s="32"/>
    </row>
    <row r="44" customFormat="false" ht="15.75" hidden="false" customHeight="true" outlineLevel="0" collapsed="false">
      <c r="A44" s="27"/>
      <c r="B44" s="28"/>
      <c r="C44" s="27"/>
      <c r="D44" s="29"/>
      <c r="E44" s="29"/>
      <c r="F44" s="41"/>
      <c r="G44" s="41"/>
      <c r="H44" s="49"/>
      <c r="I44" s="49"/>
      <c r="J44" s="50" t="str">
        <f aca="false">IF(OR($A44="",$H44=0),"",$I44/$H44)</f>
        <v/>
      </c>
      <c r="K44" s="30" t="str">
        <f aca="false">IF($A44="","",COUNTIFS('Lead Management'!$O$4:$O$1003,$C44,'Lead Management'!$P$4:$P$1003,"&gt;="&amp;$D44,'Lead Management'!$P$4:$P$1003,"&lt;="&amp;$E44))</f>
        <v/>
      </c>
      <c r="L44" s="34" t="str">
        <f aca="false">IF(OR($A44="",$K44=0),"",$G44/$K44)</f>
        <v/>
      </c>
      <c r="M44" s="30" t="str">
        <f aca="false">IF($A44="","",COUNTIFS('Lead Management'!$O$4:$O$1003,$C44,'Lead Management'!$P$4:$P$1003,"&gt;="&amp;$D44,'Lead Management'!$P$4:$P$1003,"&lt;="&amp;$E44,'Lead Management'!$V$4:$V$1003,"Yes"))</f>
        <v/>
      </c>
      <c r="N44" s="30" t="str">
        <f aca="false">IF($A44="","",COUNTIFS(Customers!$S$4:$S$1003,$C44,Customers!$T$4:$T$1003,"&gt;="&amp;$D44,Customers!$T$4:$T$1003,"&lt;="&amp;$E44))</f>
        <v/>
      </c>
      <c r="O44" s="34" t="str">
        <f aca="false">IF($A44="","",SUMIFS(Customers!$M$4:$M$1003,Customers!$S$4:$S$1003,$C44,Customers!$T$4:$T$1003,"&gt;="&amp;$D44,Customers!$T$4:$T$1003,"&lt;="&amp;$E44))</f>
        <v/>
      </c>
      <c r="P44" s="35" t="str">
        <f aca="false">IF(OR($A44="",$G44=0),"",($O44-$G44)/$G44)</f>
        <v/>
      </c>
      <c r="Q44" s="35" t="str">
        <f aca="false">IF(OR($A44="",$K44=0),"",$N44/$K44)</f>
        <v/>
      </c>
      <c r="R44" s="27"/>
      <c r="S44" s="32"/>
    </row>
    <row r="45" customFormat="false" ht="15.75" hidden="false" customHeight="true" outlineLevel="0" collapsed="false">
      <c r="A45" s="27"/>
      <c r="B45" s="28"/>
      <c r="C45" s="27"/>
      <c r="D45" s="29"/>
      <c r="E45" s="29"/>
      <c r="F45" s="41"/>
      <c r="G45" s="41"/>
      <c r="H45" s="49"/>
      <c r="I45" s="49"/>
      <c r="J45" s="50" t="str">
        <f aca="false">IF(OR($A45="",$H45=0),"",$I45/$H45)</f>
        <v/>
      </c>
      <c r="K45" s="30" t="str">
        <f aca="false">IF($A45="","",COUNTIFS('Lead Management'!$O$4:$O$1003,$C45,'Lead Management'!$P$4:$P$1003,"&gt;="&amp;$D45,'Lead Management'!$P$4:$P$1003,"&lt;="&amp;$E45))</f>
        <v/>
      </c>
      <c r="L45" s="34" t="str">
        <f aca="false">IF(OR($A45="",$K45=0),"",$G45/$K45)</f>
        <v/>
      </c>
      <c r="M45" s="30" t="str">
        <f aca="false">IF($A45="","",COUNTIFS('Lead Management'!$O$4:$O$1003,$C45,'Lead Management'!$P$4:$P$1003,"&gt;="&amp;$D45,'Lead Management'!$P$4:$P$1003,"&lt;="&amp;$E45,'Lead Management'!$V$4:$V$1003,"Yes"))</f>
        <v/>
      </c>
      <c r="N45" s="30" t="str">
        <f aca="false">IF($A45="","",COUNTIFS(Customers!$S$4:$S$1003,$C45,Customers!$T$4:$T$1003,"&gt;="&amp;$D45,Customers!$T$4:$T$1003,"&lt;="&amp;$E45))</f>
        <v/>
      </c>
      <c r="O45" s="34" t="str">
        <f aca="false">IF($A45="","",SUMIFS(Customers!$M$4:$M$1003,Customers!$S$4:$S$1003,$C45,Customers!$T$4:$T$1003,"&gt;="&amp;$D45,Customers!$T$4:$T$1003,"&lt;="&amp;$E45))</f>
        <v/>
      </c>
      <c r="P45" s="35" t="str">
        <f aca="false">IF(OR($A45="",$G45=0),"",($O45-$G45)/$G45)</f>
        <v/>
      </c>
      <c r="Q45" s="35" t="str">
        <f aca="false">IF(OR($A45="",$K45=0),"",$N45/$K45)</f>
        <v/>
      </c>
      <c r="R45" s="27"/>
      <c r="S45" s="32"/>
    </row>
    <row r="46" customFormat="false" ht="15.75" hidden="false" customHeight="true" outlineLevel="0" collapsed="false">
      <c r="A46" s="27"/>
      <c r="B46" s="28"/>
      <c r="C46" s="27"/>
      <c r="D46" s="29"/>
      <c r="E46" s="29"/>
      <c r="F46" s="41"/>
      <c r="G46" s="41"/>
      <c r="H46" s="49"/>
      <c r="I46" s="49"/>
      <c r="J46" s="50" t="str">
        <f aca="false">IF(OR($A46="",$H46=0),"",$I46/$H46)</f>
        <v/>
      </c>
      <c r="K46" s="30" t="str">
        <f aca="false">IF($A46="","",COUNTIFS('Lead Management'!$O$4:$O$1003,$C46,'Lead Management'!$P$4:$P$1003,"&gt;="&amp;$D46,'Lead Management'!$P$4:$P$1003,"&lt;="&amp;$E46))</f>
        <v/>
      </c>
      <c r="L46" s="34" t="str">
        <f aca="false">IF(OR($A46="",$K46=0),"",$G46/$K46)</f>
        <v/>
      </c>
      <c r="M46" s="30" t="str">
        <f aca="false">IF($A46="","",COUNTIFS('Lead Management'!$O$4:$O$1003,$C46,'Lead Management'!$P$4:$P$1003,"&gt;="&amp;$D46,'Lead Management'!$P$4:$P$1003,"&lt;="&amp;$E46,'Lead Management'!$V$4:$V$1003,"Yes"))</f>
        <v/>
      </c>
      <c r="N46" s="30" t="str">
        <f aca="false">IF($A46="","",COUNTIFS(Customers!$S$4:$S$1003,$C46,Customers!$T$4:$T$1003,"&gt;="&amp;$D46,Customers!$T$4:$T$1003,"&lt;="&amp;$E46))</f>
        <v/>
      </c>
      <c r="O46" s="34" t="str">
        <f aca="false">IF($A46="","",SUMIFS(Customers!$M$4:$M$1003,Customers!$S$4:$S$1003,$C46,Customers!$T$4:$T$1003,"&gt;="&amp;$D46,Customers!$T$4:$T$1003,"&lt;="&amp;$E46))</f>
        <v/>
      </c>
      <c r="P46" s="35" t="str">
        <f aca="false">IF(OR($A46="",$G46=0),"",($O46-$G46)/$G46)</f>
        <v/>
      </c>
      <c r="Q46" s="35" t="str">
        <f aca="false">IF(OR($A46="",$K46=0),"",$N46/$K46)</f>
        <v/>
      </c>
      <c r="R46" s="27"/>
      <c r="S46" s="32"/>
    </row>
    <row r="47" customFormat="false" ht="15.75" hidden="false" customHeight="true" outlineLevel="0" collapsed="false">
      <c r="A47" s="27"/>
      <c r="B47" s="28"/>
      <c r="C47" s="27"/>
      <c r="D47" s="29"/>
      <c r="E47" s="29"/>
      <c r="F47" s="41"/>
      <c r="G47" s="41"/>
      <c r="H47" s="49"/>
      <c r="I47" s="49"/>
      <c r="J47" s="50" t="str">
        <f aca="false">IF(OR($A47="",$H47=0),"",$I47/$H47)</f>
        <v/>
      </c>
      <c r="K47" s="30" t="str">
        <f aca="false">IF($A47="","",COUNTIFS('Lead Management'!$O$4:$O$1003,$C47,'Lead Management'!$P$4:$P$1003,"&gt;="&amp;$D47,'Lead Management'!$P$4:$P$1003,"&lt;="&amp;$E47))</f>
        <v/>
      </c>
      <c r="L47" s="34" t="str">
        <f aca="false">IF(OR($A47="",$K47=0),"",$G47/$K47)</f>
        <v/>
      </c>
      <c r="M47" s="30" t="str">
        <f aca="false">IF($A47="","",COUNTIFS('Lead Management'!$O$4:$O$1003,$C47,'Lead Management'!$P$4:$P$1003,"&gt;="&amp;$D47,'Lead Management'!$P$4:$P$1003,"&lt;="&amp;$E47,'Lead Management'!$V$4:$V$1003,"Yes"))</f>
        <v/>
      </c>
      <c r="N47" s="30" t="str">
        <f aca="false">IF($A47="","",COUNTIFS(Customers!$S$4:$S$1003,$C47,Customers!$T$4:$T$1003,"&gt;="&amp;$D47,Customers!$T$4:$T$1003,"&lt;="&amp;$E47))</f>
        <v/>
      </c>
      <c r="O47" s="34" t="str">
        <f aca="false">IF($A47="","",SUMIFS(Customers!$M$4:$M$1003,Customers!$S$4:$S$1003,$C47,Customers!$T$4:$T$1003,"&gt;="&amp;$D47,Customers!$T$4:$T$1003,"&lt;="&amp;$E47))</f>
        <v/>
      </c>
      <c r="P47" s="35" t="str">
        <f aca="false">IF(OR($A47="",$G47=0),"",($O47-$G47)/$G47)</f>
        <v/>
      </c>
      <c r="Q47" s="35" t="str">
        <f aca="false">IF(OR($A47="",$K47=0),"",$N47/$K47)</f>
        <v/>
      </c>
      <c r="R47" s="27"/>
      <c r="S47" s="32"/>
    </row>
    <row r="48" customFormat="false" ht="15.75" hidden="false" customHeight="true" outlineLevel="0" collapsed="false">
      <c r="A48" s="27"/>
      <c r="B48" s="28"/>
      <c r="C48" s="27"/>
      <c r="D48" s="29"/>
      <c r="E48" s="29"/>
      <c r="F48" s="41"/>
      <c r="G48" s="41"/>
      <c r="H48" s="49"/>
      <c r="I48" s="49"/>
      <c r="J48" s="50" t="str">
        <f aca="false">IF(OR($A48="",$H48=0),"",$I48/$H48)</f>
        <v/>
      </c>
      <c r="K48" s="30" t="str">
        <f aca="false">IF($A48="","",COUNTIFS('Lead Management'!$O$4:$O$1003,$C48,'Lead Management'!$P$4:$P$1003,"&gt;="&amp;$D48,'Lead Management'!$P$4:$P$1003,"&lt;="&amp;$E48))</f>
        <v/>
      </c>
      <c r="L48" s="34" t="str">
        <f aca="false">IF(OR($A48="",$K48=0),"",$G48/$K48)</f>
        <v/>
      </c>
      <c r="M48" s="30" t="str">
        <f aca="false">IF($A48="","",COUNTIFS('Lead Management'!$O$4:$O$1003,$C48,'Lead Management'!$P$4:$P$1003,"&gt;="&amp;$D48,'Lead Management'!$P$4:$P$1003,"&lt;="&amp;$E48,'Lead Management'!$V$4:$V$1003,"Yes"))</f>
        <v/>
      </c>
      <c r="N48" s="30" t="str">
        <f aca="false">IF($A48="","",COUNTIFS(Customers!$S$4:$S$1003,$C48,Customers!$T$4:$T$1003,"&gt;="&amp;$D48,Customers!$T$4:$T$1003,"&lt;="&amp;$E48))</f>
        <v/>
      </c>
      <c r="O48" s="34" t="str">
        <f aca="false">IF($A48="","",SUMIFS(Customers!$M$4:$M$1003,Customers!$S$4:$S$1003,$C48,Customers!$T$4:$T$1003,"&gt;="&amp;$D48,Customers!$T$4:$T$1003,"&lt;="&amp;$E48))</f>
        <v/>
      </c>
      <c r="P48" s="35" t="str">
        <f aca="false">IF(OR($A48="",$G48=0),"",($O48-$G48)/$G48)</f>
        <v/>
      </c>
      <c r="Q48" s="35" t="str">
        <f aca="false">IF(OR($A48="",$K48=0),"",$N48/$K48)</f>
        <v/>
      </c>
      <c r="R48" s="27"/>
      <c r="S48" s="32"/>
    </row>
    <row r="49" customFormat="false" ht="15.75" hidden="false" customHeight="true" outlineLevel="0" collapsed="false">
      <c r="A49" s="27"/>
      <c r="B49" s="28"/>
      <c r="C49" s="27"/>
      <c r="D49" s="29"/>
      <c r="E49" s="29"/>
      <c r="F49" s="41"/>
      <c r="G49" s="41"/>
      <c r="H49" s="49"/>
      <c r="I49" s="49"/>
      <c r="J49" s="50" t="str">
        <f aca="false">IF(OR($A49="",$H49=0),"",$I49/$H49)</f>
        <v/>
      </c>
      <c r="K49" s="30" t="str">
        <f aca="false">IF($A49="","",COUNTIFS('Lead Management'!$O$4:$O$1003,$C49,'Lead Management'!$P$4:$P$1003,"&gt;="&amp;$D49,'Lead Management'!$P$4:$P$1003,"&lt;="&amp;$E49))</f>
        <v/>
      </c>
      <c r="L49" s="34" t="str">
        <f aca="false">IF(OR($A49="",$K49=0),"",$G49/$K49)</f>
        <v/>
      </c>
      <c r="M49" s="30" t="str">
        <f aca="false">IF($A49="","",COUNTIFS('Lead Management'!$O$4:$O$1003,$C49,'Lead Management'!$P$4:$P$1003,"&gt;="&amp;$D49,'Lead Management'!$P$4:$P$1003,"&lt;="&amp;$E49,'Lead Management'!$V$4:$V$1003,"Yes"))</f>
        <v/>
      </c>
      <c r="N49" s="30" t="str">
        <f aca="false">IF($A49="","",COUNTIFS(Customers!$S$4:$S$1003,$C49,Customers!$T$4:$T$1003,"&gt;="&amp;$D49,Customers!$T$4:$T$1003,"&lt;="&amp;$E49))</f>
        <v/>
      </c>
      <c r="O49" s="34" t="str">
        <f aca="false">IF($A49="","",SUMIFS(Customers!$M$4:$M$1003,Customers!$S$4:$S$1003,$C49,Customers!$T$4:$T$1003,"&gt;="&amp;$D49,Customers!$T$4:$T$1003,"&lt;="&amp;$E49))</f>
        <v/>
      </c>
      <c r="P49" s="35" t="str">
        <f aca="false">IF(OR($A49="",$G49=0),"",($O49-$G49)/$G49)</f>
        <v/>
      </c>
      <c r="Q49" s="35" t="str">
        <f aca="false">IF(OR($A49="",$K49=0),"",$N49/$K49)</f>
        <v/>
      </c>
      <c r="R49" s="27"/>
      <c r="S49" s="32"/>
    </row>
    <row r="50" customFormat="false" ht="15.75" hidden="false" customHeight="true" outlineLevel="0" collapsed="false">
      <c r="A50" s="27"/>
      <c r="B50" s="28"/>
      <c r="C50" s="27"/>
      <c r="D50" s="29"/>
      <c r="E50" s="29"/>
      <c r="F50" s="41"/>
      <c r="G50" s="41"/>
      <c r="H50" s="49"/>
      <c r="I50" s="49"/>
      <c r="J50" s="50" t="str">
        <f aca="false">IF(OR($A50="",$H50=0),"",$I50/$H50)</f>
        <v/>
      </c>
      <c r="K50" s="30" t="str">
        <f aca="false">IF($A50="","",COUNTIFS('Lead Management'!$O$4:$O$1003,$C50,'Lead Management'!$P$4:$P$1003,"&gt;="&amp;$D50,'Lead Management'!$P$4:$P$1003,"&lt;="&amp;$E50))</f>
        <v/>
      </c>
      <c r="L50" s="34" t="str">
        <f aca="false">IF(OR($A50="",$K50=0),"",$G50/$K50)</f>
        <v/>
      </c>
      <c r="M50" s="30" t="str">
        <f aca="false">IF($A50="","",COUNTIFS('Lead Management'!$O$4:$O$1003,$C50,'Lead Management'!$P$4:$P$1003,"&gt;="&amp;$D50,'Lead Management'!$P$4:$P$1003,"&lt;="&amp;$E50,'Lead Management'!$V$4:$V$1003,"Yes"))</f>
        <v/>
      </c>
      <c r="N50" s="30" t="str">
        <f aca="false">IF($A50="","",COUNTIFS(Customers!$S$4:$S$1003,$C50,Customers!$T$4:$T$1003,"&gt;="&amp;$D50,Customers!$T$4:$T$1003,"&lt;="&amp;$E50))</f>
        <v/>
      </c>
      <c r="O50" s="34" t="str">
        <f aca="false">IF($A50="","",SUMIFS(Customers!$M$4:$M$1003,Customers!$S$4:$S$1003,$C50,Customers!$T$4:$T$1003,"&gt;="&amp;$D50,Customers!$T$4:$T$1003,"&lt;="&amp;$E50))</f>
        <v/>
      </c>
      <c r="P50" s="35" t="str">
        <f aca="false">IF(OR($A50="",$G50=0),"",($O50-$G50)/$G50)</f>
        <v/>
      </c>
      <c r="Q50" s="35" t="str">
        <f aca="false">IF(OR($A50="",$K50=0),"",$N50/$K50)</f>
        <v/>
      </c>
      <c r="R50" s="27"/>
      <c r="S50" s="32"/>
    </row>
    <row r="51" customFormat="false" ht="15.75" hidden="false" customHeight="true" outlineLevel="0" collapsed="false">
      <c r="A51" s="27"/>
      <c r="B51" s="28"/>
      <c r="C51" s="27"/>
      <c r="D51" s="29"/>
      <c r="E51" s="29"/>
      <c r="F51" s="41"/>
      <c r="G51" s="41"/>
      <c r="H51" s="49"/>
      <c r="I51" s="49"/>
      <c r="J51" s="50" t="str">
        <f aca="false">IF(OR($A51="",$H51=0),"",$I51/$H51)</f>
        <v/>
      </c>
      <c r="K51" s="30" t="str">
        <f aca="false">IF($A51="","",COUNTIFS('Lead Management'!$O$4:$O$1003,$C51,'Lead Management'!$P$4:$P$1003,"&gt;="&amp;$D51,'Lead Management'!$P$4:$P$1003,"&lt;="&amp;$E51))</f>
        <v/>
      </c>
      <c r="L51" s="34" t="str">
        <f aca="false">IF(OR($A51="",$K51=0),"",$G51/$K51)</f>
        <v/>
      </c>
      <c r="M51" s="30" t="str">
        <f aca="false">IF($A51="","",COUNTIFS('Lead Management'!$O$4:$O$1003,$C51,'Lead Management'!$P$4:$P$1003,"&gt;="&amp;$D51,'Lead Management'!$P$4:$P$1003,"&lt;="&amp;$E51,'Lead Management'!$V$4:$V$1003,"Yes"))</f>
        <v/>
      </c>
      <c r="N51" s="30" t="str">
        <f aca="false">IF($A51="","",COUNTIFS(Customers!$S$4:$S$1003,$C51,Customers!$T$4:$T$1003,"&gt;="&amp;$D51,Customers!$T$4:$T$1003,"&lt;="&amp;$E51))</f>
        <v/>
      </c>
      <c r="O51" s="34" t="str">
        <f aca="false">IF($A51="","",SUMIFS(Customers!$M$4:$M$1003,Customers!$S$4:$S$1003,$C51,Customers!$T$4:$T$1003,"&gt;="&amp;$D51,Customers!$T$4:$T$1003,"&lt;="&amp;$E51))</f>
        <v/>
      </c>
      <c r="P51" s="35" t="str">
        <f aca="false">IF(OR($A51="",$G51=0),"",($O51-$G51)/$G51)</f>
        <v/>
      </c>
      <c r="Q51" s="35" t="str">
        <f aca="false">IF(OR($A51="",$K51=0),"",$N51/$K51)</f>
        <v/>
      </c>
      <c r="R51" s="27"/>
      <c r="S51" s="32"/>
    </row>
    <row r="52" customFormat="false" ht="15.75" hidden="false" customHeight="true" outlineLevel="0" collapsed="false">
      <c r="A52" s="27"/>
      <c r="B52" s="28"/>
      <c r="C52" s="27"/>
      <c r="D52" s="29"/>
      <c r="E52" s="29"/>
      <c r="F52" s="41"/>
      <c r="G52" s="41"/>
      <c r="H52" s="49"/>
      <c r="I52" s="49"/>
      <c r="J52" s="50" t="str">
        <f aca="false">IF(OR($A52="",$H52=0),"",$I52/$H52)</f>
        <v/>
      </c>
      <c r="K52" s="30" t="str">
        <f aca="false">IF($A52="","",COUNTIFS('Lead Management'!$O$4:$O$1003,$C52,'Lead Management'!$P$4:$P$1003,"&gt;="&amp;$D52,'Lead Management'!$P$4:$P$1003,"&lt;="&amp;$E52))</f>
        <v/>
      </c>
      <c r="L52" s="34" t="str">
        <f aca="false">IF(OR($A52="",$K52=0),"",$G52/$K52)</f>
        <v/>
      </c>
      <c r="M52" s="30" t="str">
        <f aca="false">IF($A52="","",COUNTIFS('Lead Management'!$O$4:$O$1003,$C52,'Lead Management'!$P$4:$P$1003,"&gt;="&amp;$D52,'Lead Management'!$P$4:$P$1003,"&lt;="&amp;$E52,'Lead Management'!$V$4:$V$1003,"Yes"))</f>
        <v/>
      </c>
      <c r="N52" s="30" t="str">
        <f aca="false">IF($A52="","",COUNTIFS(Customers!$S$4:$S$1003,$C52,Customers!$T$4:$T$1003,"&gt;="&amp;$D52,Customers!$T$4:$T$1003,"&lt;="&amp;$E52))</f>
        <v/>
      </c>
      <c r="O52" s="34" t="str">
        <f aca="false">IF($A52="","",SUMIFS(Customers!$M$4:$M$1003,Customers!$S$4:$S$1003,$C52,Customers!$T$4:$T$1003,"&gt;="&amp;$D52,Customers!$T$4:$T$1003,"&lt;="&amp;$E52))</f>
        <v/>
      </c>
      <c r="P52" s="35" t="str">
        <f aca="false">IF(OR($A52="",$G52=0),"",($O52-$G52)/$G52)</f>
        <v/>
      </c>
      <c r="Q52" s="35" t="str">
        <f aca="false">IF(OR($A52="",$K52=0),"",$N52/$K52)</f>
        <v/>
      </c>
      <c r="R52" s="27"/>
      <c r="S52" s="32"/>
    </row>
    <row r="53" customFormat="false" ht="15.75" hidden="false" customHeight="true" outlineLevel="0" collapsed="false">
      <c r="A53" s="27"/>
      <c r="B53" s="28"/>
      <c r="C53" s="27"/>
      <c r="D53" s="29"/>
      <c r="E53" s="29"/>
      <c r="F53" s="41"/>
      <c r="G53" s="41"/>
      <c r="H53" s="49"/>
      <c r="I53" s="49"/>
      <c r="J53" s="50" t="str">
        <f aca="false">IF(OR($A53="",$H53=0),"",$I53/$H53)</f>
        <v/>
      </c>
      <c r="K53" s="30" t="str">
        <f aca="false">IF($A53="","",COUNTIFS('Lead Management'!$O$4:$O$1003,$C53,'Lead Management'!$P$4:$P$1003,"&gt;="&amp;$D53,'Lead Management'!$P$4:$P$1003,"&lt;="&amp;$E53))</f>
        <v/>
      </c>
      <c r="L53" s="34" t="str">
        <f aca="false">IF(OR($A53="",$K53=0),"",$G53/$K53)</f>
        <v/>
      </c>
      <c r="M53" s="30" t="str">
        <f aca="false">IF($A53="","",COUNTIFS('Lead Management'!$O$4:$O$1003,$C53,'Lead Management'!$P$4:$P$1003,"&gt;="&amp;$D53,'Lead Management'!$P$4:$P$1003,"&lt;="&amp;$E53,'Lead Management'!$V$4:$V$1003,"Yes"))</f>
        <v/>
      </c>
      <c r="N53" s="30" t="str">
        <f aca="false">IF($A53="","",COUNTIFS(Customers!$S$4:$S$1003,$C53,Customers!$T$4:$T$1003,"&gt;="&amp;$D53,Customers!$T$4:$T$1003,"&lt;="&amp;$E53))</f>
        <v/>
      </c>
      <c r="O53" s="34" t="str">
        <f aca="false">IF($A53="","",SUMIFS(Customers!$M$4:$M$1003,Customers!$S$4:$S$1003,$C53,Customers!$T$4:$T$1003,"&gt;="&amp;$D53,Customers!$T$4:$T$1003,"&lt;="&amp;$E53))</f>
        <v/>
      </c>
      <c r="P53" s="35" t="str">
        <f aca="false">IF(OR($A53="",$G53=0),"",($O53-$G53)/$G53)</f>
        <v/>
      </c>
      <c r="Q53" s="35" t="str">
        <f aca="false">IF(OR($A53="",$K53=0),"",$N53/$K53)</f>
        <v/>
      </c>
      <c r="R53" s="27"/>
      <c r="S53" s="32"/>
    </row>
    <row r="54" customFormat="false" ht="15.75" hidden="false" customHeight="true" outlineLevel="0" collapsed="false">
      <c r="A54" s="27"/>
      <c r="B54" s="28"/>
      <c r="C54" s="27"/>
      <c r="D54" s="29"/>
      <c r="E54" s="29"/>
      <c r="F54" s="41"/>
      <c r="G54" s="41"/>
      <c r="H54" s="49"/>
      <c r="I54" s="49"/>
      <c r="J54" s="50" t="str">
        <f aca="false">IF(OR($A54="",$H54=0),"",$I54/$H54)</f>
        <v/>
      </c>
      <c r="K54" s="30" t="str">
        <f aca="false">IF($A54="","",COUNTIFS('Lead Management'!$O$4:$O$1003,$C54,'Lead Management'!$P$4:$P$1003,"&gt;="&amp;$D54,'Lead Management'!$P$4:$P$1003,"&lt;="&amp;$E54))</f>
        <v/>
      </c>
      <c r="L54" s="34" t="str">
        <f aca="false">IF(OR($A54="",$K54=0),"",$G54/$K54)</f>
        <v/>
      </c>
      <c r="M54" s="30" t="str">
        <f aca="false">IF($A54="","",COUNTIFS('Lead Management'!$O$4:$O$1003,$C54,'Lead Management'!$P$4:$P$1003,"&gt;="&amp;$D54,'Lead Management'!$P$4:$P$1003,"&lt;="&amp;$E54,'Lead Management'!$V$4:$V$1003,"Yes"))</f>
        <v/>
      </c>
      <c r="N54" s="30" t="str">
        <f aca="false">IF($A54="","",COUNTIFS(Customers!$S$4:$S$1003,$C54,Customers!$T$4:$T$1003,"&gt;="&amp;$D54,Customers!$T$4:$T$1003,"&lt;="&amp;$E54))</f>
        <v/>
      </c>
      <c r="O54" s="34" t="str">
        <f aca="false">IF($A54="","",SUMIFS(Customers!$M$4:$M$1003,Customers!$S$4:$S$1003,$C54,Customers!$T$4:$T$1003,"&gt;="&amp;$D54,Customers!$T$4:$T$1003,"&lt;="&amp;$E54))</f>
        <v/>
      </c>
      <c r="P54" s="35" t="str">
        <f aca="false">IF(OR($A54="",$G54=0),"",($O54-$G54)/$G54)</f>
        <v/>
      </c>
      <c r="Q54" s="35" t="str">
        <f aca="false">IF(OR($A54="",$K54=0),"",$N54/$K54)</f>
        <v/>
      </c>
      <c r="R54" s="27"/>
      <c r="S54" s="32"/>
    </row>
    <row r="55" customFormat="false" ht="15.75" hidden="false" customHeight="true" outlineLevel="0" collapsed="false">
      <c r="A55" s="27"/>
      <c r="B55" s="28"/>
      <c r="C55" s="27"/>
      <c r="D55" s="29"/>
      <c r="E55" s="29"/>
      <c r="F55" s="41"/>
      <c r="G55" s="41"/>
      <c r="H55" s="49"/>
      <c r="I55" s="49"/>
      <c r="J55" s="50" t="str">
        <f aca="false">IF(OR($A55="",$H55=0),"",$I55/$H55)</f>
        <v/>
      </c>
      <c r="K55" s="30" t="str">
        <f aca="false">IF($A55="","",COUNTIFS('Lead Management'!$O$4:$O$1003,$C55,'Lead Management'!$P$4:$P$1003,"&gt;="&amp;$D55,'Lead Management'!$P$4:$P$1003,"&lt;="&amp;$E55))</f>
        <v/>
      </c>
      <c r="L55" s="34" t="str">
        <f aca="false">IF(OR($A55="",$K55=0),"",$G55/$K55)</f>
        <v/>
      </c>
      <c r="M55" s="30" t="str">
        <f aca="false">IF($A55="","",COUNTIFS('Lead Management'!$O$4:$O$1003,$C55,'Lead Management'!$P$4:$P$1003,"&gt;="&amp;$D55,'Lead Management'!$P$4:$P$1003,"&lt;="&amp;$E55,'Lead Management'!$V$4:$V$1003,"Yes"))</f>
        <v/>
      </c>
      <c r="N55" s="30" t="str">
        <f aca="false">IF($A55="","",COUNTIFS(Customers!$S$4:$S$1003,$C55,Customers!$T$4:$T$1003,"&gt;="&amp;$D55,Customers!$T$4:$T$1003,"&lt;="&amp;$E55))</f>
        <v/>
      </c>
      <c r="O55" s="34" t="str">
        <f aca="false">IF($A55="","",SUMIFS(Customers!$M$4:$M$1003,Customers!$S$4:$S$1003,$C55,Customers!$T$4:$T$1003,"&gt;="&amp;$D55,Customers!$T$4:$T$1003,"&lt;="&amp;$E55))</f>
        <v/>
      </c>
      <c r="P55" s="35" t="str">
        <f aca="false">IF(OR($A55="",$G55=0),"",($O55-$G55)/$G55)</f>
        <v/>
      </c>
      <c r="Q55" s="35" t="str">
        <f aca="false">IF(OR($A55="",$K55=0),"",$N55/$K55)</f>
        <v/>
      </c>
      <c r="R55" s="27"/>
      <c r="S55" s="32"/>
    </row>
    <row r="56" customFormat="false" ht="15.75" hidden="false" customHeight="true" outlineLevel="0" collapsed="false">
      <c r="A56" s="27"/>
      <c r="B56" s="28"/>
      <c r="C56" s="27"/>
      <c r="D56" s="29"/>
      <c r="E56" s="29"/>
      <c r="F56" s="41"/>
      <c r="G56" s="41"/>
      <c r="H56" s="49"/>
      <c r="I56" s="49"/>
      <c r="J56" s="50" t="str">
        <f aca="false">IF(OR($A56="",$H56=0),"",$I56/$H56)</f>
        <v/>
      </c>
      <c r="K56" s="30" t="str">
        <f aca="false">IF($A56="","",COUNTIFS('Lead Management'!$O$4:$O$1003,$C56,'Lead Management'!$P$4:$P$1003,"&gt;="&amp;$D56,'Lead Management'!$P$4:$P$1003,"&lt;="&amp;$E56))</f>
        <v/>
      </c>
      <c r="L56" s="34" t="str">
        <f aca="false">IF(OR($A56="",$K56=0),"",$G56/$K56)</f>
        <v/>
      </c>
      <c r="M56" s="30" t="str">
        <f aca="false">IF($A56="","",COUNTIFS('Lead Management'!$O$4:$O$1003,$C56,'Lead Management'!$P$4:$P$1003,"&gt;="&amp;$D56,'Lead Management'!$P$4:$P$1003,"&lt;="&amp;$E56,'Lead Management'!$V$4:$V$1003,"Yes"))</f>
        <v/>
      </c>
      <c r="N56" s="30" t="str">
        <f aca="false">IF($A56="","",COUNTIFS(Customers!$S$4:$S$1003,$C56,Customers!$T$4:$T$1003,"&gt;="&amp;$D56,Customers!$T$4:$T$1003,"&lt;="&amp;$E56))</f>
        <v/>
      </c>
      <c r="O56" s="34" t="str">
        <f aca="false">IF($A56="","",SUMIFS(Customers!$M$4:$M$1003,Customers!$S$4:$S$1003,$C56,Customers!$T$4:$T$1003,"&gt;="&amp;$D56,Customers!$T$4:$T$1003,"&lt;="&amp;$E56))</f>
        <v/>
      </c>
      <c r="P56" s="35" t="str">
        <f aca="false">IF(OR($A56="",$G56=0),"",($O56-$G56)/$G56)</f>
        <v/>
      </c>
      <c r="Q56" s="35" t="str">
        <f aca="false">IF(OR($A56="",$K56=0),"",$N56/$K56)</f>
        <v/>
      </c>
      <c r="R56" s="27"/>
      <c r="S56" s="32"/>
    </row>
    <row r="57" customFormat="false" ht="15.75" hidden="false" customHeight="true" outlineLevel="0" collapsed="false">
      <c r="A57" s="27"/>
      <c r="B57" s="28"/>
      <c r="C57" s="27"/>
      <c r="D57" s="29"/>
      <c r="E57" s="29"/>
      <c r="F57" s="41"/>
      <c r="G57" s="41"/>
      <c r="H57" s="49"/>
      <c r="I57" s="49"/>
      <c r="J57" s="50" t="str">
        <f aca="false">IF(OR($A57="",$H57=0),"",$I57/$H57)</f>
        <v/>
      </c>
      <c r="K57" s="30" t="str">
        <f aca="false">IF($A57="","",COUNTIFS('Lead Management'!$O$4:$O$1003,$C57,'Lead Management'!$P$4:$P$1003,"&gt;="&amp;$D57,'Lead Management'!$P$4:$P$1003,"&lt;="&amp;$E57))</f>
        <v/>
      </c>
      <c r="L57" s="34" t="str">
        <f aca="false">IF(OR($A57="",$K57=0),"",$G57/$K57)</f>
        <v/>
      </c>
      <c r="M57" s="30" t="str">
        <f aca="false">IF($A57="","",COUNTIFS('Lead Management'!$O$4:$O$1003,$C57,'Lead Management'!$P$4:$P$1003,"&gt;="&amp;$D57,'Lead Management'!$P$4:$P$1003,"&lt;="&amp;$E57,'Lead Management'!$V$4:$V$1003,"Yes"))</f>
        <v/>
      </c>
      <c r="N57" s="30" t="str">
        <f aca="false">IF($A57="","",COUNTIFS(Customers!$S$4:$S$1003,$C57,Customers!$T$4:$T$1003,"&gt;="&amp;$D57,Customers!$T$4:$T$1003,"&lt;="&amp;$E57))</f>
        <v/>
      </c>
      <c r="O57" s="34" t="str">
        <f aca="false">IF($A57="","",SUMIFS(Customers!$M$4:$M$1003,Customers!$S$4:$S$1003,$C57,Customers!$T$4:$T$1003,"&gt;="&amp;$D57,Customers!$T$4:$T$1003,"&lt;="&amp;$E57))</f>
        <v/>
      </c>
      <c r="P57" s="35" t="str">
        <f aca="false">IF(OR($A57="",$G57=0),"",($O57-$G57)/$G57)</f>
        <v/>
      </c>
      <c r="Q57" s="35" t="str">
        <f aca="false">IF(OR($A57="",$K57=0),"",$N57/$K57)</f>
        <v/>
      </c>
      <c r="R57" s="27"/>
      <c r="S57" s="32"/>
    </row>
    <row r="58" customFormat="false" ht="15.75" hidden="false" customHeight="true" outlineLevel="0" collapsed="false">
      <c r="A58" s="27"/>
      <c r="B58" s="28"/>
      <c r="C58" s="27"/>
      <c r="D58" s="29"/>
      <c r="E58" s="29"/>
      <c r="F58" s="41"/>
      <c r="G58" s="41"/>
      <c r="H58" s="49"/>
      <c r="I58" s="49"/>
      <c r="J58" s="50" t="str">
        <f aca="false">IF(OR($A58="",$H58=0),"",$I58/$H58)</f>
        <v/>
      </c>
      <c r="K58" s="30" t="str">
        <f aca="false">IF($A58="","",COUNTIFS('Lead Management'!$O$4:$O$1003,$C58,'Lead Management'!$P$4:$P$1003,"&gt;="&amp;$D58,'Lead Management'!$P$4:$P$1003,"&lt;="&amp;$E58))</f>
        <v/>
      </c>
      <c r="L58" s="34" t="str">
        <f aca="false">IF(OR($A58="",$K58=0),"",$G58/$K58)</f>
        <v/>
      </c>
      <c r="M58" s="30" t="str">
        <f aca="false">IF($A58="","",COUNTIFS('Lead Management'!$O$4:$O$1003,$C58,'Lead Management'!$P$4:$P$1003,"&gt;="&amp;$D58,'Lead Management'!$P$4:$P$1003,"&lt;="&amp;$E58,'Lead Management'!$V$4:$V$1003,"Yes"))</f>
        <v/>
      </c>
      <c r="N58" s="30" t="str">
        <f aca="false">IF($A58="","",COUNTIFS(Customers!$S$4:$S$1003,$C58,Customers!$T$4:$T$1003,"&gt;="&amp;$D58,Customers!$T$4:$T$1003,"&lt;="&amp;$E58))</f>
        <v/>
      </c>
      <c r="O58" s="34" t="str">
        <f aca="false">IF($A58="","",SUMIFS(Customers!$M$4:$M$1003,Customers!$S$4:$S$1003,$C58,Customers!$T$4:$T$1003,"&gt;="&amp;$D58,Customers!$T$4:$T$1003,"&lt;="&amp;$E58))</f>
        <v/>
      </c>
      <c r="P58" s="35" t="str">
        <f aca="false">IF(OR($A58="",$G58=0),"",($O58-$G58)/$G58)</f>
        <v/>
      </c>
      <c r="Q58" s="35" t="str">
        <f aca="false">IF(OR($A58="",$K58=0),"",$N58/$K58)</f>
        <v/>
      </c>
      <c r="R58" s="27"/>
      <c r="S58" s="32"/>
    </row>
    <row r="59" customFormat="false" ht="15.75" hidden="false" customHeight="true" outlineLevel="0" collapsed="false">
      <c r="A59" s="27"/>
      <c r="B59" s="28"/>
      <c r="C59" s="27"/>
      <c r="D59" s="29"/>
      <c r="E59" s="29"/>
      <c r="F59" s="41"/>
      <c r="G59" s="41"/>
      <c r="H59" s="49"/>
      <c r="I59" s="49"/>
      <c r="J59" s="50" t="str">
        <f aca="false">IF(OR($A59="",$H59=0),"",$I59/$H59)</f>
        <v/>
      </c>
      <c r="K59" s="30" t="str">
        <f aca="false">IF($A59="","",COUNTIFS('Lead Management'!$O$4:$O$1003,$C59,'Lead Management'!$P$4:$P$1003,"&gt;="&amp;$D59,'Lead Management'!$P$4:$P$1003,"&lt;="&amp;$E59))</f>
        <v/>
      </c>
      <c r="L59" s="34" t="str">
        <f aca="false">IF(OR($A59="",$K59=0),"",$G59/$K59)</f>
        <v/>
      </c>
      <c r="M59" s="30" t="str">
        <f aca="false">IF($A59="","",COUNTIFS('Lead Management'!$O$4:$O$1003,$C59,'Lead Management'!$P$4:$P$1003,"&gt;="&amp;$D59,'Lead Management'!$P$4:$P$1003,"&lt;="&amp;$E59,'Lead Management'!$V$4:$V$1003,"Yes"))</f>
        <v/>
      </c>
      <c r="N59" s="30" t="str">
        <f aca="false">IF($A59="","",COUNTIFS(Customers!$S$4:$S$1003,$C59,Customers!$T$4:$T$1003,"&gt;="&amp;$D59,Customers!$T$4:$T$1003,"&lt;="&amp;$E59))</f>
        <v/>
      </c>
      <c r="O59" s="34" t="str">
        <f aca="false">IF($A59="","",SUMIFS(Customers!$M$4:$M$1003,Customers!$S$4:$S$1003,$C59,Customers!$T$4:$T$1003,"&gt;="&amp;$D59,Customers!$T$4:$T$1003,"&lt;="&amp;$E59))</f>
        <v/>
      </c>
      <c r="P59" s="35" t="str">
        <f aca="false">IF(OR($A59="",$G59=0),"",($O59-$G59)/$G59)</f>
        <v/>
      </c>
      <c r="Q59" s="35" t="str">
        <f aca="false">IF(OR($A59="",$K59=0),"",$N59/$K59)</f>
        <v/>
      </c>
      <c r="R59" s="27"/>
      <c r="S59" s="32"/>
    </row>
    <row r="60" customFormat="false" ht="15.75" hidden="false" customHeight="true" outlineLevel="0" collapsed="false">
      <c r="A60" s="27"/>
      <c r="B60" s="28"/>
      <c r="C60" s="27"/>
      <c r="D60" s="29"/>
      <c r="E60" s="29"/>
      <c r="F60" s="41"/>
      <c r="G60" s="41"/>
      <c r="H60" s="49"/>
      <c r="I60" s="49"/>
      <c r="J60" s="50" t="str">
        <f aca="false">IF(OR($A60="",$H60=0),"",$I60/$H60)</f>
        <v/>
      </c>
      <c r="K60" s="30" t="str">
        <f aca="false">IF($A60="","",COUNTIFS('Lead Management'!$O$4:$O$1003,$C60,'Lead Management'!$P$4:$P$1003,"&gt;="&amp;$D60,'Lead Management'!$P$4:$P$1003,"&lt;="&amp;$E60))</f>
        <v/>
      </c>
      <c r="L60" s="34" t="str">
        <f aca="false">IF(OR($A60="",$K60=0),"",$G60/$K60)</f>
        <v/>
      </c>
      <c r="M60" s="30" t="str">
        <f aca="false">IF($A60="","",COUNTIFS('Lead Management'!$O$4:$O$1003,$C60,'Lead Management'!$P$4:$P$1003,"&gt;="&amp;$D60,'Lead Management'!$P$4:$P$1003,"&lt;="&amp;$E60,'Lead Management'!$V$4:$V$1003,"Yes"))</f>
        <v/>
      </c>
      <c r="N60" s="30" t="str">
        <f aca="false">IF($A60="","",COUNTIFS(Customers!$S$4:$S$1003,$C60,Customers!$T$4:$T$1003,"&gt;="&amp;$D60,Customers!$T$4:$T$1003,"&lt;="&amp;$E60))</f>
        <v/>
      </c>
      <c r="O60" s="34" t="str">
        <f aca="false">IF($A60="","",SUMIFS(Customers!$M$4:$M$1003,Customers!$S$4:$S$1003,$C60,Customers!$T$4:$T$1003,"&gt;="&amp;$D60,Customers!$T$4:$T$1003,"&lt;="&amp;$E60))</f>
        <v/>
      </c>
      <c r="P60" s="35" t="str">
        <f aca="false">IF(OR($A60="",$G60=0),"",($O60-$G60)/$G60)</f>
        <v/>
      </c>
      <c r="Q60" s="35" t="str">
        <f aca="false">IF(OR($A60="",$K60=0),"",$N60/$K60)</f>
        <v/>
      </c>
      <c r="R60" s="27"/>
      <c r="S60" s="32"/>
    </row>
    <row r="61" customFormat="false" ht="15.75" hidden="false" customHeight="true" outlineLevel="0" collapsed="false">
      <c r="A61" s="27"/>
      <c r="B61" s="28"/>
      <c r="C61" s="27"/>
      <c r="D61" s="29"/>
      <c r="E61" s="29"/>
      <c r="F61" s="41"/>
      <c r="G61" s="41"/>
      <c r="H61" s="49"/>
      <c r="I61" s="49"/>
      <c r="J61" s="50" t="str">
        <f aca="false">IF(OR($A61="",$H61=0),"",$I61/$H61)</f>
        <v/>
      </c>
      <c r="K61" s="30" t="str">
        <f aca="false">IF($A61="","",COUNTIFS('Lead Management'!$O$4:$O$1003,$C61,'Lead Management'!$P$4:$P$1003,"&gt;="&amp;$D61,'Lead Management'!$P$4:$P$1003,"&lt;="&amp;$E61))</f>
        <v/>
      </c>
      <c r="L61" s="34" t="str">
        <f aca="false">IF(OR($A61="",$K61=0),"",$G61/$K61)</f>
        <v/>
      </c>
      <c r="M61" s="30" t="str">
        <f aca="false">IF($A61="","",COUNTIFS('Lead Management'!$O$4:$O$1003,$C61,'Lead Management'!$P$4:$P$1003,"&gt;="&amp;$D61,'Lead Management'!$P$4:$P$1003,"&lt;="&amp;$E61,'Lead Management'!$V$4:$V$1003,"Yes"))</f>
        <v/>
      </c>
      <c r="N61" s="30" t="str">
        <f aca="false">IF($A61="","",COUNTIFS(Customers!$S$4:$S$1003,$C61,Customers!$T$4:$T$1003,"&gt;="&amp;$D61,Customers!$T$4:$T$1003,"&lt;="&amp;$E61))</f>
        <v/>
      </c>
      <c r="O61" s="34" t="str">
        <f aca="false">IF($A61="","",SUMIFS(Customers!$M$4:$M$1003,Customers!$S$4:$S$1003,$C61,Customers!$T$4:$T$1003,"&gt;="&amp;$D61,Customers!$T$4:$T$1003,"&lt;="&amp;$E61))</f>
        <v/>
      </c>
      <c r="P61" s="35" t="str">
        <f aca="false">IF(OR($A61="",$G61=0),"",($O61-$G61)/$G61)</f>
        <v/>
      </c>
      <c r="Q61" s="35" t="str">
        <f aca="false">IF(OR($A61="",$K61=0),"",$N61/$K61)</f>
        <v/>
      </c>
      <c r="R61" s="27"/>
      <c r="S61" s="32"/>
    </row>
    <row r="62" customFormat="false" ht="15.75" hidden="false" customHeight="true" outlineLevel="0" collapsed="false">
      <c r="A62" s="27"/>
      <c r="B62" s="28"/>
      <c r="C62" s="27"/>
      <c r="D62" s="29"/>
      <c r="E62" s="29"/>
      <c r="F62" s="41"/>
      <c r="G62" s="41"/>
      <c r="H62" s="49"/>
      <c r="I62" s="49"/>
      <c r="J62" s="50" t="str">
        <f aca="false">IF(OR($A62="",$H62=0),"",$I62/$H62)</f>
        <v/>
      </c>
      <c r="K62" s="30" t="str">
        <f aca="false">IF($A62="","",COUNTIFS('Lead Management'!$O$4:$O$1003,$C62,'Lead Management'!$P$4:$P$1003,"&gt;="&amp;$D62,'Lead Management'!$P$4:$P$1003,"&lt;="&amp;$E62))</f>
        <v/>
      </c>
      <c r="L62" s="34" t="str">
        <f aca="false">IF(OR($A62="",$K62=0),"",$G62/$K62)</f>
        <v/>
      </c>
      <c r="M62" s="30" t="str">
        <f aca="false">IF($A62="","",COUNTIFS('Lead Management'!$O$4:$O$1003,$C62,'Lead Management'!$P$4:$P$1003,"&gt;="&amp;$D62,'Lead Management'!$P$4:$P$1003,"&lt;="&amp;$E62,'Lead Management'!$V$4:$V$1003,"Yes"))</f>
        <v/>
      </c>
      <c r="N62" s="30" t="str">
        <f aca="false">IF($A62="","",COUNTIFS(Customers!$S$4:$S$1003,$C62,Customers!$T$4:$T$1003,"&gt;="&amp;$D62,Customers!$T$4:$T$1003,"&lt;="&amp;$E62))</f>
        <v/>
      </c>
      <c r="O62" s="34" t="str">
        <f aca="false">IF($A62="","",SUMIFS(Customers!$M$4:$M$1003,Customers!$S$4:$S$1003,$C62,Customers!$T$4:$T$1003,"&gt;="&amp;$D62,Customers!$T$4:$T$1003,"&lt;="&amp;$E62))</f>
        <v/>
      </c>
      <c r="P62" s="35" t="str">
        <f aca="false">IF(OR($A62="",$G62=0),"",($O62-$G62)/$G62)</f>
        <v/>
      </c>
      <c r="Q62" s="35" t="str">
        <f aca="false">IF(OR($A62="",$K62=0),"",$N62/$K62)</f>
        <v/>
      </c>
      <c r="R62" s="27"/>
      <c r="S62" s="32"/>
    </row>
    <row r="63" customFormat="false" ht="15.75" hidden="false" customHeight="true" outlineLevel="0" collapsed="false">
      <c r="A63" s="27"/>
      <c r="B63" s="28"/>
      <c r="C63" s="27"/>
      <c r="D63" s="29"/>
      <c r="E63" s="29"/>
      <c r="F63" s="41"/>
      <c r="G63" s="41"/>
      <c r="H63" s="49"/>
      <c r="I63" s="49"/>
      <c r="J63" s="50" t="str">
        <f aca="false">IF(OR($A63="",$H63=0),"",$I63/$H63)</f>
        <v/>
      </c>
      <c r="K63" s="30" t="str">
        <f aca="false">IF($A63="","",COUNTIFS('Lead Management'!$O$4:$O$1003,$C63,'Lead Management'!$P$4:$P$1003,"&gt;="&amp;$D63,'Lead Management'!$P$4:$P$1003,"&lt;="&amp;$E63))</f>
        <v/>
      </c>
      <c r="L63" s="34" t="str">
        <f aca="false">IF(OR($A63="",$K63=0),"",$G63/$K63)</f>
        <v/>
      </c>
      <c r="M63" s="30" t="str">
        <f aca="false">IF($A63="","",COUNTIFS('Lead Management'!$O$4:$O$1003,$C63,'Lead Management'!$P$4:$P$1003,"&gt;="&amp;$D63,'Lead Management'!$P$4:$P$1003,"&lt;="&amp;$E63,'Lead Management'!$V$4:$V$1003,"Yes"))</f>
        <v/>
      </c>
      <c r="N63" s="30" t="str">
        <f aca="false">IF($A63="","",COUNTIFS(Customers!$S$4:$S$1003,$C63,Customers!$T$4:$T$1003,"&gt;="&amp;$D63,Customers!$T$4:$T$1003,"&lt;="&amp;$E63))</f>
        <v/>
      </c>
      <c r="O63" s="34" t="str">
        <f aca="false">IF($A63="","",SUMIFS(Customers!$M$4:$M$1003,Customers!$S$4:$S$1003,$C63,Customers!$T$4:$T$1003,"&gt;="&amp;$D63,Customers!$T$4:$T$1003,"&lt;="&amp;$E63))</f>
        <v/>
      </c>
      <c r="P63" s="35" t="str">
        <f aca="false">IF(OR($A63="",$G63=0),"",($O63-$G63)/$G63)</f>
        <v/>
      </c>
      <c r="Q63" s="35" t="str">
        <f aca="false">IF(OR($A63="",$K63=0),"",$N63/$K63)</f>
        <v/>
      </c>
      <c r="R63" s="27"/>
      <c r="S63" s="32"/>
    </row>
    <row r="64" customFormat="false" ht="15.75" hidden="false" customHeight="true" outlineLevel="0" collapsed="false">
      <c r="A64" s="27"/>
      <c r="B64" s="28"/>
      <c r="C64" s="27"/>
      <c r="D64" s="29"/>
      <c r="E64" s="29"/>
      <c r="F64" s="41"/>
      <c r="G64" s="41"/>
      <c r="H64" s="49"/>
      <c r="I64" s="49"/>
      <c r="J64" s="50" t="str">
        <f aca="false">IF(OR($A64="",$H64=0),"",$I64/$H64)</f>
        <v/>
      </c>
      <c r="K64" s="30" t="str">
        <f aca="false">IF($A64="","",COUNTIFS('Lead Management'!$O$4:$O$1003,$C64,'Lead Management'!$P$4:$P$1003,"&gt;="&amp;$D64,'Lead Management'!$P$4:$P$1003,"&lt;="&amp;$E64))</f>
        <v/>
      </c>
      <c r="L64" s="34" t="str">
        <f aca="false">IF(OR($A64="",$K64=0),"",$G64/$K64)</f>
        <v/>
      </c>
      <c r="M64" s="30" t="str">
        <f aca="false">IF($A64="","",COUNTIFS('Lead Management'!$O$4:$O$1003,$C64,'Lead Management'!$P$4:$P$1003,"&gt;="&amp;$D64,'Lead Management'!$P$4:$P$1003,"&lt;="&amp;$E64,'Lead Management'!$V$4:$V$1003,"Yes"))</f>
        <v/>
      </c>
      <c r="N64" s="30" t="str">
        <f aca="false">IF($A64="","",COUNTIFS(Customers!$S$4:$S$1003,$C64,Customers!$T$4:$T$1003,"&gt;="&amp;$D64,Customers!$T$4:$T$1003,"&lt;="&amp;$E64))</f>
        <v/>
      </c>
      <c r="O64" s="34" t="str">
        <f aca="false">IF($A64="","",SUMIFS(Customers!$M$4:$M$1003,Customers!$S$4:$S$1003,$C64,Customers!$T$4:$T$1003,"&gt;="&amp;$D64,Customers!$T$4:$T$1003,"&lt;="&amp;$E64))</f>
        <v/>
      </c>
      <c r="P64" s="35" t="str">
        <f aca="false">IF(OR($A64="",$G64=0),"",($O64-$G64)/$G64)</f>
        <v/>
      </c>
      <c r="Q64" s="35" t="str">
        <f aca="false">IF(OR($A64="",$K64=0),"",$N64/$K64)</f>
        <v/>
      </c>
      <c r="R64" s="27"/>
      <c r="S64" s="32"/>
    </row>
    <row r="65" customFormat="false" ht="15.75" hidden="false" customHeight="true" outlineLevel="0" collapsed="false">
      <c r="A65" s="27"/>
      <c r="B65" s="28"/>
      <c r="C65" s="27"/>
      <c r="D65" s="29"/>
      <c r="E65" s="29"/>
      <c r="F65" s="41"/>
      <c r="G65" s="41"/>
      <c r="H65" s="49"/>
      <c r="I65" s="49"/>
      <c r="J65" s="50" t="str">
        <f aca="false">IF(OR($A65="",$H65=0),"",$I65/$H65)</f>
        <v/>
      </c>
      <c r="K65" s="30" t="str">
        <f aca="false">IF($A65="","",COUNTIFS('Lead Management'!$O$4:$O$1003,$C65,'Lead Management'!$P$4:$P$1003,"&gt;="&amp;$D65,'Lead Management'!$P$4:$P$1003,"&lt;="&amp;$E65))</f>
        <v/>
      </c>
      <c r="L65" s="34" t="str">
        <f aca="false">IF(OR($A65="",$K65=0),"",$G65/$K65)</f>
        <v/>
      </c>
      <c r="M65" s="30" t="str">
        <f aca="false">IF($A65="","",COUNTIFS('Lead Management'!$O$4:$O$1003,$C65,'Lead Management'!$P$4:$P$1003,"&gt;="&amp;$D65,'Lead Management'!$P$4:$P$1003,"&lt;="&amp;$E65,'Lead Management'!$V$4:$V$1003,"Yes"))</f>
        <v/>
      </c>
      <c r="N65" s="30" t="str">
        <f aca="false">IF($A65="","",COUNTIFS(Customers!$S$4:$S$1003,$C65,Customers!$T$4:$T$1003,"&gt;="&amp;$D65,Customers!$T$4:$T$1003,"&lt;="&amp;$E65))</f>
        <v/>
      </c>
      <c r="O65" s="34" t="str">
        <f aca="false">IF($A65="","",SUMIFS(Customers!$M$4:$M$1003,Customers!$S$4:$S$1003,$C65,Customers!$T$4:$T$1003,"&gt;="&amp;$D65,Customers!$T$4:$T$1003,"&lt;="&amp;$E65))</f>
        <v/>
      </c>
      <c r="P65" s="35" t="str">
        <f aca="false">IF(OR($A65="",$G65=0),"",($O65-$G65)/$G65)</f>
        <v/>
      </c>
      <c r="Q65" s="35" t="str">
        <f aca="false">IF(OR($A65="",$K65=0),"",$N65/$K65)</f>
        <v/>
      </c>
      <c r="R65" s="27"/>
      <c r="S65" s="32"/>
    </row>
    <row r="66" customFormat="false" ht="15.75" hidden="false" customHeight="true" outlineLevel="0" collapsed="false">
      <c r="A66" s="27"/>
      <c r="B66" s="28"/>
      <c r="C66" s="27"/>
      <c r="D66" s="29"/>
      <c r="E66" s="29"/>
      <c r="F66" s="41"/>
      <c r="G66" s="41"/>
      <c r="H66" s="49"/>
      <c r="I66" s="49"/>
      <c r="J66" s="50" t="str">
        <f aca="false">IF(OR($A66="",$H66=0),"",$I66/$H66)</f>
        <v/>
      </c>
      <c r="K66" s="30" t="str">
        <f aca="false">IF($A66="","",COUNTIFS('Lead Management'!$O$4:$O$1003,$C66,'Lead Management'!$P$4:$P$1003,"&gt;="&amp;$D66,'Lead Management'!$P$4:$P$1003,"&lt;="&amp;$E66))</f>
        <v/>
      </c>
      <c r="L66" s="34" t="str">
        <f aca="false">IF(OR($A66="",$K66=0),"",$G66/$K66)</f>
        <v/>
      </c>
      <c r="M66" s="30" t="str">
        <f aca="false">IF($A66="","",COUNTIFS('Lead Management'!$O$4:$O$1003,$C66,'Lead Management'!$P$4:$P$1003,"&gt;="&amp;$D66,'Lead Management'!$P$4:$P$1003,"&lt;="&amp;$E66,'Lead Management'!$V$4:$V$1003,"Yes"))</f>
        <v/>
      </c>
      <c r="N66" s="30" t="str">
        <f aca="false">IF($A66="","",COUNTIFS(Customers!$S$4:$S$1003,$C66,Customers!$T$4:$T$1003,"&gt;="&amp;$D66,Customers!$T$4:$T$1003,"&lt;="&amp;$E66))</f>
        <v/>
      </c>
      <c r="O66" s="34" t="str">
        <f aca="false">IF($A66="","",SUMIFS(Customers!$M$4:$M$1003,Customers!$S$4:$S$1003,$C66,Customers!$T$4:$T$1003,"&gt;="&amp;$D66,Customers!$T$4:$T$1003,"&lt;="&amp;$E66))</f>
        <v/>
      </c>
      <c r="P66" s="35" t="str">
        <f aca="false">IF(OR($A66="",$G66=0),"",($O66-$G66)/$G66)</f>
        <v/>
      </c>
      <c r="Q66" s="35" t="str">
        <f aca="false">IF(OR($A66="",$K66=0),"",$N66/$K66)</f>
        <v/>
      </c>
      <c r="R66" s="27"/>
      <c r="S66" s="32"/>
    </row>
    <row r="67" customFormat="false" ht="15.75" hidden="false" customHeight="true" outlineLevel="0" collapsed="false">
      <c r="A67" s="27"/>
      <c r="B67" s="28"/>
      <c r="C67" s="27"/>
      <c r="D67" s="29"/>
      <c r="E67" s="29"/>
      <c r="F67" s="41"/>
      <c r="G67" s="41"/>
      <c r="H67" s="49"/>
      <c r="I67" s="49"/>
      <c r="J67" s="50" t="str">
        <f aca="false">IF(OR($A67="",$H67=0),"",$I67/$H67)</f>
        <v/>
      </c>
      <c r="K67" s="30" t="str">
        <f aca="false">IF($A67="","",COUNTIFS('Lead Management'!$O$4:$O$1003,$C67,'Lead Management'!$P$4:$P$1003,"&gt;="&amp;$D67,'Lead Management'!$P$4:$P$1003,"&lt;="&amp;$E67))</f>
        <v/>
      </c>
      <c r="L67" s="34" t="str">
        <f aca="false">IF(OR($A67="",$K67=0),"",$G67/$K67)</f>
        <v/>
      </c>
      <c r="M67" s="30" t="str">
        <f aca="false">IF($A67="","",COUNTIFS('Lead Management'!$O$4:$O$1003,$C67,'Lead Management'!$P$4:$P$1003,"&gt;="&amp;$D67,'Lead Management'!$P$4:$P$1003,"&lt;="&amp;$E67,'Lead Management'!$V$4:$V$1003,"Yes"))</f>
        <v/>
      </c>
      <c r="N67" s="30" t="str">
        <f aca="false">IF($A67="","",COUNTIFS(Customers!$S$4:$S$1003,$C67,Customers!$T$4:$T$1003,"&gt;="&amp;$D67,Customers!$T$4:$T$1003,"&lt;="&amp;$E67))</f>
        <v/>
      </c>
      <c r="O67" s="34" t="str">
        <f aca="false">IF($A67="","",SUMIFS(Customers!$M$4:$M$1003,Customers!$S$4:$S$1003,$C67,Customers!$T$4:$T$1003,"&gt;="&amp;$D67,Customers!$T$4:$T$1003,"&lt;="&amp;$E67))</f>
        <v/>
      </c>
      <c r="P67" s="35" t="str">
        <f aca="false">IF(OR($A67="",$G67=0),"",($O67-$G67)/$G67)</f>
        <v/>
      </c>
      <c r="Q67" s="35" t="str">
        <f aca="false">IF(OR($A67="",$K67=0),"",$N67/$K67)</f>
        <v/>
      </c>
      <c r="R67" s="27"/>
      <c r="S67" s="32"/>
    </row>
    <row r="68" customFormat="false" ht="15.75" hidden="false" customHeight="true" outlineLevel="0" collapsed="false">
      <c r="A68" s="27"/>
      <c r="B68" s="28"/>
      <c r="C68" s="27"/>
      <c r="D68" s="29"/>
      <c r="E68" s="29"/>
      <c r="F68" s="41"/>
      <c r="G68" s="41"/>
      <c r="H68" s="49"/>
      <c r="I68" s="49"/>
      <c r="J68" s="50" t="str">
        <f aca="false">IF(OR($A68="",$H68=0),"",$I68/$H68)</f>
        <v/>
      </c>
      <c r="K68" s="30" t="str">
        <f aca="false">IF($A68="","",COUNTIFS('Lead Management'!$O$4:$O$1003,$C68,'Lead Management'!$P$4:$P$1003,"&gt;="&amp;$D68,'Lead Management'!$P$4:$P$1003,"&lt;="&amp;$E68))</f>
        <v/>
      </c>
      <c r="L68" s="34" t="str">
        <f aca="false">IF(OR($A68="",$K68=0),"",$G68/$K68)</f>
        <v/>
      </c>
      <c r="M68" s="30" t="str">
        <f aca="false">IF($A68="","",COUNTIFS('Lead Management'!$O$4:$O$1003,$C68,'Lead Management'!$P$4:$P$1003,"&gt;="&amp;$D68,'Lead Management'!$P$4:$P$1003,"&lt;="&amp;$E68,'Lead Management'!$V$4:$V$1003,"Yes"))</f>
        <v/>
      </c>
      <c r="N68" s="30" t="str">
        <f aca="false">IF($A68="","",COUNTIFS(Customers!$S$4:$S$1003,$C68,Customers!$T$4:$T$1003,"&gt;="&amp;$D68,Customers!$T$4:$T$1003,"&lt;="&amp;$E68))</f>
        <v/>
      </c>
      <c r="O68" s="34" t="str">
        <f aca="false">IF($A68="","",SUMIFS(Customers!$M$4:$M$1003,Customers!$S$4:$S$1003,$C68,Customers!$T$4:$T$1003,"&gt;="&amp;$D68,Customers!$T$4:$T$1003,"&lt;="&amp;$E68))</f>
        <v/>
      </c>
      <c r="P68" s="35" t="str">
        <f aca="false">IF(OR($A68="",$G68=0),"",($O68-$G68)/$G68)</f>
        <v/>
      </c>
      <c r="Q68" s="35" t="str">
        <f aca="false">IF(OR($A68="",$K68=0),"",$N68/$K68)</f>
        <v/>
      </c>
      <c r="R68" s="27"/>
      <c r="S68" s="32"/>
    </row>
    <row r="69" customFormat="false" ht="15.75" hidden="false" customHeight="true" outlineLevel="0" collapsed="false">
      <c r="A69" s="27"/>
      <c r="B69" s="28"/>
      <c r="C69" s="27"/>
      <c r="D69" s="29"/>
      <c r="E69" s="29"/>
      <c r="F69" s="41"/>
      <c r="G69" s="41"/>
      <c r="H69" s="49"/>
      <c r="I69" s="49"/>
      <c r="J69" s="50" t="str">
        <f aca="false">IF(OR($A69="",$H69=0),"",$I69/$H69)</f>
        <v/>
      </c>
      <c r="K69" s="30" t="str">
        <f aca="false">IF($A69="","",COUNTIFS('Lead Management'!$O$4:$O$1003,$C69,'Lead Management'!$P$4:$P$1003,"&gt;="&amp;$D69,'Lead Management'!$P$4:$P$1003,"&lt;="&amp;$E69))</f>
        <v/>
      </c>
      <c r="L69" s="34" t="str">
        <f aca="false">IF(OR($A69="",$K69=0),"",$G69/$K69)</f>
        <v/>
      </c>
      <c r="M69" s="30" t="str">
        <f aca="false">IF($A69="","",COUNTIFS('Lead Management'!$O$4:$O$1003,$C69,'Lead Management'!$P$4:$P$1003,"&gt;="&amp;$D69,'Lead Management'!$P$4:$P$1003,"&lt;="&amp;$E69,'Lead Management'!$V$4:$V$1003,"Yes"))</f>
        <v/>
      </c>
      <c r="N69" s="30" t="str">
        <f aca="false">IF($A69="","",COUNTIFS(Customers!$S$4:$S$1003,$C69,Customers!$T$4:$T$1003,"&gt;="&amp;$D69,Customers!$T$4:$T$1003,"&lt;="&amp;$E69))</f>
        <v/>
      </c>
      <c r="O69" s="34" t="str">
        <f aca="false">IF($A69="","",SUMIFS(Customers!$M$4:$M$1003,Customers!$S$4:$S$1003,$C69,Customers!$T$4:$T$1003,"&gt;="&amp;$D69,Customers!$T$4:$T$1003,"&lt;="&amp;$E69))</f>
        <v/>
      </c>
      <c r="P69" s="35" t="str">
        <f aca="false">IF(OR($A69="",$G69=0),"",($O69-$G69)/$G69)</f>
        <v/>
      </c>
      <c r="Q69" s="35" t="str">
        <f aca="false">IF(OR($A69="",$K69=0),"",$N69/$K69)</f>
        <v/>
      </c>
      <c r="R69" s="27"/>
      <c r="S69" s="32"/>
    </row>
    <row r="70" customFormat="false" ht="15.75" hidden="false" customHeight="true" outlineLevel="0" collapsed="false">
      <c r="A70" s="27"/>
      <c r="B70" s="28"/>
      <c r="C70" s="27"/>
      <c r="D70" s="29"/>
      <c r="E70" s="29"/>
      <c r="F70" s="41"/>
      <c r="G70" s="41"/>
      <c r="H70" s="49"/>
      <c r="I70" s="49"/>
      <c r="J70" s="50" t="str">
        <f aca="false">IF(OR($A70="",$H70=0),"",$I70/$H70)</f>
        <v/>
      </c>
      <c r="K70" s="30" t="str">
        <f aca="false">IF($A70="","",COUNTIFS('Lead Management'!$O$4:$O$1003,$C70,'Lead Management'!$P$4:$P$1003,"&gt;="&amp;$D70,'Lead Management'!$P$4:$P$1003,"&lt;="&amp;$E70))</f>
        <v/>
      </c>
      <c r="L70" s="34" t="str">
        <f aca="false">IF(OR($A70="",$K70=0),"",$G70/$K70)</f>
        <v/>
      </c>
      <c r="M70" s="30" t="str">
        <f aca="false">IF($A70="","",COUNTIFS('Lead Management'!$O$4:$O$1003,$C70,'Lead Management'!$P$4:$P$1003,"&gt;="&amp;$D70,'Lead Management'!$P$4:$P$1003,"&lt;="&amp;$E70,'Lead Management'!$V$4:$V$1003,"Yes"))</f>
        <v/>
      </c>
      <c r="N70" s="30" t="str">
        <f aca="false">IF($A70="","",COUNTIFS(Customers!$S$4:$S$1003,$C70,Customers!$T$4:$T$1003,"&gt;="&amp;$D70,Customers!$T$4:$T$1003,"&lt;="&amp;$E70))</f>
        <v/>
      </c>
      <c r="O70" s="34" t="str">
        <f aca="false">IF($A70="","",SUMIFS(Customers!$M$4:$M$1003,Customers!$S$4:$S$1003,$C70,Customers!$T$4:$T$1003,"&gt;="&amp;$D70,Customers!$T$4:$T$1003,"&lt;="&amp;$E70))</f>
        <v/>
      </c>
      <c r="P70" s="35" t="str">
        <f aca="false">IF(OR($A70="",$G70=0),"",($O70-$G70)/$G70)</f>
        <v/>
      </c>
      <c r="Q70" s="35" t="str">
        <f aca="false">IF(OR($A70="",$K70=0),"",$N70/$K70)</f>
        <v/>
      </c>
      <c r="R70" s="27"/>
      <c r="S70" s="32"/>
    </row>
    <row r="71" customFormat="false" ht="15.75" hidden="false" customHeight="true" outlineLevel="0" collapsed="false">
      <c r="A71" s="27"/>
      <c r="B71" s="28"/>
      <c r="C71" s="27"/>
      <c r="D71" s="29"/>
      <c r="E71" s="29"/>
      <c r="F71" s="41"/>
      <c r="G71" s="41"/>
      <c r="H71" s="49"/>
      <c r="I71" s="49"/>
      <c r="J71" s="50" t="str">
        <f aca="false">IF(OR($A71="",$H71=0),"",$I71/$H71)</f>
        <v/>
      </c>
      <c r="K71" s="30" t="str">
        <f aca="false">IF($A71="","",COUNTIFS('Lead Management'!$O$4:$O$1003,$C71,'Lead Management'!$P$4:$P$1003,"&gt;="&amp;$D71,'Lead Management'!$P$4:$P$1003,"&lt;="&amp;$E71))</f>
        <v/>
      </c>
      <c r="L71" s="34" t="str">
        <f aca="false">IF(OR($A71="",$K71=0),"",$G71/$K71)</f>
        <v/>
      </c>
      <c r="M71" s="30" t="str">
        <f aca="false">IF($A71="","",COUNTIFS('Lead Management'!$O$4:$O$1003,$C71,'Lead Management'!$P$4:$P$1003,"&gt;="&amp;$D71,'Lead Management'!$P$4:$P$1003,"&lt;="&amp;$E71,'Lead Management'!$V$4:$V$1003,"Yes"))</f>
        <v/>
      </c>
      <c r="N71" s="30" t="str">
        <f aca="false">IF($A71="","",COUNTIFS(Customers!$S$4:$S$1003,$C71,Customers!$T$4:$T$1003,"&gt;="&amp;$D71,Customers!$T$4:$T$1003,"&lt;="&amp;$E71))</f>
        <v/>
      </c>
      <c r="O71" s="34" t="str">
        <f aca="false">IF($A71="","",SUMIFS(Customers!$M$4:$M$1003,Customers!$S$4:$S$1003,$C71,Customers!$T$4:$T$1003,"&gt;="&amp;$D71,Customers!$T$4:$T$1003,"&lt;="&amp;$E71))</f>
        <v/>
      </c>
      <c r="P71" s="35" t="str">
        <f aca="false">IF(OR($A71="",$G71=0),"",($O71-$G71)/$G71)</f>
        <v/>
      </c>
      <c r="Q71" s="35" t="str">
        <f aca="false">IF(OR($A71="",$K71=0),"",$N71/$K71)</f>
        <v/>
      </c>
      <c r="R71" s="27"/>
      <c r="S71" s="32"/>
    </row>
    <row r="72" customFormat="false" ht="15.75" hidden="false" customHeight="true" outlineLevel="0" collapsed="false">
      <c r="A72" s="27"/>
      <c r="B72" s="28"/>
      <c r="C72" s="27"/>
      <c r="D72" s="29"/>
      <c r="E72" s="29"/>
      <c r="F72" s="41"/>
      <c r="G72" s="41"/>
      <c r="H72" s="49"/>
      <c r="I72" s="49"/>
      <c r="J72" s="50" t="str">
        <f aca="false">IF(OR($A72="",$H72=0),"",$I72/$H72)</f>
        <v/>
      </c>
      <c r="K72" s="30" t="str">
        <f aca="false">IF($A72="","",COUNTIFS('Lead Management'!$O$4:$O$1003,$C72,'Lead Management'!$P$4:$P$1003,"&gt;="&amp;$D72,'Lead Management'!$P$4:$P$1003,"&lt;="&amp;$E72))</f>
        <v/>
      </c>
      <c r="L72" s="34" t="str">
        <f aca="false">IF(OR($A72="",$K72=0),"",$G72/$K72)</f>
        <v/>
      </c>
      <c r="M72" s="30" t="str">
        <f aca="false">IF($A72="","",COUNTIFS('Lead Management'!$O$4:$O$1003,$C72,'Lead Management'!$P$4:$P$1003,"&gt;="&amp;$D72,'Lead Management'!$P$4:$P$1003,"&lt;="&amp;$E72,'Lead Management'!$V$4:$V$1003,"Yes"))</f>
        <v/>
      </c>
      <c r="N72" s="30" t="str">
        <f aca="false">IF($A72="","",COUNTIFS(Customers!$S$4:$S$1003,$C72,Customers!$T$4:$T$1003,"&gt;="&amp;$D72,Customers!$T$4:$T$1003,"&lt;="&amp;$E72))</f>
        <v/>
      </c>
      <c r="O72" s="34" t="str">
        <f aca="false">IF($A72="","",SUMIFS(Customers!$M$4:$M$1003,Customers!$S$4:$S$1003,$C72,Customers!$T$4:$T$1003,"&gt;="&amp;$D72,Customers!$T$4:$T$1003,"&lt;="&amp;$E72))</f>
        <v/>
      </c>
      <c r="P72" s="35" t="str">
        <f aca="false">IF(OR($A72="",$G72=0),"",($O72-$G72)/$G72)</f>
        <v/>
      </c>
      <c r="Q72" s="35" t="str">
        <f aca="false">IF(OR($A72="",$K72=0),"",$N72/$K72)</f>
        <v/>
      </c>
      <c r="R72" s="27"/>
      <c r="S72" s="32"/>
    </row>
    <row r="73" customFormat="false" ht="15.75" hidden="false" customHeight="true" outlineLevel="0" collapsed="false">
      <c r="A73" s="27"/>
      <c r="B73" s="28"/>
      <c r="C73" s="27"/>
      <c r="D73" s="29"/>
      <c r="E73" s="29"/>
      <c r="F73" s="41"/>
      <c r="G73" s="41"/>
      <c r="H73" s="49"/>
      <c r="I73" s="49"/>
      <c r="J73" s="50" t="str">
        <f aca="false">IF(OR($A73="",$H73=0),"",$I73/$H73)</f>
        <v/>
      </c>
      <c r="K73" s="30" t="str">
        <f aca="false">IF($A73="","",COUNTIFS('Lead Management'!$O$4:$O$1003,$C73,'Lead Management'!$P$4:$P$1003,"&gt;="&amp;$D73,'Lead Management'!$P$4:$P$1003,"&lt;="&amp;$E73))</f>
        <v/>
      </c>
      <c r="L73" s="34" t="str">
        <f aca="false">IF(OR($A73="",$K73=0),"",$G73/$K73)</f>
        <v/>
      </c>
      <c r="M73" s="30" t="str">
        <f aca="false">IF($A73="","",COUNTIFS('Lead Management'!$O$4:$O$1003,$C73,'Lead Management'!$P$4:$P$1003,"&gt;="&amp;$D73,'Lead Management'!$P$4:$P$1003,"&lt;="&amp;$E73,'Lead Management'!$V$4:$V$1003,"Yes"))</f>
        <v/>
      </c>
      <c r="N73" s="30" t="str">
        <f aca="false">IF($A73="","",COUNTIFS(Customers!$S$4:$S$1003,$C73,Customers!$T$4:$T$1003,"&gt;="&amp;$D73,Customers!$T$4:$T$1003,"&lt;="&amp;$E73))</f>
        <v/>
      </c>
      <c r="O73" s="34" t="str">
        <f aca="false">IF($A73="","",SUMIFS(Customers!$M$4:$M$1003,Customers!$S$4:$S$1003,$C73,Customers!$T$4:$T$1003,"&gt;="&amp;$D73,Customers!$T$4:$T$1003,"&lt;="&amp;$E73))</f>
        <v/>
      </c>
      <c r="P73" s="35" t="str">
        <f aca="false">IF(OR($A73="",$G73=0),"",($O73-$G73)/$G73)</f>
        <v/>
      </c>
      <c r="Q73" s="35" t="str">
        <f aca="false">IF(OR($A73="",$K73=0),"",$N73/$K73)</f>
        <v/>
      </c>
      <c r="R73" s="27"/>
      <c r="S73" s="32"/>
    </row>
    <row r="74" customFormat="false" ht="15.75" hidden="false" customHeight="true" outlineLevel="0" collapsed="false">
      <c r="A74" s="27"/>
      <c r="B74" s="28"/>
      <c r="C74" s="27"/>
      <c r="D74" s="29"/>
      <c r="E74" s="29"/>
      <c r="F74" s="41"/>
      <c r="G74" s="41"/>
      <c r="H74" s="49"/>
      <c r="I74" s="49"/>
      <c r="J74" s="50" t="str">
        <f aca="false">IF(OR($A74="",$H74=0),"",$I74/$H74)</f>
        <v/>
      </c>
      <c r="K74" s="30" t="str">
        <f aca="false">IF($A74="","",COUNTIFS('Lead Management'!$O$4:$O$1003,$C74,'Lead Management'!$P$4:$P$1003,"&gt;="&amp;$D74,'Lead Management'!$P$4:$P$1003,"&lt;="&amp;$E74))</f>
        <v/>
      </c>
      <c r="L74" s="34" t="str">
        <f aca="false">IF(OR($A74="",$K74=0),"",$G74/$K74)</f>
        <v/>
      </c>
      <c r="M74" s="30" t="str">
        <f aca="false">IF($A74="","",COUNTIFS('Lead Management'!$O$4:$O$1003,$C74,'Lead Management'!$P$4:$P$1003,"&gt;="&amp;$D74,'Lead Management'!$P$4:$P$1003,"&lt;="&amp;$E74,'Lead Management'!$V$4:$V$1003,"Yes"))</f>
        <v/>
      </c>
      <c r="N74" s="30" t="str">
        <f aca="false">IF($A74="","",COUNTIFS(Customers!$S$4:$S$1003,$C74,Customers!$T$4:$T$1003,"&gt;="&amp;$D74,Customers!$T$4:$T$1003,"&lt;="&amp;$E74))</f>
        <v/>
      </c>
      <c r="O74" s="34" t="str">
        <f aca="false">IF($A74="","",SUMIFS(Customers!$M$4:$M$1003,Customers!$S$4:$S$1003,$C74,Customers!$T$4:$T$1003,"&gt;="&amp;$D74,Customers!$T$4:$T$1003,"&lt;="&amp;$E74))</f>
        <v/>
      </c>
      <c r="P74" s="35" t="str">
        <f aca="false">IF(OR($A74="",$G74=0),"",($O74-$G74)/$G74)</f>
        <v/>
      </c>
      <c r="Q74" s="35" t="str">
        <f aca="false">IF(OR($A74="",$K74=0),"",$N74/$K74)</f>
        <v/>
      </c>
      <c r="R74" s="27"/>
      <c r="S74" s="32"/>
    </row>
    <row r="75" customFormat="false" ht="15.75" hidden="false" customHeight="true" outlineLevel="0" collapsed="false">
      <c r="A75" s="27"/>
      <c r="B75" s="28"/>
      <c r="C75" s="27"/>
      <c r="D75" s="29"/>
      <c r="E75" s="29"/>
      <c r="F75" s="41"/>
      <c r="G75" s="41"/>
      <c r="H75" s="49"/>
      <c r="I75" s="49"/>
      <c r="J75" s="50" t="str">
        <f aca="false">IF(OR($A75="",$H75=0),"",$I75/$H75)</f>
        <v/>
      </c>
      <c r="K75" s="30" t="str">
        <f aca="false">IF($A75="","",COUNTIFS('Lead Management'!$O$4:$O$1003,$C75,'Lead Management'!$P$4:$P$1003,"&gt;="&amp;$D75,'Lead Management'!$P$4:$P$1003,"&lt;="&amp;$E75))</f>
        <v/>
      </c>
      <c r="L75" s="34" t="str">
        <f aca="false">IF(OR($A75="",$K75=0),"",$G75/$K75)</f>
        <v/>
      </c>
      <c r="M75" s="30" t="str">
        <f aca="false">IF($A75="","",COUNTIFS('Lead Management'!$O$4:$O$1003,$C75,'Lead Management'!$P$4:$P$1003,"&gt;="&amp;$D75,'Lead Management'!$P$4:$P$1003,"&lt;="&amp;$E75,'Lead Management'!$V$4:$V$1003,"Yes"))</f>
        <v/>
      </c>
      <c r="N75" s="30" t="str">
        <f aca="false">IF($A75="","",COUNTIFS(Customers!$S$4:$S$1003,$C75,Customers!$T$4:$T$1003,"&gt;="&amp;$D75,Customers!$T$4:$T$1003,"&lt;="&amp;$E75))</f>
        <v/>
      </c>
      <c r="O75" s="34" t="str">
        <f aca="false">IF($A75="","",SUMIFS(Customers!$M$4:$M$1003,Customers!$S$4:$S$1003,$C75,Customers!$T$4:$T$1003,"&gt;="&amp;$D75,Customers!$T$4:$T$1003,"&lt;="&amp;$E75))</f>
        <v/>
      </c>
      <c r="P75" s="35" t="str">
        <f aca="false">IF(OR($A75="",$G75=0),"",($O75-$G75)/$G75)</f>
        <v/>
      </c>
      <c r="Q75" s="35" t="str">
        <f aca="false">IF(OR($A75="",$K75=0),"",$N75/$K75)</f>
        <v/>
      </c>
      <c r="R75" s="27"/>
      <c r="S75" s="32"/>
    </row>
    <row r="76" customFormat="false" ht="15.75" hidden="false" customHeight="true" outlineLevel="0" collapsed="false">
      <c r="A76" s="27"/>
      <c r="B76" s="28"/>
      <c r="C76" s="27"/>
      <c r="D76" s="29"/>
      <c r="E76" s="29"/>
      <c r="F76" s="41"/>
      <c r="G76" s="41"/>
      <c r="H76" s="49"/>
      <c r="I76" s="49"/>
      <c r="J76" s="50" t="str">
        <f aca="false">IF(OR($A76="",$H76=0),"",$I76/$H76)</f>
        <v/>
      </c>
      <c r="K76" s="30" t="str">
        <f aca="false">IF($A76="","",COUNTIFS('Lead Management'!$O$4:$O$1003,$C76,'Lead Management'!$P$4:$P$1003,"&gt;="&amp;$D76,'Lead Management'!$P$4:$P$1003,"&lt;="&amp;$E76))</f>
        <v/>
      </c>
      <c r="L76" s="34" t="str">
        <f aca="false">IF(OR($A76="",$K76=0),"",$G76/$K76)</f>
        <v/>
      </c>
      <c r="M76" s="30" t="str">
        <f aca="false">IF($A76="","",COUNTIFS('Lead Management'!$O$4:$O$1003,$C76,'Lead Management'!$P$4:$P$1003,"&gt;="&amp;$D76,'Lead Management'!$P$4:$P$1003,"&lt;="&amp;$E76,'Lead Management'!$V$4:$V$1003,"Yes"))</f>
        <v/>
      </c>
      <c r="N76" s="30" t="str">
        <f aca="false">IF($A76="","",COUNTIFS(Customers!$S$4:$S$1003,$C76,Customers!$T$4:$T$1003,"&gt;="&amp;$D76,Customers!$T$4:$T$1003,"&lt;="&amp;$E76))</f>
        <v/>
      </c>
      <c r="O76" s="34" t="str">
        <f aca="false">IF($A76="","",SUMIFS(Customers!$M$4:$M$1003,Customers!$S$4:$S$1003,$C76,Customers!$T$4:$T$1003,"&gt;="&amp;$D76,Customers!$T$4:$T$1003,"&lt;="&amp;$E76))</f>
        <v/>
      </c>
      <c r="P76" s="35" t="str">
        <f aca="false">IF(OR($A76="",$G76=0),"",($O76-$G76)/$G76)</f>
        <v/>
      </c>
      <c r="Q76" s="35" t="str">
        <f aca="false">IF(OR($A76="",$K76=0),"",$N76/$K76)</f>
        <v/>
      </c>
      <c r="R76" s="27"/>
      <c r="S76" s="32"/>
    </row>
    <row r="77" customFormat="false" ht="15.75" hidden="false" customHeight="true" outlineLevel="0" collapsed="false">
      <c r="A77" s="27"/>
      <c r="B77" s="28"/>
      <c r="C77" s="27"/>
      <c r="D77" s="29"/>
      <c r="E77" s="29"/>
      <c r="F77" s="41"/>
      <c r="G77" s="41"/>
      <c r="H77" s="49"/>
      <c r="I77" s="49"/>
      <c r="J77" s="50" t="str">
        <f aca="false">IF(OR($A77="",$H77=0),"",$I77/$H77)</f>
        <v/>
      </c>
      <c r="K77" s="30" t="str">
        <f aca="false">IF($A77="","",COUNTIFS('Lead Management'!$O$4:$O$1003,$C77,'Lead Management'!$P$4:$P$1003,"&gt;="&amp;$D77,'Lead Management'!$P$4:$P$1003,"&lt;="&amp;$E77))</f>
        <v/>
      </c>
      <c r="L77" s="34" t="str">
        <f aca="false">IF(OR($A77="",$K77=0),"",$G77/$K77)</f>
        <v/>
      </c>
      <c r="M77" s="30" t="str">
        <f aca="false">IF($A77="","",COUNTIFS('Lead Management'!$O$4:$O$1003,$C77,'Lead Management'!$P$4:$P$1003,"&gt;="&amp;$D77,'Lead Management'!$P$4:$P$1003,"&lt;="&amp;$E77,'Lead Management'!$V$4:$V$1003,"Yes"))</f>
        <v/>
      </c>
      <c r="N77" s="30" t="str">
        <f aca="false">IF($A77="","",COUNTIFS(Customers!$S$4:$S$1003,$C77,Customers!$T$4:$T$1003,"&gt;="&amp;$D77,Customers!$T$4:$T$1003,"&lt;="&amp;$E77))</f>
        <v/>
      </c>
      <c r="O77" s="34" t="str">
        <f aca="false">IF($A77="","",SUMIFS(Customers!$M$4:$M$1003,Customers!$S$4:$S$1003,$C77,Customers!$T$4:$T$1003,"&gt;="&amp;$D77,Customers!$T$4:$T$1003,"&lt;="&amp;$E77))</f>
        <v/>
      </c>
      <c r="P77" s="35" t="str">
        <f aca="false">IF(OR($A77="",$G77=0),"",($O77-$G77)/$G77)</f>
        <v/>
      </c>
      <c r="Q77" s="35" t="str">
        <f aca="false">IF(OR($A77="",$K77=0),"",$N77/$K77)</f>
        <v/>
      </c>
      <c r="R77" s="27"/>
      <c r="S77" s="32"/>
    </row>
    <row r="78" customFormat="false" ht="15.75" hidden="false" customHeight="true" outlineLevel="0" collapsed="false">
      <c r="A78" s="27"/>
      <c r="B78" s="28"/>
      <c r="C78" s="27"/>
      <c r="D78" s="29"/>
      <c r="E78" s="29"/>
      <c r="F78" s="41"/>
      <c r="G78" s="41"/>
      <c r="H78" s="49"/>
      <c r="I78" s="49"/>
      <c r="J78" s="50" t="str">
        <f aca="false">IF(OR($A78="",$H78=0),"",$I78/$H78)</f>
        <v/>
      </c>
      <c r="K78" s="30" t="str">
        <f aca="false">IF($A78="","",COUNTIFS('Lead Management'!$O$4:$O$1003,$C78,'Lead Management'!$P$4:$P$1003,"&gt;="&amp;$D78,'Lead Management'!$P$4:$P$1003,"&lt;="&amp;$E78))</f>
        <v/>
      </c>
      <c r="L78" s="34" t="str">
        <f aca="false">IF(OR($A78="",$K78=0),"",$G78/$K78)</f>
        <v/>
      </c>
      <c r="M78" s="30" t="str">
        <f aca="false">IF($A78="","",COUNTIFS('Lead Management'!$O$4:$O$1003,$C78,'Lead Management'!$P$4:$P$1003,"&gt;="&amp;$D78,'Lead Management'!$P$4:$P$1003,"&lt;="&amp;$E78,'Lead Management'!$V$4:$V$1003,"Yes"))</f>
        <v/>
      </c>
      <c r="N78" s="30" t="str">
        <f aca="false">IF($A78="","",COUNTIFS(Customers!$S$4:$S$1003,$C78,Customers!$T$4:$T$1003,"&gt;="&amp;$D78,Customers!$T$4:$T$1003,"&lt;="&amp;$E78))</f>
        <v/>
      </c>
      <c r="O78" s="34" t="str">
        <f aca="false">IF($A78="","",SUMIFS(Customers!$M$4:$M$1003,Customers!$S$4:$S$1003,$C78,Customers!$T$4:$T$1003,"&gt;="&amp;$D78,Customers!$T$4:$T$1003,"&lt;="&amp;$E78))</f>
        <v/>
      </c>
      <c r="P78" s="35" t="str">
        <f aca="false">IF(OR($A78="",$G78=0),"",($O78-$G78)/$G78)</f>
        <v/>
      </c>
      <c r="Q78" s="35" t="str">
        <f aca="false">IF(OR($A78="",$K78=0),"",$N78/$K78)</f>
        <v/>
      </c>
      <c r="R78" s="27"/>
      <c r="S78" s="32"/>
    </row>
    <row r="79" customFormat="false" ht="15.75" hidden="false" customHeight="true" outlineLevel="0" collapsed="false">
      <c r="A79" s="27"/>
      <c r="B79" s="28"/>
      <c r="C79" s="27"/>
      <c r="D79" s="29"/>
      <c r="E79" s="29"/>
      <c r="F79" s="41"/>
      <c r="G79" s="41"/>
      <c r="H79" s="49"/>
      <c r="I79" s="49"/>
      <c r="J79" s="50" t="str">
        <f aca="false">IF(OR($A79="",$H79=0),"",$I79/$H79)</f>
        <v/>
      </c>
      <c r="K79" s="30" t="str">
        <f aca="false">IF($A79="","",COUNTIFS('Lead Management'!$O$4:$O$1003,$C79,'Lead Management'!$P$4:$P$1003,"&gt;="&amp;$D79,'Lead Management'!$P$4:$P$1003,"&lt;="&amp;$E79))</f>
        <v/>
      </c>
      <c r="L79" s="34" t="str">
        <f aca="false">IF(OR($A79="",$K79=0),"",$G79/$K79)</f>
        <v/>
      </c>
      <c r="M79" s="30" t="str">
        <f aca="false">IF($A79="","",COUNTIFS('Lead Management'!$O$4:$O$1003,$C79,'Lead Management'!$P$4:$P$1003,"&gt;="&amp;$D79,'Lead Management'!$P$4:$P$1003,"&lt;="&amp;$E79,'Lead Management'!$V$4:$V$1003,"Yes"))</f>
        <v/>
      </c>
      <c r="N79" s="30" t="str">
        <f aca="false">IF($A79="","",COUNTIFS(Customers!$S$4:$S$1003,$C79,Customers!$T$4:$T$1003,"&gt;="&amp;$D79,Customers!$T$4:$T$1003,"&lt;="&amp;$E79))</f>
        <v/>
      </c>
      <c r="O79" s="34" t="str">
        <f aca="false">IF($A79="","",SUMIFS(Customers!$M$4:$M$1003,Customers!$S$4:$S$1003,$C79,Customers!$T$4:$T$1003,"&gt;="&amp;$D79,Customers!$T$4:$T$1003,"&lt;="&amp;$E79))</f>
        <v/>
      </c>
      <c r="P79" s="35" t="str">
        <f aca="false">IF(OR($A79="",$G79=0),"",($O79-$G79)/$G79)</f>
        <v/>
      </c>
      <c r="Q79" s="35" t="str">
        <f aca="false">IF(OR($A79="",$K79=0),"",$N79/$K79)</f>
        <v/>
      </c>
      <c r="R79" s="27"/>
      <c r="S79" s="32"/>
    </row>
    <row r="80" customFormat="false" ht="15.75" hidden="false" customHeight="true" outlineLevel="0" collapsed="false">
      <c r="A80" s="27"/>
      <c r="B80" s="28"/>
      <c r="C80" s="27"/>
      <c r="D80" s="29"/>
      <c r="E80" s="29"/>
      <c r="F80" s="41"/>
      <c r="G80" s="41"/>
      <c r="H80" s="49"/>
      <c r="I80" s="49"/>
      <c r="J80" s="50" t="str">
        <f aca="false">IF(OR($A80="",$H80=0),"",$I80/$H80)</f>
        <v/>
      </c>
      <c r="K80" s="30" t="str">
        <f aca="false">IF($A80="","",COUNTIFS('Lead Management'!$O$4:$O$1003,$C80,'Lead Management'!$P$4:$P$1003,"&gt;="&amp;$D80,'Lead Management'!$P$4:$P$1003,"&lt;="&amp;$E80))</f>
        <v/>
      </c>
      <c r="L80" s="34" t="str">
        <f aca="false">IF(OR($A80="",$K80=0),"",$G80/$K80)</f>
        <v/>
      </c>
      <c r="M80" s="30" t="str">
        <f aca="false">IF($A80="","",COUNTIFS('Lead Management'!$O$4:$O$1003,$C80,'Lead Management'!$P$4:$P$1003,"&gt;="&amp;$D80,'Lead Management'!$P$4:$P$1003,"&lt;="&amp;$E80,'Lead Management'!$V$4:$V$1003,"Yes"))</f>
        <v/>
      </c>
      <c r="N80" s="30" t="str">
        <f aca="false">IF($A80="","",COUNTIFS(Customers!$S$4:$S$1003,$C80,Customers!$T$4:$T$1003,"&gt;="&amp;$D80,Customers!$T$4:$T$1003,"&lt;="&amp;$E80))</f>
        <v/>
      </c>
      <c r="O80" s="34" t="str">
        <f aca="false">IF($A80="","",SUMIFS(Customers!$M$4:$M$1003,Customers!$S$4:$S$1003,$C80,Customers!$T$4:$T$1003,"&gt;="&amp;$D80,Customers!$T$4:$T$1003,"&lt;="&amp;$E80))</f>
        <v/>
      </c>
      <c r="P80" s="35" t="str">
        <f aca="false">IF(OR($A80="",$G80=0),"",($O80-$G80)/$G80)</f>
        <v/>
      </c>
      <c r="Q80" s="35" t="str">
        <f aca="false">IF(OR($A80="",$K80=0),"",$N80/$K80)</f>
        <v/>
      </c>
      <c r="R80" s="27"/>
      <c r="S80" s="32"/>
    </row>
    <row r="81" customFormat="false" ht="15.75" hidden="false" customHeight="true" outlineLevel="0" collapsed="false">
      <c r="A81" s="27"/>
      <c r="B81" s="28"/>
      <c r="C81" s="27"/>
      <c r="D81" s="29"/>
      <c r="E81" s="29"/>
      <c r="F81" s="41"/>
      <c r="G81" s="41"/>
      <c r="H81" s="49"/>
      <c r="I81" s="49"/>
      <c r="J81" s="50" t="str">
        <f aca="false">IF(OR($A81="",$H81=0),"",$I81/$H81)</f>
        <v/>
      </c>
      <c r="K81" s="30" t="str">
        <f aca="false">IF($A81="","",COUNTIFS('Lead Management'!$O$4:$O$1003,$C81,'Lead Management'!$P$4:$P$1003,"&gt;="&amp;$D81,'Lead Management'!$P$4:$P$1003,"&lt;="&amp;$E81))</f>
        <v/>
      </c>
      <c r="L81" s="34" t="str">
        <f aca="false">IF(OR($A81="",$K81=0),"",$G81/$K81)</f>
        <v/>
      </c>
      <c r="M81" s="30" t="str">
        <f aca="false">IF($A81="","",COUNTIFS('Lead Management'!$O$4:$O$1003,$C81,'Lead Management'!$P$4:$P$1003,"&gt;="&amp;$D81,'Lead Management'!$P$4:$P$1003,"&lt;="&amp;$E81,'Lead Management'!$V$4:$V$1003,"Yes"))</f>
        <v/>
      </c>
      <c r="N81" s="30" t="str">
        <f aca="false">IF($A81="","",COUNTIFS(Customers!$S$4:$S$1003,$C81,Customers!$T$4:$T$1003,"&gt;="&amp;$D81,Customers!$T$4:$T$1003,"&lt;="&amp;$E81))</f>
        <v/>
      </c>
      <c r="O81" s="34" t="str">
        <f aca="false">IF($A81="","",SUMIFS(Customers!$M$4:$M$1003,Customers!$S$4:$S$1003,$C81,Customers!$T$4:$T$1003,"&gt;="&amp;$D81,Customers!$T$4:$T$1003,"&lt;="&amp;$E81))</f>
        <v/>
      </c>
      <c r="P81" s="35" t="str">
        <f aca="false">IF(OR($A81="",$G81=0),"",($O81-$G81)/$G81)</f>
        <v/>
      </c>
      <c r="Q81" s="35" t="str">
        <f aca="false">IF(OR($A81="",$K81=0),"",$N81/$K81)</f>
        <v/>
      </c>
      <c r="R81" s="27"/>
      <c r="S81" s="32"/>
    </row>
    <row r="82" customFormat="false" ht="15.75" hidden="false" customHeight="true" outlineLevel="0" collapsed="false">
      <c r="A82" s="27"/>
      <c r="B82" s="28"/>
      <c r="C82" s="27"/>
      <c r="D82" s="29"/>
      <c r="E82" s="29"/>
      <c r="F82" s="41"/>
      <c r="G82" s="41"/>
      <c r="H82" s="49"/>
      <c r="I82" s="49"/>
      <c r="J82" s="50" t="str">
        <f aca="false">IF(OR($A82="",$H82=0),"",$I82/$H82)</f>
        <v/>
      </c>
      <c r="K82" s="30" t="str">
        <f aca="false">IF($A82="","",COUNTIFS('Lead Management'!$O$4:$O$1003,$C82,'Lead Management'!$P$4:$P$1003,"&gt;="&amp;$D82,'Lead Management'!$P$4:$P$1003,"&lt;="&amp;$E82))</f>
        <v/>
      </c>
      <c r="L82" s="34" t="str">
        <f aca="false">IF(OR($A82="",$K82=0),"",$G82/$K82)</f>
        <v/>
      </c>
      <c r="M82" s="30" t="str">
        <f aca="false">IF($A82="","",COUNTIFS('Lead Management'!$O$4:$O$1003,$C82,'Lead Management'!$P$4:$P$1003,"&gt;="&amp;$D82,'Lead Management'!$P$4:$P$1003,"&lt;="&amp;$E82,'Lead Management'!$V$4:$V$1003,"Yes"))</f>
        <v/>
      </c>
      <c r="N82" s="30" t="str">
        <f aca="false">IF($A82="","",COUNTIFS(Customers!$S$4:$S$1003,$C82,Customers!$T$4:$T$1003,"&gt;="&amp;$D82,Customers!$T$4:$T$1003,"&lt;="&amp;$E82))</f>
        <v/>
      </c>
      <c r="O82" s="34" t="str">
        <f aca="false">IF($A82="","",SUMIFS(Customers!$M$4:$M$1003,Customers!$S$4:$S$1003,$C82,Customers!$T$4:$T$1003,"&gt;="&amp;$D82,Customers!$T$4:$T$1003,"&lt;="&amp;$E82))</f>
        <v/>
      </c>
      <c r="P82" s="35" t="str">
        <f aca="false">IF(OR($A82="",$G82=0),"",($O82-$G82)/$G82)</f>
        <v/>
      </c>
      <c r="Q82" s="35" t="str">
        <f aca="false">IF(OR($A82="",$K82=0),"",$N82/$K82)</f>
        <v/>
      </c>
      <c r="R82" s="27"/>
      <c r="S82" s="32"/>
    </row>
    <row r="83" customFormat="false" ht="15.75" hidden="false" customHeight="true" outlineLevel="0" collapsed="false">
      <c r="A83" s="27"/>
      <c r="B83" s="28"/>
      <c r="C83" s="27"/>
      <c r="D83" s="29"/>
      <c r="E83" s="29"/>
      <c r="F83" s="41"/>
      <c r="G83" s="41"/>
      <c r="H83" s="49"/>
      <c r="I83" s="49"/>
      <c r="J83" s="50" t="str">
        <f aca="false">IF(OR($A83="",$H83=0),"",$I83/$H83)</f>
        <v/>
      </c>
      <c r="K83" s="30" t="str">
        <f aca="false">IF($A83="","",COUNTIFS('Lead Management'!$O$4:$O$1003,$C83,'Lead Management'!$P$4:$P$1003,"&gt;="&amp;$D83,'Lead Management'!$P$4:$P$1003,"&lt;="&amp;$E83))</f>
        <v/>
      </c>
      <c r="L83" s="34" t="str">
        <f aca="false">IF(OR($A83="",$K83=0),"",$G83/$K83)</f>
        <v/>
      </c>
      <c r="M83" s="30" t="str">
        <f aca="false">IF($A83="","",COUNTIFS('Lead Management'!$O$4:$O$1003,$C83,'Lead Management'!$P$4:$P$1003,"&gt;="&amp;$D83,'Lead Management'!$P$4:$P$1003,"&lt;="&amp;$E83,'Lead Management'!$V$4:$V$1003,"Yes"))</f>
        <v/>
      </c>
      <c r="N83" s="30" t="str">
        <f aca="false">IF($A83="","",COUNTIFS(Customers!$S$4:$S$1003,$C83,Customers!$T$4:$T$1003,"&gt;="&amp;$D83,Customers!$T$4:$T$1003,"&lt;="&amp;$E83))</f>
        <v/>
      </c>
      <c r="O83" s="34" t="str">
        <f aca="false">IF($A83="","",SUMIFS(Customers!$M$4:$M$1003,Customers!$S$4:$S$1003,$C83,Customers!$T$4:$T$1003,"&gt;="&amp;$D83,Customers!$T$4:$T$1003,"&lt;="&amp;$E83))</f>
        <v/>
      </c>
      <c r="P83" s="35" t="str">
        <f aca="false">IF(OR($A83="",$G83=0),"",($O83-$G83)/$G83)</f>
        <v/>
      </c>
      <c r="Q83" s="35" t="str">
        <f aca="false">IF(OR($A83="",$K83=0),"",$N83/$K83)</f>
        <v/>
      </c>
      <c r="R83" s="27"/>
      <c r="S83" s="32"/>
    </row>
    <row r="84" customFormat="false" ht="15.75" hidden="false" customHeight="true" outlineLevel="0" collapsed="false">
      <c r="A84" s="27"/>
      <c r="B84" s="28"/>
      <c r="C84" s="27"/>
      <c r="D84" s="29"/>
      <c r="E84" s="29"/>
      <c r="F84" s="41"/>
      <c r="G84" s="41"/>
      <c r="H84" s="49"/>
      <c r="I84" s="49"/>
      <c r="J84" s="50" t="str">
        <f aca="false">IF(OR($A84="",$H84=0),"",$I84/$H84)</f>
        <v/>
      </c>
      <c r="K84" s="30" t="str">
        <f aca="false">IF($A84="","",COUNTIFS('Lead Management'!$O$4:$O$1003,$C84,'Lead Management'!$P$4:$P$1003,"&gt;="&amp;$D84,'Lead Management'!$P$4:$P$1003,"&lt;="&amp;$E84))</f>
        <v/>
      </c>
      <c r="L84" s="34" t="str">
        <f aca="false">IF(OR($A84="",$K84=0),"",$G84/$K84)</f>
        <v/>
      </c>
      <c r="M84" s="30" t="str">
        <f aca="false">IF($A84="","",COUNTIFS('Lead Management'!$O$4:$O$1003,$C84,'Lead Management'!$P$4:$P$1003,"&gt;="&amp;$D84,'Lead Management'!$P$4:$P$1003,"&lt;="&amp;$E84,'Lead Management'!$V$4:$V$1003,"Yes"))</f>
        <v/>
      </c>
      <c r="N84" s="30" t="str">
        <f aca="false">IF($A84="","",COUNTIFS(Customers!$S$4:$S$1003,$C84,Customers!$T$4:$T$1003,"&gt;="&amp;$D84,Customers!$T$4:$T$1003,"&lt;="&amp;$E84))</f>
        <v/>
      </c>
      <c r="O84" s="34" t="str">
        <f aca="false">IF($A84="","",SUMIFS(Customers!$M$4:$M$1003,Customers!$S$4:$S$1003,$C84,Customers!$T$4:$T$1003,"&gt;="&amp;$D84,Customers!$T$4:$T$1003,"&lt;="&amp;$E84))</f>
        <v/>
      </c>
      <c r="P84" s="35" t="str">
        <f aca="false">IF(OR($A84="",$G84=0),"",($O84-$G84)/$G84)</f>
        <v/>
      </c>
      <c r="Q84" s="35" t="str">
        <f aca="false">IF(OR($A84="",$K84=0),"",$N84/$K84)</f>
        <v/>
      </c>
      <c r="R84" s="27"/>
      <c r="S84" s="32"/>
    </row>
    <row r="85" customFormat="false" ht="15.75" hidden="false" customHeight="true" outlineLevel="0" collapsed="false">
      <c r="A85" s="27"/>
      <c r="B85" s="28"/>
      <c r="C85" s="27"/>
      <c r="D85" s="29"/>
      <c r="E85" s="29"/>
      <c r="F85" s="41"/>
      <c r="G85" s="41"/>
      <c r="H85" s="49"/>
      <c r="I85" s="49"/>
      <c r="J85" s="50" t="str">
        <f aca="false">IF(OR($A85="",$H85=0),"",$I85/$H85)</f>
        <v/>
      </c>
      <c r="K85" s="30" t="str">
        <f aca="false">IF($A85="","",COUNTIFS('Lead Management'!$O$4:$O$1003,$C85,'Lead Management'!$P$4:$P$1003,"&gt;="&amp;$D85,'Lead Management'!$P$4:$P$1003,"&lt;="&amp;$E85))</f>
        <v/>
      </c>
      <c r="L85" s="34" t="str">
        <f aca="false">IF(OR($A85="",$K85=0),"",$G85/$K85)</f>
        <v/>
      </c>
      <c r="M85" s="30" t="str">
        <f aca="false">IF($A85="","",COUNTIFS('Lead Management'!$O$4:$O$1003,$C85,'Lead Management'!$P$4:$P$1003,"&gt;="&amp;$D85,'Lead Management'!$P$4:$P$1003,"&lt;="&amp;$E85,'Lead Management'!$V$4:$V$1003,"Yes"))</f>
        <v/>
      </c>
      <c r="N85" s="30" t="str">
        <f aca="false">IF($A85="","",COUNTIFS(Customers!$S$4:$S$1003,$C85,Customers!$T$4:$T$1003,"&gt;="&amp;$D85,Customers!$T$4:$T$1003,"&lt;="&amp;$E85))</f>
        <v/>
      </c>
      <c r="O85" s="34" t="str">
        <f aca="false">IF($A85="","",SUMIFS(Customers!$M$4:$M$1003,Customers!$S$4:$S$1003,$C85,Customers!$T$4:$T$1003,"&gt;="&amp;$D85,Customers!$T$4:$T$1003,"&lt;="&amp;$E85))</f>
        <v/>
      </c>
      <c r="P85" s="35" t="str">
        <f aca="false">IF(OR($A85="",$G85=0),"",($O85-$G85)/$G85)</f>
        <v/>
      </c>
      <c r="Q85" s="35" t="str">
        <f aca="false">IF(OR($A85="",$K85=0),"",$N85/$K85)</f>
        <v/>
      </c>
      <c r="R85" s="27"/>
      <c r="S85" s="32"/>
    </row>
    <row r="86" customFormat="false" ht="15.75" hidden="false" customHeight="true" outlineLevel="0" collapsed="false">
      <c r="A86" s="27"/>
      <c r="B86" s="28"/>
      <c r="C86" s="27"/>
      <c r="D86" s="29"/>
      <c r="E86" s="29"/>
      <c r="F86" s="41"/>
      <c r="G86" s="41"/>
      <c r="H86" s="49"/>
      <c r="I86" s="49"/>
      <c r="J86" s="50" t="str">
        <f aca="false">IF(OR($A86="",$H86=0),"",$I86/$H86)</f>
        <v/>
      </c>
      <c r="K86" s="30" t="str">
        <f aca="false">IF($A86="","",COUNTIFS('Lead Management'!$O$4:$O$1003,$C86,'Lead Management'!$P$4:$P$1003,"&gt;="&amp;$D86,'Lead Management'!$P$4:$P$1003,"&lt;="&amp;$E86))</f>
        <v/>
      </c>
      <c r="L86" s="34" t="str">
        <f aca="false">IF(OR($A86="",$K86=0),"",$G86/$K86)</f>
        <v/>
      </c>
      <c r="M86" s="30" t="str">
        <f aca="false">IF($A86="","",COUNTIFS('Lead Management'!$O$4:$O$1003,$C86,'Lead Management'!$P$4:$P$1003,"&gt;="&amp;$D86,'Lead Management'!$P$4:$P$1003,"&lt;="&amp;$E86,'Lead Management'!$V$4:$V$1003,"Yes"))</f>
        <v/>
      </c>
      <c r="N86" s="30" t="str">
        <f aca="false">IF($A86="","",COUNTIFS(Customers!$S$4:$S$1003,$C86,Customers!$T$4:$T$1003,"&gt;="&amp;$D86,Customers!$T$4:$T$1003,"&lt;="&amp;$E86))</f>
        <v/>
      </c>
      <c r="O86" s="34" t="str">
        <f aca="false">IF($A86="","",SUMIFS(Customers!$M$4:$M$1003,Customers!$S$4:$S$1003,$C86,Customers!$T$4:$T$1003,"&gt;="&amp;$D86,Customers!$T$4:$T$1003,"&lt;="&amp;$E86))</f>
        <v/>
      </c>
      <c r="P86" s="35" t="str">
        <f aca="false">IF(OR($A86="",$G86=0),"",($O86-$G86)/$G86)</f>
        <v/>
      </c>
      <c r="Q86" s="35" t="str">
        <f aca="false">IF(OR($A86="",$K86=0),"",$N86/$K86)</f>
        <v/>
      </c>
      <c r="R86" s="27"/>
      <c r="S86" s="32"/>
    </row>
    <row r="87" customFormat="false" ht="15.75" hidden="false" customHeight="true" outlineLevel="0" collapsed="false">
      <c r="A87" s="27"/>
      <c r="B87" s="28"/>
      <c r="C87" s="27"/>
      <c r="D87" s="29"/>
      <c r="E87" s="29"/>
      <c r="F87" s="41"/>
      <c r="G87" s="41"/>
      <c r="H87" s="49"/>
      <c r="I87" s="49"/>
      <c r="J87" s="50" t="str">
        <f aca="false">IF(OR($A87="",$H87=0),"",$I87/$H87)</f>
        <v/>
      </c>
      <c r="K87" s="30" t="str">
        <f aca="false">IF($A87="","",COUNTIFS('Lead Management'!$O$4:$O$1003,$C87,'Lead Management'!$P$4:$P$1003,"&gt;="&amp;$D87,'Lead Management'!$P$4:$P$1003,"&lt;="&amp;$E87))</f>
        <v/>
      </c>
      <c r="L87" s="34" t="str">
        <f aca="false">IF(OR($A87="",$K87=0),"",$G87/$K87)</f>
        <v/>
      </c>
      <c r="M87" s="30" t="str">
        <f aca="false">IF($A87="","",COUNTIFS('Lead Management'!$O$4:$O$1003,$C87,'Lead Management'!$P$4:$P$1003,"&gt;="&amp;$D87,'Lead Management'!$P$4:$P$1003,"&lt;="&amp;$E87,'Lead Management'!$V$4:$V$1003,"Yes"))</f>
        <v/>
      </c>
      <c r="N87" s="30" t="str">
        <f aca="false">IF($A87="","",COUNTIFS(Customers!$S$4:$S$1003,$C87,Customers!$T$4:$T$1003,"&gt;="&amp;$D87,Customers!$T$4:$T$1003,"&lt;="&amp;$E87))</f>
        <v/>
      </c>
      <c r="O87" s="34" t="str">
        <f aca="false">IF($A87="","",SUMIFS(Customers!$M$4:$M$1003,Customers!$S$4:$S$1003,$C87,Customers!$T$4:$T$1003,"&gt;="&amp;$D87,Customers!$T$4:$T$1003,"&lt;="&amp;$E87))</f>
        <v/>
      </c>
      <c r="P87" s="35" t="str">
        <f aca="false">IF(OR($A87="",$G87=0),"",($O87-$G87)/$G87)</f>
        <v/>
      </c>
      <c r="Q87" s="35" t="str">
        <f aca="false">IF(OR($A87="",$K87=0),"",$N87/$K87)</f>
        <v/>
      </c>
      <c r="R87" s="27"/>
      <c r="S87" s="32"/>
    </row>
    <row r="88" customFormat="false" ht="15.75" hidden="false" customHeight="true" outlineLevel="0" collapsed="false">
      <c r="A88" s="27"/>
      <c r="B88" s="28"/>
      <c r="C88" s="27"/>
      <c r="D88" s="29"/>
      <c r="E88" s="29"/>
      <c r="F88" s="41"/>
      <c r="G88" s="41"/>
      <c r="H88" s="49"/>
      <c r="I88" s="49"/>
      <c r="J88" s="50" t="str">
        <f aca="false">IF(OR($A88="",$H88=0),"",$I88/$H88)</f>
        <v/>
      </c>
      <c r="K88" s="30" t="str">
        <f aca="false">IF($A88="","",COUNTIFS('Lead Management'!$O$4:$O$1003,$C88,'Lead Management'!$P$4:$P$1003,"&gt;="&amp;$D88,'Lead Management'!$P$4:$P$1003,"&lt;="&amp;$E88))</f>
        <v/>
      </c>
      <c r="L88" s="34" t="str">
        <f aca="false">IF(OR($A88="",$K88=0),"",$G88/$K88)</f>
        <v/>
      </c>
      <c r="M88" s="30" t="str">
        <f aca="false">IF($A88="","",COUNTIFS('Lead Management'!$O$4:$O$1003,$C88,'Lead Management'!$P$4:$P$1003,"&gt;="&amp;$D88,'Lead Management'!$P$4:$P$1003,"&lt;="&amp;$E88,'Lead Management'!$V$4:$V$1003,"Yes"))</f>
        <v/>
      </c>
      <c r="N88" s="30" t="str">
        <f aca="false">IF($A88="","",COUNTIFS(Customers!$S$4:$S$1003,$C88,Customers!$T$4:$T$1003,"&gt;="&amp;$D88,Customers!$T$4:$T$1003,"&lt;="&amp;$E88))</f>
        <v/>
      </c>
      <c r="O88" s="34" t="str">
        <f aca="false">IF($A88="","",SUMIFS(Customers!$M$4:$M$1003,Customers!$S$4:$S$1003,$C88,Customers!$T$4:$T$1003,"&gt;="&amp;$D88,Customers!$T$4:$T$1003,"&lt;="&amp;$E88))</f>
        <v/>
      </c>
      <c r="P88" s="35" t="str">
        <f aca="false">IF(OR($A88="",$G88=0),"",($O88-$G88)/$G88)</f>
        <v/>
      </c>
      <c r="Q88" s="35" t="str">
        <f aca="false">IF(OR($A88="",$K88=0),"",$N88/$K88)</f>
        <v/>
      </c>
      <c r="R88" s="27"/>
      <c r="S88" s="32"/>
    </row>
    <row r="89" customFormat="false" ht="15.75" hidden="false" customHeight="true" outlineLevel="0" collapsed="false">
      <c r="A89" s="27"/>
      <c r="B89" s="28"/>
      <c r="C89" s="27"/>
      <c r="D89" s="29"/>
      <c r="E89" s="29"/>
      <c r="F89" s="41"/>
      <c r="G89" s="41"/>
      <c r="H89" s="49"/>
      <c r="I89" s="49"/>
      <c r="J89" s="50" t="str">
        <f aca="false">IF(OR($A89="",$H89=0),"",$I89/$H89)</f>
        <v/>
      </c>
      <c r="K89" s="30" t="str">
        <f aca="false">IF($A89="","",COUNTIFS('Lead Management'!$O$4:$O$1003,$C89,'Lead Management'!$P$4:$P$1003,"&gt;="&amp;$D89,'Lead Management'!$P$4:$P$1003,"&lt;="&amp;$E89))</f>
        <v/>
      </c>
      <c r="L89" s="34" t="str">
        <f aca="false">IF(OR($A89="",$K89=0),"",$G89/$K89)</f>
        <v/>
      </c>
      <c r="M89" s="30" t="str">
        <f aca="false">IF($A89="","",COUNTIFS('Lead Management'!$O$4:$O$1003,$C89,'Lead Management'!$P$4:$P$1003,"&gt;="&amp;$D89,'Lead Management'!$P$4:$P$1003,"&lt;="&amp;$E89,'Lead Management'!$V$4:$V$1003,"Yes"))</f>
        <v/>
      </c>
      <c r="N89" s="30" t="str">
        <f aca="false">IF($A89="","",COUNTIFS(Customers!$S$4:$S$1003,$C89,Customers!$T$4:$T$1003,"&gt;="&amp;$D89,Customers!$T$4:$T$1003,"&lt;="&amp;$E89))</f>
        <v/>
      </c>
      <c r="O89" s="34" t="str">
        <f aca="false">IF($A89="","",SUMIFS(Customers!$M$4:$M$1003,Customers!$S$4:$S$1003,$C89,Customers!$T$4:$T$1003,"&gt;="&amp;$D89,Customers!$T$4:$T$1003,"&lt;="&amp;$E89))</f>
        <v/>
      </c>
      <c r="P89" s="35" t="str">
        <f aca="false">IF(OR($A89="",$G89=0),"",($O89-$G89)/$G89)</f>
        <v/>
      </c>
      <c r="Q89" s="35" t="str">
        <f aca="false">IF(OR($A89="",$K89=0),"",$N89/$K89)</f>
        <v/>
      </c>
      <c r="R89" s="27"/>
      <c r="S89" s="32"/>
    </row>
    <row r="90" customFormat="false" ht="15.75" hidden="false" customHeight="true" outlineLevel="0" collapsed="false">
      <c r="A90" s="27"/>
      <c r="B90" s="28"/>
      <c r="C90" s="27"/>
      <c r="D90" s="29"/>
      <c r="E90" s="29"/>
      <c r="F90" s="41"/>
      <c r="G90" s="41"/>
      <c r="H90" s="49"/>
      <c r="I90" s="49"/>
      <c r="J90" s="50" t="str">
        <f aca="false">IF(OR($A90="",$H90=0),"",$I90/$H90)</f>
        <v/>
      </c>
      <c r="K90" s="30" t="str">
        <f aca="false">IF($A90="","",COUNTIFS('Lead Management'!$O$4:$O$1003,$C90,'Lead Management'!$P$4:$P$1003,"&gt;="&amp;$D90,'Lead Management'!$P$4:$P$1003,"&lt;="&amp;$E90))</f>
        <v/>
      </c>
      <c r="L90" s="34" t="str">
        <f aca="false">IF(OR($A90="",$K90=0),"",$G90/$K90)</f>
        <v/>
      </c>
      <c r="M90" s="30" t="str">
        <f aca="false">IF($A90="","",COUNTIFS('Lead Management'!$O$4:$O$1003,$C90,'Lead Management'!$P$4:$P$1003,"&gt;="&amp;$D90,'Lead Management'!$P$4:$P$1003,"&lt;="&amp;$E90,'Lead Management'!$V$4:$V$1003,"Yes"))</f>
        <v/>
      </c>
      <c r="N90" s="30" t="str">
        <f aca="false">IF($A90="","",COUNTIFS(Customers!$S$4:$S$1003,$C90,Customers!$T$4:$T$1003,"&gt;="&amp;$D90,Customers!$T$4:$T$1003,"&lt;="&amp;$E90))</f>
        <v/>
      </c>
      <c r="O90" s="34" t="str">
        <f aca="false">IF($A90="","",SUMIFS(Customers!$M$4:$M$1003,Customers!$S$4:$S$1003,$C90,Customers!$T$4:$T$1003,"&gt;="&amp;$D90,Customers!$T$4:$T$1003,"&lt;="&amp;$E90))</f>
        <v/>
      </c>
      <c r="P90" s="35" t="str">
        <f aca="false">IF(OR($A90="",$G90=0),"",($O90-$G90)/$G90)</f>
        <v/>
      </c>
      <c r="Q90" s="35" t="str">
        <f aca="false">IF(OR($A90="",$K90=0),"",$N90/$K90)</f>
        <v/>
      </c>
      <c r="R90" s="27"/>
      <c r="S90" s="32"/>
    </row>
    <row r="91" customFormat="false" ht="15.75" hidden="false" customHeight="true" outlineLevel="0" collapsed="false">
      <c r="A91" s="27"/>
      <c r="B91" s="28"/>
      <c r="C91" s="27"/>
      <c r="D91" s="29"/>
      <c r="E91" s="29"/>
      <c r="F91" s="41"/>
      <c r="G91" s="41"/>
      <c r="H91" s="49"/>
      <c r="I91" s="49"/>
      <c r="J91" s="50" t="str">
        <f aca="false">IF(OR($A91="",$H91=0),"",$I91/$H91)</f>
        <v/>
      </c>
      <c r="K91" s="30" t="str">
        <f aca="false">IF($A91="","",COUNTIFS('Lead Management'!$O$4:$O$1003,$C91,'Lead Management'!$P$4:$P$1003,"&gt;="&amp;$D91,'Lead Management'!$P$4:$P$1003,"&lt;="&amp;$E91))</f>
        <v/>
      </c>
      <c r="L91" s="34" t="str">
        <f aca="false">IF(OR($A91="",$K91=0),"",$G91/$K91)</f>
        <v/>
      </c>
      <c r="M91" s="30" t="str">
        <f aca="false">IF($A91="","",COUNTIFS('Lead Management'!$O$4:$O$1003,$C91,'Lead Management'!$P$4:$P$1003,"&gt;="&amp;$D91,'Lead Management'!$P$4:$P$1003,"&lt;="&amp;$E91,'Lead Management'!$V$4:$V$1003,"Yes"))</f>
        <v/>
      </c>
      <c r="N91" s="30" t="str">
        <f aca="false">IF($A91="","",COUNTIFS(Customers!$S$4:$S$1003,$C91,Customers!$T$4:$T$1003,"&gt;="&amp;$D91,Customers!$T$4:$T$1003,"&lt;="&amp;$E91))</f>
        <v/>
      </c>
      <c r="O91" s="34" t="str">
        <f aca="false">IF($A91="","",SUMIFS(Customers!$M$4:$M$1003,Customers!$S$4:$S$1003,$C91,Customers!$T$4:$T$1003,"&gt;="&amp;$D91,Customers!$T$4:$T$1003,"&lt;="&amp;$E91))</f>
        <v/>
      </c>
      <c r="P91" s="35" t="str">
        <f aca="false">IF(OR($A91="",$G91=0),"",($O91-$G91)/$G91)</f>
        <v/>
      </c>
      <c r="Q91" s="35" t="str">
        <f aca="false">IF(OR($A91="",$K91=0),"",$N91/$K91)</f>
        <v/>
      </c>
      <c r="R91" s="27"/>
      <c r="S91" s="32"/>
    </row>
    <row r="92" customFormat="false" ht="15.75" hidden="false" customHeight="true" outlineLevel="0" collapsed="false">
      <c r="A92" s="27"/>
      <c r="B92" s="28"/>
      <c r="C92" s="27"/>
      <c r="D92" s="29"/>
      <c r="E92" s="29"/>
      <c r="F92" s="41"/>
      <c r="G92" s="41"/>
      <c r="H92" s="49"/>
      <c r="I92" s="49"/>
      <c r="J92" s="50" t="str">
        <f aca="false">IF(OR($A92="",$H92=0),"",$I92/$H92)</f>
        <v/>
      </c>
      <c r="K92" s="30" t="str">
        <f aca="false">IF($A92="","",COUNTIFS('Lead Management'!$O$4:$O$1003,$C92,'Lead Management'!$P$4:$P$1003,"&gt;="&amp;$D92,'Lead Management'!$P$4:$P$1003,"&lt;="&amp;$E92))</f>
        <v/>
      </c>
      <c r="L92" s="34" t="str">
        <f aca="false">IF(OR($A92="",$K92=0),"",$G92/$K92)</f>
        <v/>
      </c>
      <c r="M92" s="30" t="str">
        <f aca="false">IF($A92="","",COUNTIFS('Lead Management'!$O$4:$O$1003,$C92,'Lead Management'!$P$4:$P$1003,"&gt;="&amp;$D92,'Lead Management'!$P$4:$P$1003,"&lt;="&amp;$E92,'Lead Management'!$V$4:$V$1003,"Yes"))</f>
        <v/>
      </c>
      <c r="N92" s="30" t="str">
        <f aca="false">IF($A92="","",COUNTIFS(Customers!$S$4:$S$1003,$C92,Customers!$T$4:$T$1003,"&gt;="&amp;$D92,Customers!$T$4:$T$1003,"&lt;="&amp;$E92))</f>
        <v/>
      </c>
      <c r="O92" s="34" t="str">
        <f aca="false">IF($A92="","",SUMIFS(Customers!$M$4:$M$1003,Customers!$S$4:$S$1003,$C92,Customers!$T$4:$T$1003,"&gt;="&amp;$D92,Customers!$T$4:$T$1003,"&lt;="&amp;$E92))</f>
        <v/>
      </c>
      <c r="P92" s="35" t="str">
        <f aca="false">IF(OR($A92="",$G92=0),"",($O92-$G92)/$G92)</f>
        <v/>
      </c>
      <c r="Q92" s="35" t="str">
        <f aca="false">IF(OR($A92="",$K92=0),"",$N92/$K92)</f>
        <v/>
      </c>
      <c r="R92" s="27"/>
      <c r="S92" s="32"/>
    </row>
    <row r="93" customFormat="false" ht="15.75" hidden="false" customHeight="true" outlineLevel="0" collapsed="false">
      <c r="A93" s="27"/>
      <c r="B93" s="28"/>
      <c r="C93" s="27"/>
      <c r="D93" s="29"/>
      <c r="E93" s="29"/>
      <c r="F93" s="41"/>
      <c r="G93" s="41"/>
      <c r="H93" s="49"/>
      <c r="I93" s="49"/>
      <c r="J93" s="50" t="str">
        <f aca="false">IF(OR($A93="",$H93=0),"",$I93/$H93)</f>
        <v/>
      </c>
      <c r="K93" s="30" t="str">
        <f aca="false">IF($A93="","",COUNTIFS('Lead Management'!$O$4:$O$1003,$C93,'Lead Management'!$P$4:$P$1003,"&gt;="&amp;$D93,'Lead Management'!$P$4:$P$1003,"&lt;="&amp;$E93))</f>
        <v/>
      </c>
      <c r="L93" s="34" t="str">
        <f aca="false">IF(OR($A93="",$K93=0),"",$G93/$K93)</f>
        <v/>
      </c>
      <c r="M93" s="30" t="str">
        <f aca="false">IF($A93="","",COUNTIFS('Lead Management'!$O$4:$O$1003,$C93,'Lead Management'!$P$4:$P$1003,"&gt;="&amp;$D93,'Lead Management'!$P$4:$P$1003,"&lt;="&amp;$E93,'Lead Management'!$V$4:$V$1003,"Yes"))</f>
        <v/>
      </c>
      <c r="N93" s="30" t="str">
        <f aca="false">IF($A93="","",COUNTIFS(Customers!$S$4:$S$1003,$C93,Customers!$T$4:$T$1003,"&gt;="&amp;$D93,Customers!$T$4:$T$1003,"&lt;="&amp;$E93))</f>
        <v/>
      </c>
      <c r="O93" s="34" t="str">
        <f aca="false">IF($A93="","",SUMIFS(Customers!$M$4:$M$1003,Customers!$S$4:$S$1003,$C93,Customers!$T$4:$T$1003,"&gt;="&amp;$D93,Customers!$T$4:$T$1003,"&lt;="&amp;$E93))</f>
        <v/>
      </c>
      <c r="P93" s="35" t="str">
        <f aca="false">IF(OR($A93="",$G93=0),"",($O93-$G93)/$G93)</f>
        <v/>
      </c>
      <c r="Q93" s="35" t="str">
        <f aca="false">IF(OR($A93="",$K93=0),"",$N93/$K93)</f>
        <v/>
      </c>
      <c r="R93" s="27"/>
      <c r="S93" s="32"/>
    </row>
    <row r="94" customFormat="false" ht="15.75" hidden="false" customHeight="true" outlineLevel="0" collapsed="false">
      <c r="A94" s="27"/>
      <c r="B94" s="28"/>
      <c r="C94" s="27"/>
      <c r="D94" s="29"/>
      <c r="E94" s="29"/>
      <c r="F94" s="41"/>
      <c r="G94" s="41"/>
      <c r="H94" s="49"/>
      <c r="I94" s="49"/>
      <c r="J94" s="50" t="str">
        <f aca="false">IF(OR($A94="",$H94=0),"",$I94/$H94)</f>
        <v/>
      </c>
      <c r="K94" s="30" t="str">
        <f aca="false">IF($A94="","",COUNTIFS('Lead Management'!$O$4:$O$1003,$C94,'Lead Management'!$P$4:$P$1003,"&gt;="&amp;$D94,'Lead Management'!$P$4:$P$1003,"&lt;="&amp;$E94))</f>
        <v/>
      </c>
      <c r="L94" s="34" t="str">
        <f aca="false">IF(OR($A94="",$K94=0),"",$G94/$K94)</f>
        <v/>
      </c>
      <c r="M94" s="30" t="str">
        <f aca="false">IF($A94="","",COUNTIFS('Lead Management'!$O$4:$O$1003,$C94,'Lead Management'!$P$4:$P$1003,"&gt;="&amp;$D94,'Lead Management'!$P$4:$P$1003,"&lt;="&amp;$E94,'Lead Management'!$V$4:$V$1003,"Yes"))</f>
        <v/>
      </c>
      <c r="N94" s="30" t="str">
        <f aca="false">IF($A94="","",COUNTIFS(Customers!$S$4:$S$1003,$C94,Customers!$T$4:$T$1003,"&gt;="&amp;$D94,Customers!$T$4:$T$1003,"&lt;="&amp;$E94))</f>
        <v/>
      </c>
      <c r="O94" s="34" t="str">
        <f aca="false">IF($A94="","",SUMIFS(Customers!$M$4:$M$1003,Customers!$S$4:$S$1003,$C94,Customers!$T$4:$T$1003,"&gt;="&amp;$D94,Customers!$T$4:$T$1003,"&lt;="&amp;$E94))</f>
        <v/>
      </c>
      <c r="P94" s="35" t="str">
        <f aca="false">IF(OR($A94="",$G94=0),"",($O94-$G94)/$G94)</f>
        <v/>
      </c>
      <c r="Q94" s="35" t="str">
        <f aca="false">IF(OR($A94="",$K94=0),"",$N94/$K94)</f>
        <v/>
      </c>
      <c r="R94" s="27"/>
      <c r="S94" s="32"/>
    </row>
    <row r="95" customFormat="false" ht="15.75" hidden="false" customHeight="true" outlineLevel="0" collapsed="false">
      <c r="A95" s="27"/>
      <c r="B95" s="28"/>
      <c r="C95" s="27"/>
      <c r="D95" s="29"/>
      <c r="E95" s="29"/>
      <c r="F95" s="41"/>
      <c r="G95" s="41"/>
      <c r="H95" s="49"/>
      <c r="I95" s="49"/>
      <c r="J95" s="50" t="str">
        <f aca="false">IF(OR($A95="",$H95=0),"",$I95/$H95)</f>
        <v/>
      </c>
      <c r="K95" s="30" t="str">
        <f aca="false">IF($A95="","",COUNTIFS('Lead Management'!$O$4:$O$1003,$C95,'Lead Management'!$P$4:$P$1003,"&gt;="&amp;$D95,'Lead Management'!$P$4:$P$1003,"&lt;="&amp;$E95))</f>
        <v/>
      </c>
      <c r="L95" s="34" t="str">
        <f aca="false">IF(OR($A95="",$K95=0),"",$G95/$K95)</f>
        <v/>
      </c>
      <c r="M95" s="30" t="str">
        <f aca="false">IF($A95="","",COUNTIFS('Lead Management'!$O$4:$O$1003,$C95,'Lead Management'!$P$4:$P$1003,"&gt;="&amp;$D95,'Lead Management'!$P$4:$P$1003,"&lt;="&amp;$E95,'Lead Management'!$V$4:$V$1003,"Yes"))</f>
        <v/>
      </c>
      <c r="N95" s="30" t="str">
        <f aca="false">IF($A95="","",COUNTIFS(Customers!$S$4:$S$1003,$C95,Customers!$T$4:$T$1003,"&gt;="&amp;$D95,Customers!$T$4:$T$1003,"&lt;="&amp;$E95))</f>
        <v/>
      </c>
      <c r="O95" s="34" t="str">
        <f aca="false">IF($A95="","",SUMIFS(Customers!$M$4:$M$1003,Customers!$S$4:$S$1003,$C95,Customers!$T$4:$T$1003,"&gt;="&amp;$D95,Customers!$T$4:$T$1003,"&lt;="&amp;$E95))</f>
        <v/>
      </c>
      <c r="P95" s="35" t="str">
        <f aca="false">IF(OR($A95="",$G95=0),"",($O95-$G95)/$G95)</f>
        <v/>
      </c>
      <c r="Q95" s="35" t="str">
        <f aca="false">IF(OR($A95="",$K95=0),"",$N95/$K95)</f>
        <v/>
      </c>
      <c r="R95" s="27"/>
      <c r="S95" s="32"/>
    </row>
    <row r="96" customFormat="false" ht="15.75" hidden="false" customHeight="true" outlineLevel="0" collapsed="false">
      <c r="A96" s="27"/>
      <c r="B96" s="28"/>
      <c r="C96" s="27"/>
      <c r="D96" s="29"/>
      <c r="E96" s="29"/>
      <c r="F96" s="41"/>
      <c r="G96" s="41"/>
      <c r="H96" s="49"/>
      <c r="I96" s="49"/>
      <c r="J96" s="50" t="str">
        <f aca="false">IF(OR($A96="",$H96=0),"",$I96/$H96)</f>
        <v/>
      </c>
      <c r="K96" s="30" t="str">
        <f aca="false">IF($A96="","",COUNTIFS('Lead Management'!$O$4:$O$1003,$C96,'Lead Management'!$P$4:$P$1003,"&gt;="&amp;$D96,'Lead Management'!$P$4:$P$1003,"&lt;="&amp;$E96))</f>
        <v/>
      </c>
      <c r="L96" s="34" t="str">
        <f aca="false">IF(OR($A96="",$K96=0),"",$G96/$K96)</f>
        <v/>
      </c>
      <c r="M96" s="30" t="str">
        <f aca="false">IF($A96="","",COUNTIFS('Lead Management'!$O$4:$O$1003,$C96,'Lead Management'!$P$4:$P$1003,"&gt;="&amp;$D96,'Lead Management'!$P$4:$P$1003,"&lt;="&amp;$E96,'Lead Management'!$V$4:$V$1003,"Yes"))</f>
        <v/>
      </c>
      <c r="N96" s="30" t="str">
        <f aca="false">IF($A96="","",COUNTIFS(Customers!$S$4:$S$1003,$C96,Customers!$T$4:$T$1003,"&gt;="&amp;$D96,Customers!$T$4:$T$1003,"&lt;="&amp;$E96))</f>
        <v/>
      </c>
      <c r="O96" s="34" t="str">
        <f aca="false">IF($A96="","",SUMIFS(Customers!$M$4:$M$1003,Customers!$S$4:$S$1003,$C96,Customers!$T$4:$T$1003,"&gt;="&amp;$D96,Customers!$T$4:$T$1003,"&lt;="&amp;$E96))</f>
        <v/>
      </c>
      <c r="P96" s="35" t="str">
        <f aca="false">IF(OR($A96="",$G96=0),"",($O96-$G96)/$G96)</f>
        <v/>
      </c>
      <c r="Q96" s="35" t="str">
        <f aca="false">IF(OR($A96="",$K96=0),"",$N96/$K96)</f>
        <v/>
      </c>
      <c r="R96" s="27"/>
      <c r="S96" s="32"/>
    </row>
    <row r="97" customFormat="false" ht="15.75" hidden="false" customHeight="true" outlineLevel="0" collapsed="false">
      <c r="A97" s="27"/>
      <c r="B97" s="28"/>
      <c r="C97" s="27"/>
      <c r="D97" s="29"/>
      <c r="E97" s="29"/>
      <c r="F97" s="41"/>
      <c r="G97" s="41"/>
      <c r="H97" s="49"/>
      <c r="I97" s="49"/>
      <c r="J97" s="50" t="str">
        <f aca="false">IF(OR($A97="",$H97=0),"",$I97/$H97)</f>
        <v/>
      </c>
      <c r="K97" s="30" t="str">
        <f aca="false">IF($A97="","",COUNTIFS('Lead Management'!$O$4:$O$1003,$C97,'Lead Management'!$P$4:$P$1003,"&gt;="&amp;$D97,'Lead Management'!$P$4:$P$1003,"&lt;="&amp;$E97))</f>
        <v/>
      </c>
      <c r="L97" s="34" t="str">
        <f aca="false">IF(OR($A97="",$K97=0),"",$G97/$K97)</f>
        <v/>
      </c>
      <c r="M97" s="30" t="str">
        <f aca="false">IF($A97="","",COUNTIFS('Lead Management'!$O$4:$O$1003,$C97,'Lead Management'!$P$4:$P$1003,"&gt;="&amp;$D97,'Lead Management'!$P$4:$P$1003,"&lt;="&amp;$E97,'Lead Management'!$V$4:$V$1003,"Yes"))</f>
        <v/>
      </c>
      <c r="N97" s="30" t="str">
        <f aca="false">IF($A97="","",COUNTIFS(Customers!$S$4:$S$1003,$C97,Customers!$T$4:$T$1003,"&gt;="&amp;$D97,Customers!$T$4:$T$1003,"&lt;="&amp;$E97))</f>
        <v/>
      </c>
      <c r="O97" s="34" t="str">
        <f aca="false">IF($A97="","",SUMIFS(Customers!$M$4:$M$1003,Customers!$S$4:$S$1003,$C97,Customers!$T$4:$T$1003,"&gt;="&amp;$D97,Customers!$T$4:$T$1003,"&lt;="&amp;$E97))</f>
        <v/>
      </c>
      <c r="P97" s="35" t="str">
        <f aca="false">IF(OR($A97="",$G97=0),"",($O97-$G97)/$G97)</f>
        <v/>
      </c>
      <c r="Q97" s="35" t="str">
        <f aca="false">IF(OR($A97="",$K97=0),"",$N97/$K97)</f>
        <v/>
      </c>
      <c r="R97" s="27"/>
      <c r="S97" s="32"/>
    </row>
    <row r="98" customFormat="false" ht="15.75" hidden="false" customHeight="true" outlineLevel="0" collapsed="false">
      <c r="A98" s="27"/>
      <c r="B98" s="28"/>
      <c r="C98" s="27"/>
      <c r="D98" s="29"/>
      <c r="E98" s="29"/>
      <c r="F98" s="41"/>
      <c r="G98" s="41"/>
      <c r="H98" s="49"/>
      <c r="I98" s="49"/>
      <c r="J98" s="50" t="str">
        <f aca="false">IF(OR($A98="",$H98=0),"",$I98/$H98)</f>
        <v/>
      </c>
      <c r="K98" s="30" t="str">
        <f aca="false">IF($A98="","",COUNTIFS('Lead Management'!$O$4:$O$1003,$C98,'Lead Management'!$P$4:$P$1003,"&gt;="&amp;$D98,'Lead Management'!$P$4:$P$1003,"&lt;="&amp;$E98))</f>
        <v/>
      </c>
      <c r="L98" s="34" t="str">
        <f aca="false">IF(OR($A98="",$K98=0),"",$G98/$K98)</f>
        <v/>
      </c>
      <c r="M98" s="30" t="str">
        <f aca="false">IF($A98="","",COUNTIFS('Lead Management'!$O$4:$O$1003,$C98,'Lead Management'!$P$4:$P$1003,"&gt;="&amp;$D98,'Lead Management'!$P$4:$P$1003,"&lt;="&amp;$E98,'Lead Management'!$V$4:$V$1003,"Yes"))</f>
        <v/>
      </c>
      <c r="N98" s="30" t="str">
        <f aca="false">IF($A98="","",COUNTIFS(Customers!$S$4:$S$1003,$C98,Customers!$T$4:$T$1003,"&gt;="&amp;$D98,Customers!$T$4:$T$1003,"&lt;="&amp;$E98))</f>
        <v/>
      </c>
      <c r="O98" s="34" t="str">
        <f aca="false">IF($A98="","",SUMIFS(Customers!$M$4:$M$1003,Customers!$S$4:$S$1003,$C98,Customers!$T$4:$T$1003,"&gt;="&amp;$D98,Customers!$T$4:$T$1003,"&lt;="&amp;$E98))</f>
        <v/>
      </c>
      <c r="P98" s="35" t="str">
        <f aca="false">IF(OR($A98="",$G98=0),"",($O98-$G98)/$G98)</f>
        <v/>
      </c>
      <c r="Q98" s="35" t="str">
        <f aca="false">IF(OR($A98="",$K98=0),"",$N98/$K98)</f>
        <v/>
      </c>
      <c r="R98" s="27"/>
      <c r="S98" s="32"/>
    </row>
    <row r="99" customFormat="false" ht="15.75" hidden="false" customHeight="true" outlineLevel="0" collapsed="false">
      <c r="A99" s="27"/>
      <c r="B99" s="28"/>
      <c r="C99" s="27"/>
      <c r="D99" s="29"/>
      <c r="E99" s="29"/>
      <c r="F99" s="41"/>
      <c r="G99" s="41"/>
      <c r="H99" s="49"/>
      <c r="I99" s="49"/>
      <c r="J99" s="50" t="str">
        <f aca="false">IF(OR($A99="",$H99=0),"",$I99/$H99)</f>
        <v/>
      </c>
      <c r="K99" s="30" t="str">
        <f aca="false">IF($A99="","",COUNTIFS('Lead Management'!$O$4:$O$1003,$C99,'Lead Management'!$P$4:$P$1003,"&gt;="&amp;$D99,'Lead Management'!$P$4:$P$1003,"&lt;="&amp;$E99))</f>
        <v/>
      </c>
      <c r="L99" s="34" t="str">
        <f aca="false">IF(OR($A99="",$K99=0),"",$G99/$K99)</f>
        <v/>
      </c>
      <c r="M99" s="30" t="str">
        <f aca="false">IF($A99="","",COUNTIFS('Lead Management'!$O$4:$O$1003,$C99,'Lead Management'!$P$4:$P$1003,"&gt;="&amp;$D99,'Lead Management'!$P$4:$P$1003,"&lt;="&amp;$E99,'Lead Management'!$V$4:$V$1003,"Yes"))</f>
        <v/>
      </c>
      <c r="N99" s="30" t="str">
        <f aca="false">IF($A99="","",COUNTIFS(Customers!$S$4:$S$1003,$C99,Customers!$T$4:$T$1003,"&gt;="&amp;$D99,Customers!$T$4:$T$1003,"&lt;="&amp;$E99))</f>
        <v/>
      </c>
      <c r="O99" s="34" t="str">
        <f aca="false">IF($A99="","",SUMIFS(Customers!$M$4:$M$1003,Customers!$S$4:$S$1003,$C99,Customers!$T$4:$T$1003,"&gt;="&amp;$D99,Customers!$T$4:$T$1003,"&lt;="&amp;$E99))</f>
        <v/>
      </c>
      <c r="P99" s="35" t="str">
        <f aca="false">IF(OR($A99="",$G99=0),"",($O99-$G99)/$G99)</f>
        <v/>
      </c>
      <c r="Q99" s="35" t="str">
        <f aca="false">IF(OR($A99="",$K99=0),"",$N99/$K99)</f>
        <v/>
      </c>
      <c r="R99" s="27"/>
      <c r="S99" s="32"/>
    </row>
    <row r="100" customFormat="false" ht="15.75" hidden="false" customHeight="true" outlineLevel="0" collapsed="false">
      <c r="A100" s="27"/>
      <c r="B100" s="28"/>
      <c r="C100" s="27"/>
      <c r="D100" s="29"/>
      <c r="E100" s="29"/>
      <c r="F100" s="41"/>
      <c r="G100" s="41"/>
      <c r="H100" s="49"/>
      <c r="I100" s="49"/>
      <c r="J100" s="50" t="str">
        <f aca="false">IF(OR($A100="",$H100=0),"",$I100/$H100)</f>
        <v/>
      </c>
      <c r="K100" s="30" t="str">
        <f aca="false">IF($A100="","",COUNTIFS('Lead Management'!$O$4:$O$1003,$C100,'Lead Management'!$P$4:$P$1003,"&gt;="&amp;$D100,'Lead Management'!$P$4:$P$1003,"&lt;="&amp;$E100))</f>
        <v/>
      </c>
      <c r="L100" s="34" t="str">
        <f aca="false">IF(OR($A100="",$K100=0),"",$G100/$K100)</f>
        <v/>
      </c>
      <c r="M100" s="30" t="str">
        <f aca="false">IF($A100="","",COUNTIFS('Lead Management'!$O$4:$O$1003,$C100,'Lead Management'!$P$4:$P$1003,"&gt;="&amp;$D100,'Lead Management'!$P$4:$P$1003,"&lt;="&amp;$E100,'Lead Management'!$V$4:$V$1003,"Yes"))</f>
        <v/>
      </c>
      <c r="N100" s="30" t="str">
        <f aca="false">IF($A100="","",COUNTIFS(Customers!$S$4:$S$1003,$C100,Customers!$T$4:$T$1003,"&gt;="&amp;$D100,Customers!$T$4:$T$1003,"&lt;="&amp;$E100))</f>
        <v/>
      </c>
      <c r="O100" s="34" t="str">
        <f aca="false">IF($A100="","",SUMIFS(Customers!$M$4:$M$1003,Customers!$S$4:$S$1003,$C100,Customers!$T$4:$T$1003,"&gt;="&amp;$D100,Customers!$T$4:$T$1003,"&lt;="&amp;$E100))</f>
        <v/>
      </c>
      <c r="P100" s="35" t="str">
        <f aca="false">IF(OR($A100="",$G100=0),"",($O100-$G100)/$G100)</f>
        <v/>
      </c>
      <c r="Q100" s="35" t="str">
        <f aca="false">IF(OR($A100="",$K100=0),"",$N100/$K100)</f>
        <v/>
      </c>
      <c r="R100" s="27"/>
      <c r="S100" s="32"/>
    </row>
    <row r="101" customFormat="false" ht="15.75" hidden="false" customHeight="true" outlineLevel="0" collapsed="false">
      <c r="A101" s="27"/>
      <c r="B101" s="28"/>
      <c r="C101" s="27"/>
      <c r="D101" s="29"/>
      <c r="E101" s="29"/>
      <c r="F101" s="41"/>
      <c r="G101" s="41"/>
      <c r="H101" s="49"/>
      <c r="I101" s="49"/>
      <c r="J101" s="50" t="str">
        <f aca="false">IF(OR($A101="",$H101=0),"",$I101/$H101)</f>
        <v/>
      </c>
      <c r="K101" s="30" t="str">
        <f aca="false">IF($A101="","",COUNTIFS('Lead Management'!$O$4:$O$1003,$C101,'Lead Management'!$P$4:$P$1003,"&gt;="&amp;$D101,'Lead Management'!$P$4:$P$1003,"&lt;="&amp;$E101))</f>
        <v/>
      </c>
      <c r="L101" s="34" t="str">
        <f aca="false">IF(OR($A101="",$K101=0),"",$G101/$K101)</f>
        <v/>
      </c>
      <c r="M101" s="30" t="str">
        <f aca="false">IF($A101="","",COUNTIFS('Lead Management'!$O$4:$O$1003,$C101,'Lead Management'!$P$4:$P$1003,"&gt;="&amp;$D101,'Lead Management'!$P$4:$P$1003,"&lt;="&amp;$E101,'Lead Management'!$V$4:$V$1003,"Yes"))</f>
        <v/>
      </c>
      <c r="N101" s="30" t="str">
        <f aca="false">IF($A101="","",COUNTIFS(Customers!$S$4:$S$1003,$C101,Customers!$T$4:$T$1003,"&gt;="&amp;$D101,Customers!$T$4:$T$1003,"&lt;="&amp;$E101))</f>
        <v/>
      </c>
      <c r="O101" s="34" t="str">
        <f aca="false">IF($A101="","",SUMIFS(Customers!$M$4:$M$1003,Customers!$S$4:$S$1003,$C101,Customers!$T$4:$T$1003,"&gt;="&amp;$D101,Customers!$T$4:$T$1003,"&lt;="&amp;$E101))</f>
        <v/>
      </c>
      <c r="P101" s="35" t="str">
        <f aca="false">IF(OR($A101="",$G101=0),"",($O101-$G101)/$G101)</f>
        <v/>
      </c>
      <c r="Q101" s="35" t="str">
        <f aca="false">IF(OR($A101="",$K101=0),"",$N101/$K101)</f>
        <v/>
      </c>
      <c r="R101" s="27"/>
      <c r="S101" s="32"/>
    </row>
    <row r="102" customFormat="false" ht="15.75" hidden="false" customHeight="true" outlineLevel="0" collapsed="false">
      <c r="A102" s="27"/>
      <c r="B102" s="28"/>
      <c r="C102" s="27"/>
      <c r="D102" s="29"/>
      <c r="E102" s="29"/>
      <c r="F102" s="41"/>
      <c r="G102" s="41"/>
      <c r="H102" s="49"/>
      <c r="I102" s="49"/>
      <c r="J102" s="50" t="str">
        <f aca="false">IF(OR($A102="",$H102=0),"",$I102/$H102)</f>
        <v/>
      </c>
      <c r="K102" s="30" t="str">
        <f aca="false">IF($A102="","",COUNTIFS('Lead Management'!$O$4:$O$1003,$C102,'Lead Management'!$P$4:$P$1003,"&gt;="&amp;$D102,'Lead Management'!$P$4:$P$1003,"&lt;="&amp;$E102))</f>
        <v/>
      </c>
      <c r="L102" s="34" t="str">
        <f aca="false">IF(OR($A102="",$K102=0),"",$G102/$K102)</f>
        <v/>
      </c>
      <c r="M102" s="30" t="str">
        <f aca="false">IF($A102="","",COUNTIFS('Lead Management'!$O$4:$O$1003,$C102,'Lead Management'!$P$4:$P$1003,"&gt;="&amp;$D102,'Lead Management'!$P$4:$P$1003,"&lt;="&amp;$E102,'Lead Management'!$V$4:$V$1003,"Yes"))</f>
        <v/>
      </c>
      <c r="N102" s="30" t="str">
        <f aca="false">IF($A102="","",COUNTIFS(Customers!$S$4:$S$1003,$C102,Customers!$T$4:$T$1003,"&gt;="&amp;$D102,Customers!$T$4:$T$1003,"&lt;="&amp;$E102))</f>
        <v/>
      </c>
      <c r="O102" s="34" t="str">
        <f aca="false">IF($A102="","",SUMIFS(Customers!$M$4:$M$1003,Customers!$S$4:$S$1003,$C102,Customers!$T$4:$T$1003,"&gt;="&amp;$D102,Customers!$T$4:$T$1003,"&lt;="&amp;$E102))</f>
        <v/>
      </c>
      <c r="P102" s="35" t="str">
        <f aca="false">IF(OR($A102="",$G102=0),"",($O102-$G102)/$G102)</f>
        <v/>
      </c>
      <c r="Q102" s="35" t="str">
        <f aca="false">IF(OR($A102="",$K102=0),"",$N102/$K102)</f>
        <v/>
      </c>
      <c r="R102" s="27"/>
      <c r="S102" s="32"/>
    </row>
    <row r="103" customFormat="false" ht="15.75" hidden="false" customHeight="true" outlineLevel="0" collapsed="false">
      <c r="A103" s="27"/>
      <c r="B103" s="28"/>
      <c r="C103" s="27"/>
      <c r="D103" s="29"/>
      <c r="E103" s="29"/>
      <c r="F103" s="41"/>
      <c r="G103" s="41"/>
      <c r="H103" s="49"/>
      <c r="I103" s="49"/>
      <c r="J103" s="50" t="str">
        <f aca="false">IF(OR($A103="",$H103=0),"",$I103/$H103)</f>
        <v/>
      </c>
      <c r="K103" s="30" t="str">
        <f aca="false">IF($A103="","",COUNTIFS('Lead Management'!$O$4:$O$1003,$C103,'Lead Management'!$P$4:$P$1003,"&gt;="&amp;$D103,'Lead Management'!$P$4:$P$1003,"&lt;="&amp;$E103))</f>
        <v/>
      </c>
      <c r="L103" s="34" t="str">
        <f aca="false">IF(OR($A103="",$K103=0),"",$G103/$K103)</f>
        <v/>
      </c>
      <c r="M103" s="30" t="str">
        <f aca="false">IF($A103="","",COUNTIFS('Lead Management'!$O$4:$O$1003,$C103,'Lead Management'!$P$4:$P$1003,"&gt;="&amp;$D103,'Lead Management'!$P$4:$P$1003,"&lt;="&amp;$E103,'Lead Management'!$V$4:$V$1003,"Yes"))</f>
        <v/>
      </c>
      <c r="N103" s="30" t="str">
        <f aca="false">IF($A103="","",COUNTIFS(Customers!$S$4:$S$1003,$C103,Customers!$T$4:$T$1003,"&gt;="&amp;$D103,Customers!$T$4:$T$1003,"&lt;="&amp;$E103))</f>
        <v/>
      </c>
      <c r="O103" s="34" t="str">
        <f aca="false">IF($A103="","",SUMIFS(Customers!$M$4:$M$1003,Customers!$S$4:$S$1003,$C103,Customers!$T$4:$T$1003,"&gt;="&amp;$D103,Customers!$T$4:$T$1003,"&lt;="&amp;$E103))</f>
        <v/>
      </c>
      <c r="P103" s="35" t="str">
        <f aca="false">IF(OR($A103="",$G103=0),"",($O103-$G103)/$G103)</f>
        <v/>
      </c>
      <c r="Q103" s="35" t="str">
        <f aca="false">IF(OR($A103="",$K103=0),"",$N103/$K103)</f>
        <v/>
      </c>
      <c r="R103" s="27"/>
      <c r="S103" s="32"/>
    </row>
    <row r="104" customFormat="false" ht="15.75" hidden="false" customHeight="true" outlineLevel="0" collapsed="false">
      <c r="A104" s="27"/>
      <c r="B104" s="28"/>
      <c r="C104" s="27"/>
      <c r="D104" s="29"/>
      <c r="E104" s="29"/>
      <c r="F104" s="41"/>
      <c r="G104" s="41"/>
      <c r="H104" s="49"/>
      <c r="I104" s="49"/>
      <c r="J104" s="50" t="str">
        <f aca="false">IF(OR($A104="",$H104=0),"",$I104/$H104)</f>
        <v/>
      </c>
      <c r="K104" s="30" t="str">
        <f aca="false">IF($A104="","",COUNTIFS('Lead Management'!$O$4:$O$1003,$C104,'Lead Management'!$P$4:$P$1003,"&gt;="&amp;$D104,'Lead Management'!$P$4:$P$1003,"&lt;="&amp;$E104))</f>
        <v/>
      </c>
      <c r="L104" s="34" t="str">
        <f aca="false">IF(OR($A104="",$K104=0),"",$G104/$K104)</f>
        <v/>
      </c>
      <c r="M104" s="30" t="str">
        <f aca="false">IF($A104="","",COUNTIFS('Lead Management'!$O$4:$O$1003,$C104,'Lead Management'!$P$4:$P$1003,"&gt;="&amp;$D104,'Lead Management'!$P$4:$P$1003,"&lt;="&amp;$E104,'Lead Management'!$V$4:$V$1003,"Yes"))</f>
        <v/>
      </c>
      <c r="N104" s="30" t="str">
        <f aca="false">IF($A104="","",COUNTIFS(Customers!$S$4:$S$1003,$C104,Customers!$T$4:$T$1003,"&gt;="&amp;$D104,Customers!$T$4:$T$1003,"&lt;="&amp;$E104))</f>
        <v/>
      </c>
      <c r="O104" s="34" t="str">
        <f aca="false">IF($A104="","",SUMIFS(Customers!$M$4:$M$1003,Customers!$S$4:$S$1003,$C104,Customers!$T$4:$T$1003,"&gt;="&amp;$D104,Customers!$T$4:$T$1003,"&lt;="&amp;$E104))</f>
        <v/>
      </c>
      <c r="P104" s="35" t="str">
        <f aca="false">IF(OR($A104="",$G104=0),"",($O104-$G104)/$G104)</f>
        <v/>
      </c>
      <c r="Q104" s="35" t="str">
        <f aca="false">IF(OR($A104="",$K104=0),"",$N104/$K104)</f>
        <v/>
      </c>
      <c r="R104" s="27"/>
      <c r="S104" s="32"/>
    </row>
    <row r="105" customFormat="false" ht="15.75" hidden="false" customHeight="true" outlineLevel="0" collapsed="false">
      <c r="A105" s="27"/>
      <c r="B105" s="28"/>
      <c r="C105" s="27"/>
      <c r="D105" s="29"/>
      <c r="E105" s="29"/>
      <c r="F105" s="41"/>
      <c r="G105" s="41"/>
      <c r="H105" s="49"/>
      <c r="I105" s="49"/>
      <c r="J105" s="50" t="str">
        <f aca="false">IF(OR($A105="",$H105=0),"",$I105/$H105)</f>
        <v/>
      </c>
      <c r="K105" s="30" t="str">
        <f aca="false">IF($A105="","",COUNTIFS('Lead Management'!$O$4:$O$1003,$C105,'Lead Management'!$P$4:$P$1003,"&gt;="&amp;$D105,'Lead Management'!$P$4:$P$1003,"&lt;="&amp;$E105))</f>
        <v/>
      </c>
      <c r="L105" s="34" t="str">
        <f aca="false">IF(OR($A105="",$K105=0),"",$G105/$K105)</f>
        <v/>
      </c>
      <c r="M105" s="30" t="str">
        <f aca="false">IF($A105="","",COUNTIFS('Lead Management'!$O$4:$O$1003,$C105,'Lead Management'!$P$4:$P$1003,"&gt;="&amp;$D105,'Lead Management'!$P$4:$P$1003,"&lt;="&amp;$E105,'Lead Management'!$V$4:$V$1003,"Yes"))</f>
        <v/>
      </c>
      <c r="N105" s="30" t="str">
        <f aca="false">IF($A105="","",COUNTIFS(Customers!$S$4:$S$1003,$C105,Customers!$T$4:$T$1003,"&gt;="&amp;$D105,Customers!$T$4:$T$1003,"&lt;="&amp;$E105))</f>
        <v/>
      </c>
      <c r="O105" s="34" t="str">
        <f aca="false">IF($A105="","",SUMIFS(Customers!$M$4:$M$1003,Customers!$S$4:$S$1003,$C105,Customers!$T$4:$T$1003,"&gt;="&amp;$D105,Customers!$T$4:$T$1003,"&lt;="&amp;$E105))</f>
        <v/>
      </c>
      <c r="P105" s="35" t="str">
        <f aca="false">IF(OR($A105="",$G105=0),"",($O105-$G105)/$G105)</f>
        <v/>
      </c>
      <c r="Q105" s="35" t="str">
        <f aca="false">IF(OR($A105="",$K105=0),"",$N105/$K105)</f>
        <v/>
      </c>
      <c r="R105" s="27"/>
      <c r="S105" s="32"/>
    </row>
    <row r="106" customFormat="false" ht="15.75" hidden="false" customHeight="true" outlineLevel="0" collapsed="false">
      <c r="A106" s="27"/>
      <c r="B106" s="28"/>
      <c r="C106" s="27"/>
      <c r="D106" s="29"/>
      <c r="E106" s="29"/>
      <c r="F106" s="41"/>
      <c r="G106" s="41"/>
      <c r="H106" s="49"/>
      <c r="I106" s="49"/>
      <c r="J106" s="50" t="str">
        <f aca="false">IF(OR($A106="",$H106=0),"",$I106/$H106)</f>
        <v/>
      </c>
      <c r="K106" s="30" t="str">
        <f aca="false">IF($A106="","",COUNTIFS('Lead Management'!$O$4:$O$1003,$C106,'Lead Management'!$P$4:$P$1003,"&gt;="&amp;$D106,'Lead Management'!$P$4:$P$1003,"&lt;="&amp;$E106))</f>
        <v/>
      </c>
      <c r="L106" s="34" t="str">
        <f aca="false">IF(OR($A106="",$K106=0),"",$G106/$K106)</f>
        <v/>
      </c>
      <c r="M106" s="30" t="str">
        <f aca="false">IF($A106="","",COUNTIFS('Lead Management'!$O$4:$O$1003,$C106,'Lead Management'!$P$4:$P$1003,"&gt;="&amp;$D106,'Lead Management'!$P$4:$P$1003,"&lt;="&amp;$E106,'Lead Management'!$V$4:$V$1003,"Yes"))</f>
        <v/>
      </c>
      <c r="N106" s="30" t="str">
        <f aca="false">IF($A106="","",COUNTIFS(Customers!$S$4:$S$1003,$C106,Customers!$T$4:$T$1003,"&gt;="&amp;$D106,Customers!$T$4:$T$1003,"&lt;="&amp;$E106))</f>
        <v/>
      </c>
      <c r="O106" s="34" t="str">
        <f aca="false">IF($A106="","",SUMIFS(Customers!$M$4:$M$1003,Customers!$S$4:$S$1003,$C106,Customers!$T$4:$T$1003,"&gt;="&amp;$D106,Customers!$T$4:$T$1003,"&lt;="&amp;$E106))</f>
        <v/>
      </c>
      <c r="P106" s="35" t="str">
        <f aca="false">IF(OR($A106="",$G106=0),"",($O106-$G106)/$G106)</f>
        <v/>
      </c>
      <c r="Q106" s="35" t="str">
        <f aca="false">IF(OR($A106="",$K106=0),"",$N106/$K106)</f>
        <v/>
      </c>
      <c r="R106" s="27"/>
      <c r="S106" s="32"/>
    </row>
    <row r="107" customFormat="false" ht="15.75" hidden="false" customHeight="true" outlineLevel="0" collapsed="false">
      <c r="A107" s="27"/>
      <c r="B107" s="28"/>
      <c r="C107" s="27"/>
      <c r="D107" s="29"/>
      <c r="E107" s="29"/>
      <c r="F107" s="41"/>
      <c r="G107" s="41"/>
      <c r="H107" s="49"/>
      <c r="I107" s="49"/>
      <c r="J107" s="50" t="str">
        <f aca="false">IF(OR($A107="",$H107=0),"",$I107/$H107)</f>
        <v/>
      </c>
      <c r="K107" s="30" t="str">
        <f aca="false">IF($A107="","",COUNTIFS('Lead Management'!$O$4:$O$1003,$C107,'Lead Management'!$P$4:$P$1003,"&gt;="&amp;$D107,'Lead Management'!$P$4:$P$1003,"&lt;="&amp;$E107))</f>
        <v/>
      </c>
      <c r="L107" s="34" t="str">
        <f aca="false">IF(OR($A107="",$K107=0),"",$G107/$K107)</f>
        <v/>
      </c>
      <c r="M107" s="30" t="str">
        <f aca="false">IF($A107="","",COUNTIFS('Lead Management'!$O$4:$O$1003,$C107,'Lead Management'!$P$4:$P$1003,"&gt;="&amp;$D107,'Lead Management'!$P$4:$P$1003,"&lt;="&amp;$E107,'Lead Management'!$V$4:$V$1003,"Yes"))</f>
        <v/>
      </c>
      <c r="N107" s="30" t="str">
        <f aca="false">IF($A107="","",COUNTIFS(Customers!$S$4:$S$1003,$C107,Customers!$T$4:$T$1003,"&gt;="&amp;$D107,Customers!$T$4:$T$1003,"&lt;="&amp;$E107))</f>
        <v/>
      </c>
      <c r="O107" s="34" t="str">
        <f aca="false">IF($A107="","",SUMIFS(Customers!$M$4:$M$1003,Customers!$S$4:$S$1003,$C107,Customers!$T$4:$T$1003,"&gt;="&amp;$D107,Customers!$T$4:$T$1003,"&lt;="&amp;$E107))</f>
        <v/>
      </c>
      <c r="P107" s="35" t="str">
        <f aca="false">IF(OR($A107="",$G107=0),"",($O107-$G107)/$G107)</f>
        <v/>
      </c>
      <c r="Q107" s="35" t="str">
        <f aca="false">IF(OR($A107="",$K107=0),"",$N107/$K107)</f>
        <v/>
      </c>
      <c r="R107" s="27"/>
      <c r="S107" s="32"/>
    </row>
    <row r="108" customFormat="false" ht="15.75" hidden="false" customHeight="true" outlineLevel="0" collapsed="false">
      <c r="A108" s="27"/>
      <c r="B108" s="28"/>
      <c r="C108" s="27"/>
      <c r="D108" s="29"/>
      <c r="E108" s="29"/>
      <c r="F108" s="41"/>
      <c r="G108" s="41"/>
      <c r="H108" s="49"/>
      <c r="I108" s="49"/>
      <c r="J108" s="50" t="str">
        <f aca="false">IF(OR($A108="",$H108=0),"",$I108/$H108)</f>
        <v/>
      </c>
      <c r="K108" s="30" t="str">
        <f aca="false">IF($A108="","",COUNTIFS('Lead Management'!$O$4:$O$1003,$C108,'Lead Management'!$P$4:$P$1003,"&gt;="&amp;$D108,'Lead Management'!$P$4:$P$1003,"&lt;="&amp;$E108))</f>
        <v/>
      </c>
      <c r="L108" s="34" t="str">
        <f aca="false">IF(OR($A108="",$K108=0),"",$G108/$K108)</f>
        <v/>
      </c>
      <c r="M108" s="30" t="str">
        <f aca="false">IF($A108="","",COUNTIFS('Lead Management'!$O$4:$O$1003,$C108,'Lead Management'!$P$4:$P$1003,"&gt;="&amp;$D108,'Lead Management'!$P$4:$P$1003,"&lt;="&amp;$E108,'Lead Management'!$V$4:$V$1003,"Yes"))</f>
        <v/>
      </c>
      <c r="N108" s="30" t="str">
        <f aca="false">IF($A108="","",COUNTIFS(Customers!$S$4:$S$1003,$C108,Customers!$T$4:$T$1003,"&gt;="&amp;$D108,Customers!$T$4:$T$1003,"&lt;="&amp;$E108))</f>
        <v/>
      </c>
      <c r="O108" s="34" t="str">
        <f aca="false">IF($A108="","",SUMIFS(Customers!$M$4:$M$1003,Customers!$S$4:$S$1003,$C108,Customers!$T$4:$T$1003,"&gt;="&amp;$D108,Customers!$T$4:$T$1003,"&lt;="&amp;$E108))</f>
        <v/>
      </c>
      <c r="P108" s="35" t="str">
        <f aca="false">IF(OR($A108="",$G108=0),"",($O108-$G108)/$G108)</f>
        <v/>
      </c>
      <c r="Q108" s="35" t="str">
        <f aca="false">IF(OR($A108="",$K108=0),"",$N108/$K108)</f>
        <v/>
      </c>
      <c r="R108" s="27"/>
      <c r="S108" s="32"/>
    </row>
    <row r="109" customFormat="false" ht="15.75" hidden="false" customHeight="true" outlineLevel="0" collapsed="false">
      <c r="A109" s="27"/>
      <c r="B109" s="28"/>
      <c r="C109" s="27"/>
      <c r="D109" s="29"/>
      <c r="E109" s="29"/>
      <c r="F109" s="41"/>
      <c r="G109" s="41"/>
      <c r="H109" s="49"/>
      <c r="I109" s="49"/>
      <c r="J109" s="50" t="str">
        <f aca="false">IF(OR($A109="",$H109=0),"",$I109/$H109)</f>
        <v/>
      </c>
      <c r="K109" s="30" t="str">
        <f aca="false">IF($A109="","",COUNTIFS('Lead Management'!$O$4:$O$1003,$C109,'Lead Management'!$P$4:$P$1003,"&gt;="&amp;$D109,'Lead Management'!$P$4:$P$1003,"&lt;="&amp;$E109))</f>
        <v/>
      </c>
      <c r="L109" s="34" t="str">
        <f aca="false">IF(OR($A109="",$K109=0),"",$G109/$K109)</f>
        <v/>
      </c>
      <c r="M109" s="30" t="str">
        <f aca="false">IF($A109="","",COUNTIFS('Lead Management'!$O$4:$O$1003,$C109,'Lead Management'!$P$4:$P$1003,"&gt;="&amp;$D109,'Lead Management'!$P$4:$P$1003,"&lt;="&amp;$E109,'Lead Management'!$V$4:$V$1003,"Yes"))</f>
        <v/>
      </c>
      <c r="N109" s="30" t="str">
        <f aca="false">IF($A109="","",COUNTIFS(Customers!$S$4:$S$1003,$C109,Customers!$T$4:$T$1003,"&gt;="&amp;$D109,Customers!$T$4:$T$1003,"&lt;="&amp;$E109))</f>
        <v/>
      </c>
      <c r="O109" s="34" t="str">
        <f aca="false">IF($A109="","",SUMIFS(Customers!$M$4:$M$1003,Customers!$S$4:$S$1003,$C109,Customers!$T$4:$T$1003,"&gt;="&amp;$D109,Customers!$T$4:$T$1003,"&lt;="&amp;$E109))</f>
        <v/>
      </c>
      <c r="P109" s="35" t="str">
        <f aca="false">IF(OR($A109="",$G109=0),"",($O109-$G109)/$G109)</f>
        <v/>
      </c>
      <c r="Q109" s="35" t="str">
        <f aca="false">IF(OR($A109="",$K109=0),"",$N109/$K109)</f>
        <v/>
      </c>
      <c r="R109" s="27"/>
      <c r="S109" s="32"/>
    </row>
    <row r="110" customFormat="false" ht="15.75" hidden="false" customHeight="true" outlineLevel="0" collapsed="false">
      <c r="A110" s="27"/>
      <c r="B110" s="28"/>
      <c r="C110" s="27"/>
      <c r="D110" s="29"/>
      <c r="E110" s="29"/>
      <c r="F110" s="41"/>
      <c r="G110" s="41"/>
      <c r="H110" s="49"/>
      <c r="I110" s="49"/>
      <c r="J110" s="50" t="str">
        <f aca="false">IF(OR($A110="",$H110=0),"",$I110/$H110)</f>
        <v/>
      </c>
      <c r="K110" s="30" t="str">
        <f aca="false">IF($A110="","",COUNTIFS('Lead Management'!$O$4:$O$1003,$C110,'Lead Management'!$P$4:$P$1003,"&gt;="&amp;$D110,'Lead Management'!$P$4:$P$1003,"&lt;="&amp;$E110))</f>
        <v/>
      </c>
      <c r="L110" s="34" t="str">
        <f aca="false">IF(OR($A110="",$K110=0),"",$G110/$K110)</f>
        <v/>
      </c>
      <c r="M110" s="30" t="str">
        <f aca="false">IF($A110="","",COUNTIFS('Lead Management'!$O$4:$O$1003,$C110,'Lead Management'!$P$4:$P$1003,"&gt;="&amp;$D110,'Lead Management'!$P$4:$P$1003,"&lt;="&amp;$E110,'Lead Management'!$V$4:$V$1003,"Yes"))</f>
        <v/>
      </c>
      <c r="N110" s="30" t="str">
        <f aca="false">IF($A110="","",COUNTIFS(Customers!$S$4:$S$1003,$C110,Customers!$T$4:$T$1003,"&gt;="&amp;$D110,Customers!$T$4:$T$1003,"&lt;="&amp;$E110))</f>
        <v/>
      </c>
      <c r="O110" s="34" t="str">
        <f aca="false">IF($A110="","",SUMIFS(Customers!$M$4:$M$1003,Customers!$S$4:$S$1003,$C110,Customers!$T$4:$T$1003,"&gt;="&amp;$D110,Customers!$T$4:$T$1003,"&lt;="&amp;$E110))</f>
        <v/>
      </c>
      <c r="P110" s="35" t="str">
        <f aca="false">IF(OR($A110="",$G110=0),"",($O110-$G110)/$G110)</f>
        <v/>
      </c>
      <c r="Q110" s="35" t="str">
        <f aca="false">IF(OR($A110="",$K110=0),"",$N110/$K110)</f>
        <v/>
      </c>
      <c r="R110" s="27"/>
      <c r="S110" s="32"/>
    </row>
    <row r="111" customFormat="false" ht="15.75" hidden="false" customHeight="true" outlineLevel="0" collapsed="false">
      <c r="A111" s="27"/>
      <c r="B111" s="28"/>
      <c r="C111" s="27"/>
      <c r="D111" s="29"/>
      <c r="E111" s="29"/>
      <c r="F111" s="41"/>
      <c r="G111" s="41"/>
      <c r="H111" s="49"/>
      <c r="I111" s="49"/>
      <c r="J111" s="50" t="str">
        <f aca="false">IF(OR($A111="",$H111=0),"",$I111/$H111)</f>
        <v/>
      </c>
      <c r="K111" s="30" t="str">
        <f aca="false">IF($A111="","",COUNTIFS('Lead Management'!$O$4:$O$1003,$C111,'Lead Management'!$P$4:$P$1003,"&gt;="&amp;$D111,'Lead Management'!$P$4:$P$1003,"&lt;="&amp;$E111))</f>
        <v/>
      </c>
      <c r="L111" s="34" t="str">
        <f aca="false">IF(OR($A111="",$K111=0),"",$G111/$K111)</f>
        <v/>
      </c>
      <c r="M111" s="30" t="str">
        <f aca="false">IF($A111="","",COUNTIFS('Lead Management'!$O$4:$O$1003,$C111,'Lead Management'!$P$4:$P$1003,"&gt;="&amp;$D111,'Lead Management'!$P$4:$P$1003,"&lt;="&amp;$E111,'Lead Management'!$V$4:$V$1003,"Yes"))</f>
        <v/>
      </c>
      <c r="N111" s="30" t="str">
        <f aca="false">IF($A111="","",COUNTIFS(Customers!$S$4:$S$1003,$C111,Customers!$T$4:$T$1003,"&gt;="&amp;$D111,Customers!$T$4:$T$1003,"&lt;="&amp;$E111))</f>
        <v/>
      </c>
      <c r="O111" s="34" t="str">
        <f aca="false">IF($A111="","",SUMIFS(Customers!$M$4:$M$1003,Customers!$S$4:$S$1003,$C111,Customers!$T$4:$T$1003,"&gt;="&amp;$D111,Customers!$T$4:$T$1003,"&lt;="&amp;$E111))</f>
        <v/>
      </c>
      <c r="P111" s="35" t="str">
        <f aca="false">IF(OR($A111="",$G111=0),"",($O111-$G111)/$G111)</f>
        <v/>
      </c>
      <c r="Q111" s="35" t="str">
        <f aca="false">IF(OR($A111="",$K111=0),"",$N111/$K111)</f>
        <v/>
      </c>
      <c r="R111" s="27"/>
      <c r="S111" s="32"/>
    </row>
    <row r="112" customFormat="false" ht="15.75" hidden="false" customHeight="true" outlineLevel="0" collapsed="false">
      <c r="A112" s="27"/>
      <c r="B112" s="28"/>
      <c r="C112" s="27"/>
      <c r="D112" s="29"/>
      <c r="E112" s="29"/>
      <c r="F112" s="41"/>
      <c r="G112" s="41"/>
      <c r="H112" s="49"/>
      <c r="I112" s="49"/>
      <c r="J112" s="50" t="str">
        <f aca="false">IF(OR($A112="",$H112=0),"",$I112/$H112)</f>
        <v/>
      </c>
      <c r="K112" s="30" t="str">
        <f aca="false">IF($A112="","",COUNTIFS('Lead Management'!$O$4:$O$1003,$C112,'Lead Management'!$P$4:$P$1003,"&gt;="&amp;$D112,'Lead Management'!$P$4:$P$1003,"&lt;="&amp;$E112))</f>
        <v/>
      </c>
      <c r="L112" s="34" t="str">
        <f aca="false">IF(OR($A112="",$K112=0),"",$G112/$K112)</f>
        <v/>
      </c>
      <c r="M112" s="30" t="str">
        <f aca="false">IF($A112="","",COUNTIFS('Lead Management'!$O$4:$O$1003,$C112,'Lead Management'!$P$4:$P$1003,"&gt;="&amp;$D112,'Lead Management'!$P$4:$P$1003,"&lt;="&amp;$E112,'Lead Management'!$V$4:$V$1003,"Yes"))</f>
        <v/>
      </c>
      <c r="N112" s="30" t="str">
        <f aca="false">IF($A112="","",COUNTIFS(Customers!$S$4:$S$1003,$C112,Customers!$T$4:$T$1003,"&gt;="&amp;$D112,Customers!$T$4:$T$1003,"&lt;="&amp;$E112))</f>
        <v/>
      </c>
      <c r="O112" s="34" t="str">
        <f aca="false">IF($A112="","",SUMIFS(Customers!$M$4:$M$1003,Customers!$S$4:$S$1003,$C112,Customers!$T$4:$T$1003,"&gt;="&amp;$D112,Customers!$T$4:$T$1003,"&lt;="&amp;$E112))</f>
        <v/>
      </c>
      <c r="P112" s="35" t="str">
        <f aca="false">IF(OR($A112="",$G112=0),"",($O112-$G112)/$G112)</f>
        <v/>
      </c>
      <c r="Q112" s="35" t="str">
        <f aca="false">IF(OR($A112="",$K112=0),"",$N112/$K112)</f>
        <v/>
      </c>
      <c r="R112" s="27"/>
      <c r="S112" s="32"/>
    </row>
    <row r="113" customFormat="false" ht="15.75" hidden="false" customHeight="true" outlineLevel="0" collapsed="false">
      <c r="A113" s="27"/>
      <c r="B113" s="28"/>
      <c r="C113" s="27"/>
      <c r="D113" s="29"/>
      <c r="E113" s="29"/>
      <c r="F113" s="41"/>
      <c r="G113" s="41"/>
      <c r="H113" s="49"/>
      <c r="I113" s="49"/>
      <c r="J113" s="50" t="str">
        <f aca="false">IF(OR($A113="",$H113=0),"",$I113/$H113)</f>
        <v/>
      </c>
      <c r="K113" s="30" t="str">
        <f aca="false">IF($A113="","",COUNTIFS('Lead Management'!$O$4:$O$1003,$C113,'Lead Management'!$P$4:$P$1003,"&gt;="&amp;$D113,'Lead Management'!$P$4:$P$1003,"&lt;="&amp;$E113))</f>
        <v/>
      </c>
      <c r="L113" s="34" t="str">
        <f aca="false">IF(OR($A113="",$K113=0),"",$G113/$K113)</f>
        <v/>
      </c>
      <c r="M113" s="30" t="str">
        <f aca="false">IF($A113="","",COUNTIFS('Lead Management'!$O$4:$O$1003,$C113,'Lead Management'!$P$4:$P$1003,"&gt;="&amp;$D113,'Lead Management'!$P$4:$P$1003,"&lt;="&amp;$E113,'Lead Management'!$V$4:$V$1003,"Yes"))</f>
        <v/>
      </c>
      <c r="N113" s="30" t="str">
        <f aca="false">IF($A113="","",COUNTIFS(Customers!$S$4:$S$1003,$C113,Customers!$T$4:$T$1003,"&gt;="&amp;$D113,Customers!$T$4:$T$1003,"&lt;="&amp;$E113))</f>
        <v/>
      </c>
      <c r="O113" s="34" t="str">
        <f aca="false">IF($A113="","",SUMIFS(Customers!$M$4:$M$1003,Customers!$S$4:$S$1003,$C113,Customers!$T$4:$T$1003,"&gt;="&amp;$D113,Customers!$T$4:$T$1003,"&lt;="&amp;$E113))</f>
        <v/>
      </c>
      <c r="P113" s="35" t="str">
        <f aca="false">IF(OR($A113="",$G113=0),"",($O113-$G113)/$G113)</f>
        <v/>
      </c>
      <c r="Q113" s="35" t="str">
        <f aca="false">IF(OR($A113="",$K113=0),"",$N113/$K113)</f>
        <v/>
      </c>
      <c r="R113" s="27"/>
      <c r="S113" s="32"/>
    </row>
    <row r="114" customFormat="false" ht="15.75" hidden="false" customHeight="true" outlineLevel="0" collapsed="false">
      <c r="A114" s="27"/>
      <c r="B114" s="28"/>
      <c r="C114" s="27"/>
      <c r="D114" s="29"/>
      <c r="E114" s="29"/>
      <c r="F114" s="41"/>
      <c r="G114" s="41"/>
      <c r="H114" s="49"/>
      <c r="I114" s="49"/>
      <c r="J114" s="50" t="str">
        <f aca="false">IF(OR($A114="",$H114=0),"",$I114/$H114)</f>
        <v/>
      </c>
      <c r="K114" s="30" t="str">
        <f aca="false">IF($A114="","",COUNTIFS('Lead Management'!$O$4:$O$1003,$C114,'Lead Management'!$P$4:$P$1003,"&gt;="&amp;$D114,'Lead Management'!$P$4:$P$1003,"&lt;="&amp;$E114))</f>
        <v/>
      </c>
      <c r="L114" s="34" t="str">
        <f aca="false">IF(OR($A114="",$K114=0),"",$G114/$K114)</f>
        <v/>
      </c>
      <c r="M114" s="30" t="str">
        <f aca="false">IF($A114="","",COUNTIFS('Lead Management'!$O$4:$O$1003,$C114,'Lead Management'!$P$4:$P$1003,"&gt;="&amp;$D114,'Lead Management'!$P$4:$P$1003,"&lt;="&amp;$E114,'Lead Management'!$V$4:$V$1003,"Yes"))</f>
        <v/>
      </c>
      <c r="N114" s="30" t="str">
        <f aca="false">IF($A114="","",COUNTIFS(Customers!$S$4:$S$1003,$C114,Customers!$T$4:$T$1003,"&gt;="&amp;$D114,Customers!$T$4:$T$1003,"&lt;="&amp;$E114))</f>
        <v/>
      </c>
      <c r="O114" s="34" t="str">
        <f aca="false">IF($A114="","",SUMIFS(Customers!$M$4:$M$1003,Customers!$S$4:$S$1003,$C114,Customers!$T$4:$T$1003,"&gt;="&amp;$D114,Customers!$T$4:$T$1003,"&lt;="&amp;$E114))</f>
        <v/>
      </c>
      <c r="P114" s="35" t="str">
        <f aca="false">IF(OR($A114="",$G114=0),"",($O114-$G114)/$G114)</f>
        <v/>
      </c>
      <c r="Q114" s="35" t="str">
        <f aca="false">IF(OR($A114="",$K114=0),"",$N114/$K114)</f>
        <v/>
      </c>
      <c r="R114" s="27"/>
      <c r="S114" s="32"/>
    </row>
    <row r="115" customFormat="false" ht="15.75" hidden="false" customHeight="true" outlineLevel="0" collapsed="false">
      <c r="A115" s="27"/>
      <c r="B115" s="28"/>
      <c r="C115" s="27"/>
      <c r="D115" s="29"/>
      <c r="E115" s="29"/>
      <c r="F115" s="41"/>
      <c r="G115" s="41"/>
      <c r="H115" s="49"/>
      <c r="I115" s="49"/>
      <c r="J115" s="50" t="str">
        <f aca="false">IF(OR($A115="",$H115=0),"",$I115/$H115)</f>
        <v/>
      </c>
      <c r="K115" s="30" t="str">
        <f aca="false">IF($A115="","",COUNTIFS('Lead Management'!$O$4:$O$1003,$C115,'Lead Management'!$P$4:$P$1003,"&gt;="&amp;$D115,'Lead Management'!$P$4:$P$1003,"&lt;="&amp;$E115))</f>
        <v/>
      </c>
      <c r="L115" s="34" t="str">
        <f aca="false">IF(OR($A115="",$K115=0),"",$G115/$K115)</f>
        <v/>
      </c>
      <c r="M115" s="30" t="str">
        <f aca="false">IF($A115="","",COUNTIFS('Lead Management'!$O$4:$O$1003,$C115,'Lead Management'!$P$4:$P$1003,"&gt;="&amp;$D115,'Lead Management'!$P$4:$P$1003,"&lt;="&amp;$E115,'Lead Management'!$V$4:$V$1003,"Yes"))</f>
        <v/>
      </c>
      <c r="N115" s="30" t="str">
        <f aca="false">IF($A115="","",COUNTIFS(Customers!$S$4:$S$1003,$C115,Customers!$T$4:$T$1003,"&gt;="&amp;$D115,Customers!$T$4:$T$1003,"&lt;="&amp;$E115))</f>
        <v/>
      </c>
      <c r="O115" s="34" t="str">
        <f aca="false">IF($A115="","",SUMIFS(Customers!$M$4:$M$1003,Customers!$S$4:$S$1003,$C115,Customers!$T$4:$T$1003,"&gt;="&amp;$D115,Customers!$T$4:$T$1003,"&lt;="&amp;$E115))</f>
        <v/>
      </c>
      <c r="P115" s="35" t="str">
        <f aca="false">IF(OR($A115="",$G115=0),"",($O115-$G115)/$G115)</f>
        <v/>
      </c>
      <c r="Q115" s="35" t="str">
        <f aca="false">IF(OR($A115="",$K115=0),"",$N115/$K115)</f>
        <v/>
      </c>
      <c r="R115" s="27"/>
      <c r="S115" s="32"/>
    </row>
    <row r="116" customFormat="false" ht="15.75" hidden="false" customHeight="true" outlineLevel="0" collapsed="false">
      <c r="A116" s="27"/>
      <c r="B116" s="28"/>
      <c r="C116" s="27"/>
      <c r="D116" s="29"/>
      <c r="E116" s="29"/>
      <c r="F116" s="41"/>
      <c r="G116" s="41"/>
      <c r="H116" s="49"/>
      <c r="I116" s="49"/>
      <c r="J116" s="50" t="str">
        <f aca="false">IF(OR($A116="",$H116=0),"",$I116/$H116)</f>
        <v/>
      </c>
      <c r="K116" s="30" t="str">
        <f aca="false">IF($A116="","",COUNTIFS('Lead Management'!$O$4:$O$1003,$C116,'Lead Management'!$P$4:$P$1003,"&gt;="&amp;$D116,'Lead Management'!$P$4:$P$1003,"&lt;="&amp;$E116))</f>
        <v/>
      </c>
      <c r="L116" s="34" t="str">
        <f aca="false">IF(OR($A116="",$K116=0),"",$G116/$K116)</f>
        <v/>
      </c>
      <c r="M116" s="30" t="str">
        <f aca="false">IF($A116="","",COUNTIFS('Lead Management'!$O$4:$O$1003,$C116,'Lead Management'!$P$4:$P$1003,"&gt;="&amp;$D116,'Lead Management'!$P$4:$P$1003,"&lt;="&amp;$E116,'Lead Management'!$V$4:$V$1003,"Yes"))</f>
        <v/>
      </c>
      <c r="N116" s="30" t="str">
        <f aca="false">IF($A116="","",COUNTIFS(Customers!$S$4:$S$1003,$C116,Customers!$T$4:$T$1003,"&gt;="&amp;$D116,Customers!$T$4:$T$1003,"&lt;="&amp;$E116))</f>
        <v/>
      </c>
      <c r="O116" s="34" t="str">
        <f aca="false">IF($A116="","",SUMIFS(Customers!$M$4:$M$1003,Customers!$S$4:$S$1003,$C116,Customers!$T$4:$T$1003,"&gt;="&amp;$D116,Customers!$T$4:$T$1003,"&lt;="&amp;$E116))</f>
        <v/>
      </c>
      <c r="P116" s="35" t="str">
        <f aca="false">IF(OR($A116="",$G116=0),"",($O116-$G116)/$G116)</f>
        <v/>
      </c>
      <c r="Q116" s="35" t="str">
        <f aca="false">IF(OR($A116="",$K116=0),"",$N116/$K116)</f>
        <v/>
      </c>
      <c r="R116" s="27"/>
      <c r="S116" s="32"/>
    </row>
    <row r="117" customFormat="false" ht="15.75" hidden="false" customHeight="true" outlineLevel="0" collapsed="false">
      <c r="A117" s="27"/>
      <c r="B117" s="28"/>
      <c r="C117" s="27"/>
      <c r="D117" s="29"/>
      <c r="E117" s="29"/>
      <c r="F117" s="41"/>
      <c r="G117" s="41"/>
      <c r="H117" s="49"/>
      <c r="I117" s="49"/>
      <c r="J117" s="50" t="str">
        <f aca="false">IF(OR($A117="",$H117=0),"",$I117/$H117)</f>
        <v/>
      </c>
      <c r="K117" s="30" t="str">
        <f aca="false">IF($A117="","",COUNTIFS('Lead Management'!$O$4:$O$1003,$C117,'Lead Management'!$P$4:$P$1003,"&gt;="&amp;$D117,'Lead Management'!$P$4:$P$1003,"&lt;="&amp;$E117))</f>
        <v/>
      </c>
      <c r="L117" s="34" t="str">
        <f aca="false">IF(OR($A117="",$K117=0),"",$G117/$K117)</f>
        <v/>
      </c>
      <c r="M117" s="30" t="str">
        <f aca="false">IF($A117="","",COUNTIFS('Lead Management'!$O$4:$O$1003,$C117,'Lead Management'!$P$4:$P$1003,"&gt;="&amp;$D117,'Lead Management'!$P$4:$P$1003,"&lt;="&amp;$E117,'Lead Management'!$V$4:$V$1003,"Yes"))</f>
        <v/>
      </c>
      <c r="N117" s="30" t="str">
        <f aca="false">IF($A117="","",COUNTIFS(Customers!$S$4:$S$1003,$C117,Customers!$T$4:$T$1003,"&gt;="&amp;$D117,Customers!$T$4:$T$1003,"&lt;="&amp;$E117))</f>
        <v/>
      </c>
      <c r="O117" s="34" t="str">
        <f aca="false">IF($A117="","",SUMIFS(Customers!$M$4:$M$1003,Customers!$S$4:$S$1003,$C117,Customers!$T$4:$T$1003,"&gt;="&amp;$D117,Customers!$T$4:$T$1003,"&lt;="&amp;$E117))</f>
        <v/>
      </c>
      <c r="P117" s="35" t="str">
        <f aca="false">IF(OR($A117="",$G117=0),"",($O117-$G117)/$G117)</f>
        <v/>
      </c>
      <c r="Q117" s="35" t="str">
        <f aca="false">IF(OR($A117="",$K117=0),"",$N117/$K117)</f>
        <v/>
      </c>
      <c r="R117" s="27"/>
      <c r="S117" s="32"/>
    </row>
    <row r="118" customFormat="false" ht="15.75" hidden="false" customHeight="true" outlineLevel="0" collapsed="false">
      <c r="A118" s="27"/>
      <c r="B118" s="28"/>
      <c r="C118" s="27"/>
      <c r="D118" s="29"/>
      <c r="E118" s="29"/>
      <c r="F118" s="41"/>
      <c r="G118" s="41"/>
      <c r="H118" s="49"/>
      <c r="I118" s="49"/>
      <c r="J118" s="50" t="str">
        <f aca="false">IF(OR($A118="",$H118=0),"",$I118/$H118)</f>
        <v/>
      </c>
      <c r="K118" s="30" t="str">
        <f aca="false">IF($A118="","",COUNTIFS('Lead Management'!$O$4:$O$1003,$C118,'Lead Management'!$P$4:$P$1003,"&gt;="&amp;$D118,'Lead Management'!$P$4:$P$1003,"&lt;="&amp;$E118))</f>
        <v/>
      </c>
      <c r="L118" s="34" t="str">
        <f aca="false">IF(OR($A118="",$K118=0),"",$G118/$K118)</f>
        <v/>
      </c>
      <c r="M118" s="30" t="str">
        <f aca="false">IF($A118="","",COUNTIFS('Lead Management'!$O$4:$O$1003,$C118,'Lead Management'!$P$4:$P$1003,"&gt;="&amp;$D118,'Lead Management'!$P$4:$P$1003,"&lt;="&amp;$E118,'Lead Management'!$V$4:$V$1003,"Yes"))</f>
        <v/>
      </c>
      <c r="N118" s="30" t="str">
        <f aca="false">IF($A118="","",COUNTIFS(Customers!$S$4:$S$1003,$C118,Customers!$T$4:$T$1003,"&gt;="&amp;$D118,Customers!$T$4:$T$1003,"&lt;="&amp;$E118))</f>
        <v/>
      </c>
      <c r="O118" s="34" t="str">
        <f aca="false">IF($A118="","",SUMIFS(Customers!$M$4:$M$1003,Customers!$S$4:$S$1003,$C118,Customers!$T$4:$T$1003,"&gt;="&amp;$D118,Customers!$T$4:$T$1003,"&lt;="&amp;$E118))</f>
        <v/>
      </c>
      <c r="P118" s="35" t="str">
        <f aca="false">IF(OR($A118="",$G118=0),"",($O118-$G118)/$G118)</f>
        <v/>
      </c>
      <c r="Q118" s="35" t="str">
        <f aca="false">IF(OR($A118="",$K118=0),"",$N118/$K118)</f>
        <v/>
      </c>
      <c r="R118" s="27"/>
      <c r="S118" s="32"/>
    </row>
    <row r="119" customFormat="false" ht="15.75" hidden="false" customHeight="true" outlineLevel="0" collapsed="false">
      <c r="A119" s="27"/>
      <c r="B119" s="28"/>
      <c r="C119" s="27"/>
      <c r="D119" s="29"/>
      <c r="E119" s="29"/>
      <c r="F119" s="41"/>
      <c r="G119" s="41"/>
      <c r="H119" s="49"/>
      <c r="I119" s="49"/>
      <c r="J119" s="50" t="str">
        <f aca="false">IF(OR($A119="",$H119=0),"",$I119/$H119)</f>
        <v/>
      </c>
      <c r="K119" s="30" t="str">
        <f aca="false">IF($A119="","",COUNTIFS('Lead Management'!$O$4:$O$1003,$C119,'Lead Management'!$P$4:$P$1003,"&gt;="&amp;$D119,'Lead Management'!$P$4:$P$1003,"&lt;="&amp;$E119))</f>
        <v/>
      </c>
      <c r="L119" s="34" t="str">
        <f aca="false">IF(OR($A119="",$K119=0),"",$G119/$K119)</f>
        <v/>
      </c>
      <c r="M119" s="30" t="str">
        <f aca="false">IF($A119="","",COUNTIFS('Lead Management'!$O$4:$O$1003,$C119,'Lead Management'!$P$4:$P$1003,"&gt;="&amp;$D119,'Lead Management'!$P$4:$P$1003,"&lt;="&amp;$E119,'Lead Management'!$V$4:$V$1003,"Yes"))</f>
        <v/>
      </c>
      <c r="N119" s="30" t="str">
        <f aca="false">IF($A119="","",COUNTIFS(Customers!$S$4:$S$1003,$C119,Customers!$T$4:$T$1003,"&gt;="&amp;$D119,Customers!$T$4:$T$1003,"&lt;="&amp;$E119))</f>
        <v/>
      </c>
      <c r="O119" s="34" t="str">
        <f aca="false">IF($A119="","",SUMIFS(Customers!$M$4:$M$1003,Customers!$S$4:$S$1003,$C119,Customers!$T$4:$T$1003,"&gt;="&amp;$D119,Customers!$T$4:$T$1003,"&lt;="&amp;$E119))</f>
        <v/>
      </c>
      <c r="P119" s="35" t="str">
        <f aca="false">IF(OR($A119="",$G119=0),"",($O119-$G119)/$G119)</f>
        <v/>
      </c>
      <c r="Q119" s="35" t="str">
        <f aca="false">IF(OR($A119="",$K119=0),"",$N119/$K119)</f>
        <v/>
      </c>
      <c r="R119" s="27"/>
      <c r="S119" s="32"/>
    </row>
    <row r="120" customFormat="false" ht="15.75" hidden="false" customHeight="true" outlineLevel="0" collapsed="false">
      <c r="A120" s="27"/>
      <c r="B120" s="28"/>
      <c r="C120" s="27"/>
      <c r="D120" s="29"/>
      <c r="E120" s="29"/>
      <c r="F120" s="41"/>
      <c r="G120" s="41"/>
      <c r="H120" s="49"/>
      <c r="I120" s="49"/>
      <c r="J120" s="50" t="str">
        <f aca="false">IF(OR($A120="",$H120=0),"",$I120/$H120)</f>
        <v/>
      </c>
      <c r="K120" s="30" t="str">
        <f aca="false">IF($A120="","",COUNTIFS('Lead Management'!$O$4:$O$1003,$C120,'Lead Management'!$P$4:$P$1003,"&gt;="&amp;$D120,'Lead Management'!$P$4:$P$1003,"&lt;="&amp;$E120))</f>
        <v/>
      </c>
      <c r="L120" s="34" t="str">
        <f aca="false">IF(OR($A120="",$K120=0),"",$G120/$K120)</f>
        <v/>
      </c>
      <c r="M120" s="30" t="str">
        <f aca="false">IF($A120="","",COUNTIFS('Lead Management'!$O$4:$O$1003,$C120,'Lead Management'!$P$4:$P$1003,"&gt;="&amp;$D120,'Lead Management'!$P$4:$P$1003,"&lt;="&amp;$E120,'Lead Management'!$V$4:$V$1003,"Yes"))</f>
        <v/>
      </c>
      <c r="N120" s="30" t="str">
        <f aca="false">IF($A120="","",COUNTIFS(Customers!$S$4:$S$1003,$C120,Customers!$T$4:$T$1003,"&gt;="&amp;$D120,Customers!$T$4:$T$1003,"&lt;="&amp;$E120))</f>
        <v/>
      </c>
      <c r="O120" s="34" t="str">
        <f aca="false">IF($A120="","",SUMIFS(Customers!$M$4:$M$1003,Customers!$S$4:$S$1003,$C120,Customers!$T$4:$T$1003,"&gt;="&amp;$D120,Customers!$T$4:$T$1003,"&lt;="&amp;$E120))</f>
        <v/>
      </c>
      <c r="P120" s="35" t="str">
        <f aca="false">IF(OR($A120="",$G120=0),"",($O120-$G120)/$G120)</f>
        <v/>
      </c>
      <c r="Q120" s="35" t="str">
        <f aca="false">IF(OR($A120="",$K120=0),"",$N120/$K120)</f>
        <v/>
      </c>
      <c r="R120" s="27"/>
      <c r="S120" s="32"/>
    </row>
    <row r="121" customFormat="false" ht="15.75" hidden="false" customHeight="true" outlineLevel="0" collapsed="false">
      <c r="A121" s="27"/>
      <c r="B121" s="28"/>
      <c r="C121" s="27"/>
      <c r="D121" s="29"/>
      <c r="E121" s="29"/>
      <c r="F121" s="41"/>
      <c r="G121" s="41"/>
      <c r="H121" s="49"/>
      <c r="I121" s="49"/>
      <c r="J121" s="50" t="str">
        <f aca="false">IF(OR($A121="",$H121=0),"",$I121/$H121)</f>
        <v/>
      </c>
      <c r="K121" s="30" t="str">
        <f aca="false">IF($A121="","",COUNTIFS('Lead Management'!$O$4:$O$1003,$C121,'Lead Management'!$P$4:$P$1003,"&gt;="&amp;$D121,'Lead Management'!$P$4:$P$1003,"&lt;="&amp;$E121))</f>
        <v/>
      </c>
      <c r="L121" s="34" t="str">
        <f aca="false">IF(OR($A121="",$K121=0),"",$G121/$K121)</f>
        <v/>
      </c>
      <c r="M121" s="30" t="str">
        <f aca="false">IF($A121="","",COUNTIFS('Lead Management'!$O$4:$O$1003,$C121,'Lead Management'!$P$4:$P$1003,"&gt;="&amp;$D121,'Lead Management'!$P$4:$P$1003,"&lt;="&amp;$E121,'Lead Management'!$V$4:$V$1003,"Yes"))</f>
        <v/>
      </c>
      <c r="N121" s="30" t="str">
        <f aca="false">IF($A121="","",COUNTIFS(Customers!$S$4:$S$1003,$C121,Customers!$T$4:$T$1003,"&gt;="&amp;$D121,Customers!$T$4:$T$1003,"&lt;="&amp;$E121))</f>
        <v/>
      </c>
      <c r="O121" s="34" t="str">
        <f aca="false">IF($A121="","",SUMIFS(Customers!$M$4:$M$1003,Customers!$S$4:$S$1003,$C121,Customers!$T$4:$T$1003,"&gt;="&amp;$D121,Customers!$T$4:$T$1003,"&lt;="&amp;$E121))</f>
        <v/>
      </c>
      <c r="P121" s="35" t="str">
        <f aca="false">IF(OR($A121="",$G121=0),"",($O121-$G121)/$G121)</f>
        <v/>
      </c>
      <c r="Q121" s="35" t="str">
        <f aca="false">IF(OR($A121="",$K121=0),"",$N121/$K121)</f>
        <v/>
      </c>
      <c r="R121" s="27"/>
      <c r="S121" s="32"/>
    </row>
    <row r="122" customFormat="false" ht="15.75" hidden="false" customHeight="true" outlineLevel="0" collapsed="false">
      <c r="A122" s="27"/>
      <c r="B122" s="28"/>
      <c r="C122" s="27"/>
      <c r="D122" s="29"/>
      <c r="E122" s="29"/>
      <c r="F122" s="41"/>
      <c r="G122" s="41"/>
      <c r="H122" s="49"/>
      <c r="I122" s="49"/>
      <c r="J122" s="50" t="str">
        <f aca="false">IF(OR($A122="",$H122=0),"",$I122/$H122)</f>
        <v/>
      </c>
      <c r="K122" s="30" t="str">
        <f aca="false">IF($A122="","",COUNTIFS('Lead Management'!$O$4:$O$1003,$C122,'Lead Management'!$P$4:$P$1003,"&gt;="&amp;$D122,'Lead Management'!$P$4:$P$1003,"&lt;="&amp;$E122))</f>
        <v/>
      </c>
      <c r="L122" s="34" t="str">
        <f aca="false">IF(OR($A122="",$K122=0),"",$G122/$K122)</f>
        <v/>
      </c>
      <c r="M122" s="30" t="str">
        <f aca="false">IF($A122="","",COUNTIFS('Lead Management'!$O$4:$O$1003,$C122,'Lead Management'!$P$4:$P$1003,"&gt;="&amp;$D122,'Lead Management'!$P$4:$P$1003,"&lt;="&amp;$E122,'Lead Management'!$V$4:$V$1003,"Yes"))</f>
        <v/>
      </c>
      <c r="N122" s="30" t="str">
        <f aca="false">IF($A122="","",COUNTIFS(Customers!$S$4:$S$1003,$C122,Customers!$T$4:$T$1003,"&gt;="&amp;$D122,Customers!$T$4:$T$1003,"&lt;="&amp;$E122))</f>
        <v/>
      </c>
      <c r="O122" s="34" t="str">
        <f aca="false">IF($A122="","",SUMIFS(Customers!$M$4:$M$1003,Customers!$S$4:$S$1003,$C122,Customers!$T$4:$T$1003,"&gt;="&amp;$D122,Customers!$T$4:$T$1003,"&lt;="&amp;$E122))</f>
        <v/>
      </c>
      <c r="P122" s="35" t="str">
        <f aca="false">IF(OR($A122="",$G122=0),"",($O122-$G122)/$G122)</f>
        <v/>
      </c>
      <c r="Q122" s="35" t="str">
        <f aca="false">IF(OR($A122="",$K122=0),"",$N122/$K122)</f>
        <v/>
      </c>
      <c r="R122" s="27"/>
      <c r="S122" s="32"/>
    </row>
    <row r="123" customFormat="false" ht="15.75" hidden="false" customHeight="true" outlineLevel="0" collapsed="false">
      <c r="A123" s="27"/>
      <c r="B123" s="28"/>
      <c r="C123" s="27"/>
      <c r="D123" s="29"/>
      <c r="E123" s="29"/>
      <c r="F123" s="41"/>
      <c r="G123" s="41"/>
      <c r="H123" s="49"/>
      <c r="I123" s="49"/>
      <c r="J123" s="50" t="str">
        <f aca="false">IF(OR($A123="",$H123=0),"",$I123/$H123)</f>
        <v/>
      </c>
      <c r="K123" s="30" t="str">
        <f aca="false">IF($A123="","",COUNTIFS('Lead Management'!$O$4:$O$1003,$C123,'Lead Management'!$P$4:$P$1003,"&gt;="&amp;$D123,'Lead Management'!$P$4:$P$1003,"&lt;="&amp;$E123))</f>
        <v/>
      </c>
      <c r="L123" s="34" t="str">
        <f aca="false">IF(OR($A123="",$K123=0),"",$G123/$K123)</f>
        <v/>
      </c>
      <c r="M123" s="30" t="str">
        <f aca="false">IF($A123="","",COUNTIFS('Lead Management'!$O$4:$O$1003,$C123,'Lead Management'!$P$4:$P$1003,"&gt;="&amp;$D123,'Lead Management'!$P$4:$P$1003,"&lt;="&amp;$E123,'Lead Management'!$V$4:$V$1003,"Yes"))</f>
        <v/>
      </c>
      <c r="N123" s="30" t="str">
        <f aca="false">IF($A123="","",COUNTIFS(Customers!$S$4:$S$1003,$C123,Customers!$T$4:$T$1003,"&gt;="&amp;$D123,Customers!$T$4:$T$1003,"&lt;="&amp;$E123))</f>
        <v/>
      </c>
      <c r="O123" s="34" t="str">
        <f aca="false">IF($A123="","",SUMIFS(Customers!$M$4:$M$1003,Customers!$S$4:$S$1003,$C123,Customers!$T$4:$T$1003,"&gt;="&amp;$D123,Customers!$T$4:$T$1003,"&lt;="&amp;$E123))</f>
        <v/>
      </c>
      <c r="P123" s="35" t="str">
        <f aca="false">IF(OR($A123="",$G123=0),"",($O123-$G123)/$G123)</f>
        <v/>
      </c>
      <c r="Q123" s="35" t="str">
        <f aca="false">IF(OR($A123="",$K123=0),"",$N123/$K123)</f>
        <v/>
      </c>
      <c r="R123" s="27"/>
      <c r="S123" s="32"/>
    </row>
    <row r="124" customFormat="false" ht="15.75" hidden="false" customHeight="true" outlineLevel="0" collapsed="false">
      <c r="A124" s="27"/>
      <c r="B124" s="28"/>
      <c r="C124" s="27"/>
      <c r="D124" s="29"/>
      <c r="E124" s="29"/>
      <c r="F124" s="41"/>
      <c r="G124" s="41"/>
      <c r="H124" s="49"/>
      <c r="I124" s="49"/>
      <c r="J124" s="50" t="str">
        <f aca="false">IF(OR($A124="",$H124=0),"",$I124/$H124)</f>
        <v/>
      </c>
      <c r="K124" s="30" t="str">
        <f aca="false">IF($A124="","",COUNTIFS('Lead Management'!$O$4:$O$1003,$C124,'Lead Management'!$P$4:$P$1003,"&gt;="&amp;$D124,'Lead Management'!$P$4:$P$1003,"&lt;="&amp;$E124))</f>
        <v/>
      </c>
      <c r="L124" s="34" t="str">
        <f aca="false">IF(OR($A124="",$K124=0),"",$G124/$K124)</f>
        <v/>
      </c>
      <c r="M124" s="30" t="str">
        <f aca="false">IF($A124="","",COUNTIFS('Lead Management'!$O$4:$O$1003,$C124,'Lead Management'!$P$4:$P$1003,"&gt;="&amp;$D124,'Lead Management'!$P$4:$P$1003,"&lt;="&amp;$E124,'Lead Management'!$V$4:$V$1003,"Yes"))</f>
        <v/>
      </c>
      <c r="N124" s="30" t="str">
        <f aca="false">IF($A124="","",COUNTIFS(Customers!$S$4:$S$1003,$C124,Customers!$T$4:$T$1003,"&gt;="&amp;$D124,Customers!$T$4:$T$1003,"&lt;="&amp;$E124))</f>
        <v/>
      </c>
      <c r="O124" s="34" t="str">
        <f aca="false">IF($A124="","",SUMIFS(Customers!$M$4:$M$1003,Customers!$S$4:$S$1003,$C124,Customers!$T$4:$T$1003,"&gt;="&amp;$D124,Customers!$T$4:$T$1003,"&lt;="&amp;$E124))</f>
        <v/>
      </c>
      <c r="P124" s="35" t="str">
        <f aca="false">IF(OR($A124="",$G124=0),"",($O124-$G124)/$G124)</f>
        <v/>
      </c>
      <c r="Q124" s="35" t="str">
        <f aca="false">IF(OR($A124="",$K124=0),"",$N124/$K124)</f>
        <v/>
      </c>
      <c r="R124" s="27"/>
      <c r="S124" s="32"/>
    </row>
    <row r="125" customFormat="false" ht="15.75" hidden="false" customHeight="true" outlineLevel="0" collapsed="false">
      <c r="A125" s="27"/>
      <c r="B125" s="28"/>
      <c r="C125" s="27"/>
      <c r="D125" s="29"/>
      <c r="E125" s="29"/>
      <c r="F125" s="41"/>
      <c r="G125" s="41"/>
      <c r="H125" s="49"/>
      <c r="I125" s="49"/>
      <c r="J125" s="50" t="str">
        <f aca="false">IF(OR($A125="",$H125=0),"",$I125/$H125)</f>
        <v/>
      </c>
      <c r="K125" s="30" t="str">
        <f aca="false">IF($A125="","",COUNTIFS('Lead Management'!$O$4:$O$1003,$C125,'Lead Management'!$P$4:$P$1003,"&gt;="&amp;$D125,'Lead Management'!$P$4:$P$1003,"&lt;="&amp;$E125))</f>
        <v/>
      </c>
      <c r="L125" s="34" t="str">
        <f aca="false">IF(OR($A125="",$K125=0),"",$G125/$K125)</f>
        <v/>
      </c>
      <c r="M125" s="30" t="str">
        <f aca="false">IF($A125="","",COUNTIFS('Lead Management'!$O$4:$O$1003,$C125,'Lead Management'!$P$4:$P$1003,"&gt;="&amp;$D125,'Lead Management'!$P$4:$P$1003,"&lt;="&amp;$E125,'Lead Management'!$V$4:$V$1003,"Yes"))</f>
        <v/>
      </c>
      <c r="N125" s="30" t="str">
        <f aca="false">IF($A125="","",COUNTIFS(Customers!$S$4:$S$1003,$C125,Customers!$T$4:$T$1003,"&gt;="&amp;$D125,Customers!$T$4:$T$1003,"&lt;="&amp;$E125))</f>
        <v/>
      </c>
      <c r="O125" s="34" t="str">
        <f aca="false">IF($A125="","",SUMIFS(Customers!$M$4:$M$1003,Customers!$S$4:$S$1003,$C125,Customers!$T$4:$T$1003,"&gt;="&amp;$D125,Customers!$T$4:$T$1003,"&lt;="&amp;$E125))</f>
        <v/>
      </c>
      <c r="P125" s="35" t="str">
        <f aca="false">IF(OR($A125="",$G125=0),"",($O125-$G125)/$G125)</f>
        <v/>
      </c>
      <c r="Q125" s="35" t="str">
        <f aca="false">IF(OR($A125="",$K125=0),"",$N125/$K125)</f>
        <v/>
      </c>
      <c r="R125" s="27"/>
      <c r="S125" s="32"/>
    </row>
    <row r="126" customFormat="false" ht="15.75" hidden="false" customHeight="true" outlineLevel="0" collapsed="false">
      <c r="A126" s="27"/>
      <c r="B126" s="28"/>
      <c r="C126" s="27"/>
      <c r="D126" s="29"/>
      <c r="E126" s="29"/>
      <c r="F126" s="41"/>
      <c r="G126" s="41"/>
      <c r="H126" s="49"/>
      <c r="I126" s="49"/>
      <c r="J126" s="50" t="str">
        <f aca="false">IF(OR($A126="",$H126=0),"",$I126/$H126)</f>
        <v/>
      </c>
      <c r="K126" s="30" t="str">
        <f aca="false">IF($A126="","",COUNTIFS('Lead Management'!$O$4:$O$1003,$C126,'Lead Management'!$P$4:$P$1003,"&gt;="&amp;$D126,'Lead Management'!$P$4:$P$1003,"&lt;="&amp;$E126))</f>
        <v/>
      </c>
      <c r="L126" s="34" t="str">
        <f aca="false">IF(OR($A126="",$K126=0),"",$G126/$K126)</f>
        <v/>
      </c>
      <c r="M126" s="30" t="str">
        <f aca="false">IF($A126="","",COUNTIFS('Lead Management'!$O$4:$O$1003,$C126,'Lead Management'!$P$4:$P$1003,"&gt;="&amp;$D126,'Lead Management'!$P$4:$P$1003,"&lt;="&amp;$E126,'Lead Management'!$V$4:$V$1003,"Yes"))</f>
        <v/>
      </c>
      <c r="N126" s="30" t="str">
        <f aca="false">IF($A126="","",COUNTIFS(Customers!$S$4:$S$1003,$C126,Customers!$T$4:$T$1003,"&gt;="&amp;$D126,Customers!$T$4:$T$1003,"&lt;="&amp;$E126))</f>
        <v/>
      </c>
      <c r="O126" s="34" t="str">
        <f aca="false">IF($A126="","",SUMIFS(Customers!$M$4:$M$1003,Customers!$S$4:$S$1003,$C126,Customers!$T$4:$T$1003,"&gt;="&amp;$D126,Customers!$T$4:$T$1003,"&lt;="&amp;$E126))</f>
        <v/>
      </c>
      <c r="P126" s="35" t="str">
        <f aca="false">IF(OR($A126="",$G126=0),"",($O126-$G126)/$G126)</f>
        <v/>
      </c>
      <c r="Q126" s="35" t="str">
        <f aca="false">IF(OR($A126="",$K126=0),"",$N126/$K126)</f>
        <v/>
      </c>
      <c r="R126" s="27"/>
      <c r="S126" s="32"/>
    </row>
    <row r="127" customFormat="false" ht="15.75" hidden="false" customHeight="true" outlineLevel="0" collapsed="false">
      <c r="A127" s="27"/>
      <c r="B127" s="28"/>
      <c r="C127" s="27"/>
      <c r="D127" s="29"/>
      <c r="E127" s="29"/>
      <c r="F127" s="41"/>
      <c r="G127" s="41"/>
      <c r="H127" s="49"/>
      <c r="I127" s="49"/>
      <c r="J127" s="50" t="str">
        <f aca="false">IF(OR($A127="",$H127=0),"",$I127/$H127)</f>
        <v/>
      </c>
      <c r="K127" s="30" t="str">
        <f aca="false">IF($A127="","",COUNTIFS('Lead Management'!$O$4:$O$1003,$C127,'Lead Management'!$P$4:$P$1003,"&gt;="&amp;$D127,'Lead Management'!$P$4:$P$1003,"&lt;="&amp;$E127))</f>
        <v/>
      </c>
      <c r="L127" s="34" t="str">
        <f aca="false">IF(OR($A127="",$K127=0),"",$G127/$K127)</f>
        <v/>
      </c>
      <c r="M127" s="30" t="str">
        <f aca="false">IF($A127="","",COUNTIFS('Lead Management'!$O$4:$O$1003,$C127,'Lead Management'!$P$4:$P$1003,"&gt;="&amp;$D127,'Lead Management'!$P$4:$P$1003,"&lt;="&amp;$E127,'Lead Management'!$V$4:$V$1003,"Yes"))</f>
        <v/>
      </c>
      <c r="N127" s="30" t="str">
        <f aca="false">IF($A127="","",COUNTIFS(Customers!$S$4:$S$1003,$C127,Customers!$T$4:$T$1003,"&gt;="&amp;$D127,Customers!$T$4:$T$1003,"&lt;="&amp;$E127))</f>
        <v/>
      </c>
      <c r="O127" s="34" t="str">
        <f aca="false">IF($A127="","",SUMIFS(Customers!$M$4:$M$1003,Customers!$S$4:$S$1003,$C127,Customers!$T$4:$T$1003,"&gt;="&amp;$D127,Customers!$T$4:$T$1003,"&lt;="&amp;$E127))</f>
        <v/>
      </c>
      <c r="P127" s="35" t="str">
        <f aca="false">IF(OR($A127="",$G127=0),"",($O127-$G127)/$G127)</f>
        <v/>
      </c>
      <c r="Q127" s="35" t="str">
        <f aca="false">IF(OR($A127="",$K127=0),"",$N127/$K127)</f>
        <v/>
      </c>
      <c r="R127" s="27"/>
      <c r="S127" s="32"/>
    </row>
    <row r="128" customFormat="false" ht="15.75" hidden="false" customHeight="true" outlineLevel="0" collapsed="false">
      <c r="A128" s="27"/>
      <c r="B128" s="28"/>
      <c r="C128" s="27"/>
      <c r="D128" s="29"/>
      <c r="E128" s="29"/>
      <c r="F128" s="41"/>
      <c r="G128" s="41"/>
      <c r="H128" s="49"/>
      <c r="I128" s="49"/>
      <c r="J128" s="50" t="str">
        <f aca="false">IF(OR($A128="",$H128=0),"",$I128/$H128)</f>
        <v/>
      </c>
      <c r="K128" s="30" t="str">
        <f aca="false">IF($A128="","",COUNTIFS('Lead Management'!$O$4:$O$1003,$C128,'Lead Management'!$P$4:$P$1003,"&gt;="&amp;$D128,'Lead Management'!$P$4:$P$1003,"&lt;="&amp;$E128))</f>
        <v/>
      </c>
      <c r="L128" s="34" t="str">
        <f aca="false">IF(OR($A128="",$K128=0),"",$G128/$K128)</f>
        <v/>
      </c>
      <c r="M128" s="30" t="str">
        <f aca="false">IF($A128="","",COUNTIFS('Lead Management'!$O$4:$O$1003,$C128,'Lead Management'!$P$4:$P$1003,"&gt;="&amp;$D128,'Lead Management'!$P$4:$P$1003,"&lt;="&amp;$E128,'Lead Management'!$V$4:$V$1003,"Yes"))</f>
        <v/>
      </c>
      <c r="N128" s="30" t="str">
        <f aca="false">IF($A128="","",COUNTIFS(Customers!$S$4:$S$1003,$C128,Customers!$T$4:$T$1003,"&gt;="&amp;$D128,Customers!$T$4:$T$1003,"&lt;="&amp;$E128))</f>
        <v/>
      </c>
      <c r="O128" s="34" t="str">
        <f aca="false">IF($A128="","",SUMIFS(Customers!$M$4:$M$1003,Customers!$S$4:$S$1003,$C128,Customers!$T$4:$T$1003,"&gt;="&amp;$D128,Customers!$T$4:$T$1003,"&lt;="&amp;$E128))</f>
        <v/>
      </c>
      <c r="P128" s="35" t="str">
        <f aca="false">IF(OR($A128="",$G128=0),"",($O128-$G128)/$G128)</f>
        <v/>
      </c>
      <c r="Q128" s="35" t="str">
        <f aca="false">IF(OR($A128="",$K128=0),"",$N128/$K128)</f>
        <v/>
      </c>
      <c r="R128" s="27"/>
      <c r="S128" s="32"/>
    </row>
    <row r="129" customFormat="false" ht="15.75" hidden="false" customHeight="true" outlineLevel="0" collapsed="false">
      <c r="A129" s="27"/>
      <c r="B129" s="28"/>
      <c r="C129" s="27"/>
      <c r="D129" s="29"/>
      <c r="E129" s="29"/>
      <c r="F129" s="41"/>
      <c r="G129" s="41"/>
      <c r="H129" s="49"/>
      <c r="I129" s="49"/>
      <c r="J129" s="50" t="str">
        <f aca="false">IF(OR($A129="",$H129=0),"",$I129/$H129)</f>
        <v/>
      </c>
      <c r="K129" s="30" t="str">
        <f aca="false">IF($A129="","",COUNTIFS('Lead Management'!$O$4:$O$1003,$C129,'Lead Management'!$P$4:$P$1003,"&gt;="&amp;$D129,'Lead Management'!$P$4:$P$1003,"&lt;="&amp;$E129))</f>
        <v/>
      </c>
      <c r="L129" s="34" t="str">
        <f aca="false">IF(OR($A129="",$K129=0),"",$G129/$K129)</f>
        <v/>
      </c>
      <c r="M129" s="30" t="str">
        <f aca="false">IF($A129="","",COUNTIFS('Lead Management'!$O$4:$O$1003,$C129,'Lead Management'!$P$4:$P$1003,"&gt;="&amp;$D129,'Lead Management'!$P$4:$P$1003,"&lt;="&amp;$E129,'Lead Management'!$V$4:$V$1003,"Yes"))</f>
        <v/>
      </c>
      <c r="N129" s="30" t="str">
        <f aca="false">IF($A129="","",COUNTIFS(Customers!$S$4:$S$1003,$C129,Customers!$T$4:$T$1003,"&gt;="&amp;$D129,Customers!$T$4:$T$1003,"&lt;="&amp;$E129))</f>
        <v/>
      </c>
      <c r="O129" s="34" t="str">
        <f aca="false">IF($A129="","",SUMIFS(Customers!$M$4:$M$1003,Customers!$S$4:$S$1003,$C129,Customers!$T$4:$T$1003,"&gt;="&amp;$D129,Customers!$T$4:$T$1003,"&lt;="&amp;$E129))</f>
        <v/>
      </c>
      <c r="P129" s="35" t="str">
        <f aca="false">IF(OR($A129="",$G129=0),"",($O129-$G129)/$G129)</f>
        <v/>
      </c>
      <c r="Q129" s="35" t="str">
        <f aca="false">IF(OR($A129="",$K129=0),"",$N129/$K129)</f>
        <v/>
      </c>
      <c r="R129" s="27"/>
      <c r="S129" s="32"/>
    </row>
    <row r="130" customFormat="false" ht="15.75" hidden="false" customHeight="true" outlineLevel="0" collapsed="false">
      <c r="A130" s="27"/>
      <c r="B130" s="28"/>
      <c r="C130" s="27"/>
      <c r="D130" s="29"/>
      <c r="E130" s="29"/>
      <c r="F130" s="41"/>
      <c r="G130" s="41"/>
      <c r="H130" s="49"/>
      <c r="I130" s="49"/>
      <c r="J130" s="50" t="str">
        <f aca="false">IF(OR($A130="",$H130=0),"",$I130/$H130)</f>
        <v/>
      </c>
      <c r="K130" s="30" t="str">
        <f aca="false">IF($A130="","",COUNTIFS('Lead Management'!$O$4:$O$1003,$C130,'Lead Management'!$P$4:$P$1003,"&gt;="&amp;$D130,'Lead Management'!$P$4:$P$1003,"&lt;="&amp;$E130))</f>
        <v/>
      </c>
      <c r="L130" s="34" t="str">
        <f aca="false">IF(OR($A130="",$K130=0),"",$G130/$K130)</f>
        <v/>
      </c>
      <c r="M130" s="30" t="str">
        <f aca="false">IF($A130="","",COUNTIFS('Lead Management'!$O$4:$O$1003,$C130,'Lead Management'!$P$4:$P$1003,"&gt;="&amp;$D130,'Lead Management'!$P$4:$P$1003,"&lt;="&amp;$E130,'Lead Management'!$V$4:$V$1003,"Yes"))</f>
        <v/>
      </c>
      <c r="N130" s="30" t="str">
        <f aca="false">IF($A130="","",COUNTIFS(Customers!$S$4:$S$1003,$C130,Customers!$T$4:$T$1003,"&gt;="&amp;$D130,Customers!$T$4:$T$1003,"&lt;="&amp;$E130))</f>
        <v/>
      </c>
      <c r="O130" s="34" t="str">
        <f aca="false">IF($A130="","",SUMIFS(Customers!$M$4:$M$1003,Customers!$S$4:$S$1003,$C130,Customers!$T$4:$T$1003,"&gt;="&amp;$D130,Customers!$T$4:$T$1003,"&lt;="&amp;$E130))</f>
        <v/>
      </c>
      <c r="P130" s="35" t="str">
        <f aca="false">IF(OR($A130="",$G130=0),"",($O130-$G130)/$G130)</f>
        <v/>
      </c>
      <c r="Q130" s="35" t="str">
        <f aca="false">IF(OR($A130="",$K130=0),"",$N130/$K130)</f>
        <v/>
      </c>
      <c r="R130" s="27"/>
      <c r="S130" s="32"/>
    </row>
    <row r="131" customFormat="false" ht="15.75" hidden="false" customHeight="true" outlineLevel="0" collapsed="false">
      <c r="A131" s="27"/>
      <c r="B131" s="28"/>
      <c r="C131" s="27"/>
      <c r="D131" s="29"/>
      <c r="E131" s="29"/>
      <c r="F131" s="41"/>
      <c r="G131" s="41"/>
      <c r="H131" s="49"/>
      <c r="I131" s="49"/>
      <c r="J131" s="50" t="str">
        <f aca="false">IF(OR($A131="",$H131=0),"",$I131/$H131)</f>
        <v/>
      </c>
      <c r="K131" s="30" t="str">
        <f aca="false">IF($A131="","",COUNTIFS('Lead Management'!$O$4:$O$1003,$C131,'Lead Management'!$P$4:$P$1003,"&gt;="&amp;$D131,'Lead Management'!$P$4:$P$1003,"&lt;="&amp;$E131))</f>
        <v/>
      </c>
      <c r="L131" s="34" t="str">
        <f aca="false">IF(OR($A131="",$K131=0),"",$G131/$K131)</f>
        <v/>
      </c>
      <c r="M131" s="30" t="str">
        <f aca="false">IF($A131="","",COUNTIFS('Lead Management'!$O$4:$O$1003,$C131,'Lead Management'!$P$4:$P$1003,"&gt;="&amp;$D131,'Lead Management'!$P$4:$P$1003,"&lt;="&amp;$E131,'Lead Management'!$V$4:$V$1003,"Yes"))</f>
        <v/>
      </c>
      <c r="N131" s="30" t="str">
        <f aca="false">IF($A131="","",COUNTIFS(Customers!$S$4:$S$1003,$C131,Customers!$T$4:$T$1003,"&gt;="&amp;$D131,Customers!$T$4:$T$1003,"&lt;="&amp;$E131))</f>
        <v/>
      </c>
      <c r="O131" s="34" t="str">
        <f aca="false">IF($A131="","",SUMIFS(Customers!$M$4:$M$1003,Customers!$S$4:$S$1003,$C131,Customers!$T$4:$T$1003,"&gt;="&amp;$D131,Customers!$T$4:$T$1003,"&lt;="&amp;$E131))</f>
        <v/>
      </c>
      <c r="P131" s="35" t="str">
        <f aca="false">IF(OR($A131="",$G131=0),"",($O131-$G131)/$G131)</f>
        <v/>
      </c>
      <c r="Q131" s="35" t="str">
        <f aca="false">IF(OR($A131="",$K131=0),"",$N131/$K131)</f>
        <v/>
      </c>
      <c r="R131" s="27"/>
      <c r="S131" s="32"/>
    </row>
    <row r="132" customFormat="false" ht="15.75" hidden="false" customHeight="true" outlineLevel="0" collapsed="false">
      <c r="A132" s="27"/>
      <c r="B132" s="28"/>
      <c r="C132" s="27"/>
      <c r="D132" s="29"/>
      <c r="E132" s="29"/>
      <c r="F132" s="41"/>
      <c r="G132" s="41"/>
      <c r="H132" s="49"/>
      <c r="I132" s="49"/>
      <c r="J132" s="50" t="str">
        <f aca="false">IF(OR($A132="",$H132=0),"",$I132/$H132)</f>
        <v/>
      </c>
      <c r="K132" s="30" t="str">
        <f aca="false">IF($A132="","",COUNTIFS('Lead Management'!$O$4:$O$1003,$C132,'Lead Management'!$P$4:$P$1003,"&gt;="&amp;$D132,'Lead Management'!$P$4:$P$1003,"&lt;="&amp;$E132))</f>
        <v/>
      </c>
      <c r="L132" s="34" t="str">
        <f aca="false">IF(OR($A132="",$K132=0),"",$G132/$K132)</f>
        <v/>
      </c>
      <c r="M132" s="30" t="str">
        <f aca="false">IF($A132="","",COUNTIFS('Lead Management'!$O$4:$O$1003,$C132,'Lead Management'!$P$4:$P$1003,"&gt;="&amp;$D132,'Lead Management'!$P$4:$P$1003,"&lt;="&amp;$E132,'Lead Management'!$V$4:$V$1003,"Yes"))</f>
        <v/>
      </c>
      <c r="N132" s="30" t="str">
        <f aca="false">IF($A132="","",COUNTIFS(Customers!$S$4:$S$1003,$C132,Customers!$T$4:$T$1003,"&gt;="&amp;$D132,Customers!$T$4:$T$1003,"&lt;="&amp;$E132))</f>
        <v/>
      </c>
      <c r="O132" s="34" t="str">
        <f aca="false">IF($A132="","",SUMIFS(Customers!$M$4:$M$1003,Customers!$S$4:$S$1003,$C132,Customers!$T$4:$T$1003,"&gt;="&amp;$D132,Customers!$T$4:$T$1003,"&lt;="&amp;$E132))</f>
        <v/>
      </c>
      <c r="P132" s="35" t="str">
        <f aca="false">IF(OR($A132="",$G132=0),"",($O132-$G132)/$G132)</f>
        <v/>
      </c>
      <c r="Q132" s="35" t="str">
        <f aca="false">IF(OR($A132="",$K132=0),"",$N132/$K132)</f>
        <v/>
      </c>
      <c r="R132" s="27"/>
      <c r="S132" s="32"/>
    </row>
    <row r="133" customFormat="false" ht="15.75" hidden="false" customHeight="true" outlineLevel="0" collapsed="false">
      <c r="A133" s="27"/>
      <c r="B133" s="28"/>
      <c r="C133" s="27"/>
      <c r="D133" s="29"/>
      <c r="E133" s="29"/>
      <c r="F133" s="41"/>
      <c r="G133" s="41"/>
      <c r="H133" s="49"/>
      <c r="I133" s="49"/>
      <c r="J133" s="50" t="str">
        <f aca="false">IF(OR($A133="",$H133=0),"",$I133/$H133)</f>
        <v/>
      </c>
      <c r="K133" s="30" t="str">
        <f aca="false">IF($A133="","",COUNTIFS('Lead Management'!$O$4:$O$1003,$C133,'Lead Management'!$P$4:$P$1003,"&gt;="&amp;$D133,'Lead Management'!$P$4:$P$1003,"&lt;="&amp;$E133))</f>
        <v/>
      </c>
      <c r="L133" s="34" t="str">
        <f aca="false">IF(OR($A133="",$K133=0),"",$G133/$K133)</f>
        <v/>
      </c>
      <c r="M133" s="30" t="str">
        <f aca="false">IF($A133="","",COUNTIFS('Lead Management'!$O$4:$O$1003,$C133,'Lead Management'!$P$4:$P$1003,"&gt;="&amp;$D133,'Lead Management'!$P$4:$P$1003,"&lt;="&amp;$E133,'Lead Management'!$V$4:$V$1003,"Yes"))</f>
        <v/>
      </c>
      <c r="N133" s="30" t="str">
        <f aca="false">IF($A133="","",COUNTIFS(Customers!$S$4:$S$1003,$C133,Customers!$T$4:$T$1003,"&gt;="&amp;$D133,Customers!$T$4:$T$1003,"&lt;="&amp;$E133))</f>
        <v/>
      </c>
      <c r="O133" s="34" t="str">
        <f aca="false">IF($A133="","",SUMIFS(Customers!$M$4:$M$1003,Customers!$S$4:$S$1003,$C133,Customers!$T$4:$T$1003,"&gt;="&amp;$D133,Customers!$T$4:$T$1003,"&lt;="&amp;$E133))</f>
        <v/>
      </c>
      <c r="P133" s="35" t="str">
        <f aca="false">IF(OR($A133="",$G133=0),"",($O133-$G133)/$G133)</f>
        <v/>
      </c>
      <c r="Q133" s="35" t="str">
        <f aca="false">IF(OR($A133="",$K133=0),"",$N133/$K133)</f>
        <v/>
      </c>
      <c r="R133" s="27"/>
      <c r="S133" s="32"/>
    </row>
    <row r="134" customFormat="false" ht="15.75" hidden="false" customHeight="true" outlineLevel="0" collapsed="false">
      <c r="A134" s="27"/>
      <c r="B134" s="28"/>
      <c r="C134" s="27"/>
      <c r="D134" s="29"/>
      <c r="E134" s="29"/>
      <c r="F134" s="41"/>
      <c r="G134" s="41"/>
      <c r="H134" s="49"/>
      <c r="I134" s="49"/>
      <c r="J134" s="50" t="str">
        <f aca="false">IF(OR($A134="",$H134=0),"",$I134/$H134)</f>
        <v/>
      </c>
      <c r="K134" s="30" t="str">
        <f aca="false">IF($A134="","",COUNTIFS('Lead Management'!$O$4:$O$1003,$C134,'Lead Management'!$P$4:$P$1003,"&gt;="&amp;$D134,'Lead Management'!$P$4:$P$1003,"&lt;="&amp;$E134))</f>
        <v/>
      </c>
      <c r="L134" s="34" t="str">
        <f aca="false">IF(OR($A134="",$K134=0),"",$G134/$K134)</f>
        <v/>
      </c>
      <c r="M134" s="30" t="str">
        <f aca="false">IF($A134="","",COUNTIFS('Lead Management'!$O$4:$O$1003,$C134,'Lead Management'!$P$4:$P$1003,"&gt;="&amp;$D134,'Lead Management'!$P$4:$P$1003,"&lt;="&amp;$E134,'Lead Management'!$V$4:$V$1003,"Yes"))</f>
        <v/>
      </c>
      <c r="N134" s="30" t="str">
        <f aca="false">IF($A134="","",COUNTIFS(Customers!$S$4:$S$1003,$C134,Customers!$T$4:$T$1003,"&gt;="&amp;$D134,Customers!$T$4:$T$1003,"&lt;="&amp;$E134))</f>
        <v/>
      </c>
      <c r="O134" s="34" t="str">
        <f aca="false">IF($A134="","",SUMIFS(Customers!$M$4:$M$1003,Customers!$S$4:$S$1003,$C134,Customers!$T$4:$T$1003,"&gt;="&amp;$D134,Customers!$T$4:$T$1003,"&lt;="&amp;$E134))</f>
        <v/>
      </c>
      <c r="P134" s="35" t="str">
        <f aca="false">IF(OR($A134="",$G134=0),"",($O134-$G134)/$G134)</f>
        <v/>
      </c>
      <c r="Q134" s="35" t="str">
        <f aca="false">IF(OR($A134="",$K134=0),"",$N134/$K134)</f>
        <v/>
      </c>
      <c r="R134" s="27"/>
      <c r="S134" s="32"/>
    </row>
    <row r="135" customFormat="false" ht="15.75" hidden="false" customHeight="true" outlineLevel="0" collapsed="false">
      <c r="A135" s="27"/>
      <c r="B135" s="28"/>
      <c r="C135" s="27"/>
      <c r="D135" s="29"/>
      <c r="E135" s="29"/>
      <c r="F135" s="41"/>
      <c r="G135" s="41"/>
      <c r="H135" s="49"/>
      <c r="I135" s="49"/>
      <c r="J135" s="50" t="str">
        <f aca="false">IF(OR($A135="",$H135=0),"",$I135/$H135)</f>
        <v/>
      </c>
      <c r="K135" s="30" t="str">
        <f aca="false">IF($A135="","",COUNTIFS('Lead Management'!$O$4:$O$1003,$C135,'Lead Management'!$P$4:$P$1003,"&gt;="&amp;$D135,'Lead Management'!$P$4:$P$1003,"&lt;="&amp;$E135))</f>
        <v/>
      </c>
      <c r="L135" s="34" t="str">
        <f aca="false">IF(OR($A135="",$K135=0),"",$G135/$K135)</f>
        <v/>
      </c>
      <c r="M135" s="30" t="str">
        <f aca="false">IF($A135="","",COUNTIFS('Lead Management'!$O$4:$O$1003,$C135,'Lead Management'!$P$4:$P$1003,"&gt;="&amp;$D135,'Lead Management'!$P$4:$P$1003,"&lt;="&amp;$E135,'Lead Management'!$V$4:$V$1003,"Yes"))</f>
        <v/>
      </c>
      <c r="N135" s="30" t="str">
        <f aca="false">IF($A135="","",COUNTIFS(Customers!$S$4:$S$1003,$C135,Customers!$T$4:$T$1003,"&gt;="&amp;$D135,Customers!$T$4:$T$1003,"&lt;="&amp;$E135))</f>
        <v/>
      </c>
      <c r="O135" s="34" t="str">
        <f aca="false">IF($A135="","",SUMIFS(Customers!$M$4:$M$1003,Customers!$S$4:$S$1003,$C135,Customers!$T$4:$T$1003,"&gt;="&amp;$D135,Customers!$T$4:$T$1003,"&lt;="&amp;$E135))</f>
        <v/>
      </c>
      <c r="P135" s="35" t="str">
        <f aca="false">IF(OR($A135="",$G135=0),"",($O135-$G135)/$G135)</f>
        <v/>
      </c>
      <c r="Q135" s="35" t="str">
        <f aca="false">IF(OR($A135="",$K135=0),"",$N135/$K135)</f>
        <v/>
      </c>
      <c r="R135" s="27"/>
      <c r="S135" s="32"/>
    </row>
    <row r="136" customFormat="false" ht="15.75" hidden="false" customHeight="true" outlineLevel="0" collapsed="false">
      <c r="A136" s="27"/>
      <c r="B136" s="28"/>
      <c r="C136" s="27"/>
      <c r="D136" s="29"/>
      <c r="E136" s="29"/>
      <c r="F136" s="41"/>
      <c r="G136" s="41"/>
      <c r="H136" s="49"/>
      <c r="I136" s="49"/>
      <c r="J136" s="50" t="str">
        <f aca="false">IF(OR($A136="",$H136=0),"",$I136/$H136)</f>
        <v/>
      </c>
      <c r="K136" s="30" t="str">
        <f aca="false">IF($A136="","",COUNTIFS('Lead Management'!$O$4:$O$1003,$C136,'Lead Management'!$P$4:$P$1003,"&gt;="&amp;$D136,'Lead Management'!$P$4:$P$1003,"&lt;="&amp;$E136))</f>
        <v/>
      </c>
      <c r="L136" s="34" t="str">
        <f aca="false">IF(OR($A136="",$K136=0),"",$G136/$K136)</f>
        <v/>
      </c>
      <c r="M136" s="30" t="str">
        <f aca="false">IF($A136="","",COUNTIFS('Lead Management'!$O$4:$O$1003,$C136,'Lead Management'!$P$4:$P$1003,"&gt;="&amp;$D136,'Lead Management'!$P$4:$P$1003,"&lt;="&amp;$E136,'Lead Management'!$V$4:$V$1003,"Yes"))</f>
        <v/>
      </c>
      <c r="N136" s="30" t="str">
        <f aca="false">IF($A136="","",COUNTIFS(Customers!$S$4:$S$1003,$C136,Customers!$T$4:$T$1003,"&gt;="&amp;$D136,Customers!$T$4:$T$1003,"&lt;="&amp;$E136))</f>
        <v/>
      </c>
      <c r="O136" s="34" t="str">
        <f aca="false">IF($A136="","",SUMIFS(Customers!$M$4:$M$1003,Customers!$S$4:$S$1003,$C136,Customers!$T$4:$T$1003,"&gt;="&amp;$D136,Customers!$T$4:$T$1003,"&lt;="&amp;$E136))</f>
        <v/>
      </c>
      <c r="P136" s="35" t="str">
        <f aca="false">IF(OR($A136="",$G136=0),"",($O136-$G136)/$G136)</f>
        <v/>
      </c>
      <c r="Q136" s="35" t="str">
        <f aca="false">IF(OR($A136="",$K136=0),"",$N136/$K136)</f>
        <v/>
      </c>
      <c r="R136" s="27"/>
      <c r="S136" s="32"/>
    </row>
    <row r="137" customFormat="false" ht="15.75" hidden="false" customHeight="true" outlineLevel="0" collapsed="false">
      <c r="A137" s="27"/>
      <c r="B137" s="28"/>
      <c r="C137" s="27"/>
      <c r="D137" s="29"/>
      <c r="E137" s="29"/>
      <c r="F137" s="41"/>
      <c r="G137" s="41"/>
      <c r="H137" s="49"/>
      <c r="I137" s="49"/>
      <c r="J137" s="50" t="str">
        <f aca="false">IF(OR($A137="",$H137=0),"",$I137/$H137)</f>
        <v/>
      </c>
      <c r="K137" s="30" t="str">
        <f aca="false">IF($A137="","",COUNTIFS('Lead Management'!$O$4:$O$1003,$C137,'Lead Management'!$P$4:$P$1003,"&gt;="&amp;$D137,'Lead Management'!$P$4:$P$1003,"&lt;="&amp;$E137))</f>
        <v/>
      </c>
      <c r="L137" s="34" t="str">
        <f aca="false">IF(OR($A137="",$K137=0),"",$G137/$K137)</f>
        <v/>
      </c>
      <c r="M137" s="30" t="str">
        <f aca="false">IF($A137="","",COUNTIFS('Lead Management'!$O$4:$O$1003,$C137,'Lead Management'!$P$4:$P$1003,"&gt;="&amp;$D137,'Lead Management'!$P$4:$P$1003,"&lt;="&amp;$E137,'Lead Management'!$V$4:$V$1003,"Yes"))</f>
        <v/>
      </c>
      <c r="N137" s="30" t="str">
        <f aca="false">IF($A137="","",COUNTIFS(Customers!$S$4:$S$1003,$C137,Customers!$T$4:$T$1003,"&gt;="&amp;$D137,Customers!$T$4:$T$1003,"&lt;="&amp;$E137))</f>
        <v/>
      </c>
      <c r="O137" s="34" t="str">
        <f aca="false">IF($A137="","",SUMIFS(Customers!$M$4:$M$1003,Customers!$S$4:$S$1003,$C137,Customers!$T$4:$T$1003,"&gt;="&amp;$D137,Customers!$T$4:$T$1003,"&lt;="&amp;$E137))</f>
        <v/>
      </c>
      <c r="P137" s="35" t="str">
        <f aca="false">IF(OR($A137="",$G137=0),"",($O137-$G137)/$G137)</f>
        <v/>
      </c>
      <c r="Q137" s="35" t="str">
        <f aca="false">IF(OR($A137="",$K137=0),"",$N137/$K137)</f>
        <v/>
      </c>
      <c r="R137" s="27"/>
      <c r="S137" s="32"/>
    </row>
    <row r="138" customFormat="false" ht="15.75" hidden="false" customHeight="true" outlineLevel="0" collapsed="false">
      <c r="A138" s="27"/>
      <c r="B138" s="28"/>
      <c r="C138" s="27"/>
      <c r="D138" s="29"/>
      <c r="E138" s="29"/>
      <c r="F138" s="41"/>
      <c r="G138" s="41"/>
      <c r="H138" s="49"/>
      <c r="I138" s="49"/>
      <c r="J138" s="50" t="str">
        <f aca="false">IF(OR($A138="",$H138=0),"",$I138/$H138)</f>
        <v/>
      </c>
      <c r="K138" s="30" t="str">
        <f aca="false">IF($A138="","",COUNTIFS('Lead Management'!$O$4:$O$1003,$C138,'Lead Management'!$P$4:$P$1003,"&gt;="&amp;$D138,'Lead Management'!$P$4:$P$1003,"&lt;="&amp;$E138))</f>
        <v/>
      </c>
      <c r="L138" s="34" t="str">
        <f aca="false">IF(OR($A138="",$K138=0),"",$G138/$K138)</f>
        <v/>
      </c>
      <c r="M138" s="30" t="str">
        <f aca="false">IF($A138="","",COUNTIFS('Lead Management'!$O$4:$O$1003,$C138,'Lead Management'!$P$4:$P$1003,"&gt;="&amp;$D138,'Lead Management'!$P$4:$P$1003,"&lt;="&amp;$E138,'Lead Management'!$V$4:$V$1003,"Yes"))</f>
        <v/>
      </c>
      <c r="N138" s="30" t="str">
        <f aca="false">IF($A138="","",COUNTIFS(Customers!$S$4:$S$1003,$C138,Customers!$T$4:$T$1003,"&gt;="&amp;$D138,Customers!$T$4:$T$1003,"&lt;="&amp;$E138))</f>
        <v/>
      </c>
      <c r="O138" s="34" t="str">
        <f aca="false">IF($A138="","",SUMIFS(Customers!$M$4:$M$1003,Customers!$S$4:$S$1003,$C138,Customers!$T$4:$T$1003,"&gt;="&amp;$D138,Customers!$T$4:$T$1003,"&lt;="&amp;$E138))</f>
        <v/>
      </c>
      <c r="P138" s="35" t="str">
        <f aca="false">IF(OR($A138="",$G138=0),"",($O138-$G138)/$G138)</f>
        <v/>
      </c>
      <c r="Q138" s="35" t="str">
        <f aca="false">IF(OR($A138="",$K138=0),"",$N138/$K138)</f>
        <v/>
      </c>
      <c r="R138" s="27"/>
      <c r="S138" s="32"/>
    </row>
    <row r="139" customFormat="false" ht="15.75" hidden="false" customHeight="true" outlineLevel="0" collapsed="false">
      <c r="A139" s="27"/>
      <c r="B139" s="28"/>
      <c r="C139" s="27"/>
      <c r="D139" s="29"/>
      <c r="E139" s="29"/>
      <c r="F139" s="41"/>
      <c r="G139" s="41"/>
      <c r="H139" s="49"/>
      <c r="I139" s="49"/>
      <c r="J139" s="50" t="str">
        <f aca="false">IF(OR($A139="",$H139=0),"",$I139/$H139)</f>
        <v/>
      </c>
      <c r="K139" s="30" t="str">
        <f aca="false">IF($A139="","",COUNTIFS('Lead Management'!$O$4:$O$1003,$C139,'Lead Management'!$P$4:$P$1003,"&gt;="&amp;$D139,'Lead Management'!$P$4:$P$1003,"&lt;="&amp;$E139))</f>
        <v/>
      </c>
      <c r="L139" s="34" t="str">
        <f aca="false">IF(OR($A139="",$K139=0),"",$G139/$K139)</f>
        <v/>
      </c>
      <c r="M139" s="30" t="str">
        <f aca="false">IF($A139="","",COUNTIFS('Lead Management'!$O$4:$O$1003,$C139,'Lead Management'!$P$4:$P$1003,"&gt;="&amp;$D139,'Lead Management'!$P$4:$P$1003,"&lt;="&amp;$E139,'Lead Management'!$V$4:$V$1003,"Yes"))</f>
        <v/>
      </c>
      <c r="N139" s="30" t="str">
        <f aca="false">IF($A139="","",COUNTIFS(Customers!$S$4:$S$1003,$C139,Customers!$T$4:$T$1003,"&gt;="&amp;$D139,Customers!$T$4:$T$1003,"&lt;="&amp;$E139))</f>
        <v/>
      </c>
      <c r="O139" s="34" t="str">
        <f aca="false">IF($A139="","",SUMIFS(Customers!$M$4:$M$1003,Customers!$S$4:$S$1003,$C139,Customers!$T$4:$T$1003,"&gt;="&amp;$D139,Customers!$T$4:$T$1003,"&lt;="&amp;$E139))</f>
        <v/>
      </c>
      <c r="P139" s="35" t="str">
        <f aca="false">IF(OR($A139="",$G139=0),"",($O139-$G139)/$G139)</f>
        <v/>
      </c>
      <c r="Q139" s="35" t="str">
        <f aca="false">IF(OR($A139="",$K139=0),"",$N139/$K139)</f>
        <v/>
      </c>
      <c r="R139" s="27"/>
      <c r="S139" s="32"/>
    </row>
    <row r="140" customFormat="false" ht="15.75" hidden="false" customHeight="true" outlineLevel="0" collapsed="false">
      <c r="A140" s="27"/>
      <c r="B140" s="28"/>
      <c r="C140" s="27"/>
      <c r="D140" s="29"/>
      <c r="E140" s="29"/>
      <c r="F140" s="41"/>
      <c r="G140" s="41"/>
      <c r="H140" s="49"/>
      <c r="I140" s="49"/>
      <c r="J140" s="50" t="str">
        <f aca="false">IF(OR($A140="",$H140=0),"",$I140/$H140)</f>
        <v/>
      </c>
      <c r="K140" s="30" t="str">
        <f aca="false">IF($A140="","",COUNTIFS('Lead Management'!$O$4:$O$1003,$C140,'Lead Management'!$P$4:$P$1003,"&gt;="&amp;$D140,'Lead Management'!$P$4:$P$1003,"&lt;="&amp;$E140))</f>
        <v/>
      </c>
      <c r="L140" s="34" t="str">
        <f aca="false">IF(OR($A140="",$K140=0),"",$G140/$K140)</f>
        <v/>
      </c>
      <c r="M140" s="30" t="str">
        <f aca="false">IF($A140="","",COUNTIFS('Lead Management'!$O$4:$O$1003,$C140,'Lead Management'!$P$4:$P$1003,"&gt;="&amp;$D140,'Lead Management'!$P$4:$P$1003,"&lt;="&amp;$E140,'Lead Management'!$V$4:$V$1003,"Yes"))</f>
        <v/>
      </c>
      <c r="N140" s="30" t="str">
        <f aca="false">IF($A140="","",COUNTIFS(Customers!$S$4:$S$1003,$C140,Customers!$T$4:$T$1003,"&gt;="&amp;$D140,Customers!$T$4:$T$1003,"&lt;="&amp;$E140))</f>
        <v/>
      </c>
      <c r="O140" s="34" t="str">
        <f aca="false">IF($A140="","",SUMIFS(Customers!$M$4:$M$1003,Customers!$S$4:$S$1003,$C140,Customers!$T$4:$T$1003,"&gt;="&amp;$D140,Customers!$T$4:$T$1003,"&lt;="&amp;$E140))</f>
        <v/>
      </c>
      <c r="P140" s="35" t="str">
        <f aca="false">IF(OR($A140="",$G140=0),"",($O140-$G140)/$G140)</f>
        <v/>
      </c>
      <c r="Q140" s="35" t="str">
        <f aca="false">IF(OR($A140="",$K140=0),"",$N140/$K140)</f>
        <v/>
      </c>
      <c r="R140" s="27"/>
      <c r="S140" s="32"/>
    </row>
    <row r="141" customFormat="false" ht="15.75" hidden="false" customHeight="true" outlineLevel="0" collapsed="false">
      <c r="A141" s="27"/>
      <c r="B141" s="28"/>
      <c r="C141" s="27"/>
      <c r="D141" s="29"/>
      <c r="E141" s="29"/>
      <c r="F141" s="41"/>
      <c r="G141" s="41"/>
      <c r="H141" s="49"/>
      <c r="I141" s="49"/>
      <c r="J141" s="50" t="str">
        <f aca="false">IF(OR($A141="",$H141=0),"",$I141/$H141)</f>
        <v/>
      </c>
      <c r="K141" s="30" t="str">
        <f aca="false">IF($A141="","",COUNTIFS('Lead Management'!$O$4:$O$1003,$C141,'Lead Management'!$P$4:$P$1003,"&gt;="&amp;$D141,'Lead Management'!$P$4:$P$1003,"&lt;="&amp;$E141))</f>
        <v/>
      </c>
      <c r="L141" s="34" t="str">
        <f aca="false">IF(OR($A141="",$K141=0),"",$G141/$K141)</f>
        <v/>
      </c>
      <c r="M141" s="30" t="str">
        <f aca="false">IF($A141="","",COUNTIFS('Lead Management'!$O$4:$O$1003,$C141,'Lead Management'!$P$4:$P$1003,"&gt;="&amp;$D141,'Lead Management'!$P$4:$P$1003,"&lt;="&amp;$E141,'Lead Management'!$V$4:$V$1003,"Yes"))</f>
        <v/>
      </c>
      <c r="N141" s="30" t="str">
        <f aca="false">IF($A141="","",COUNTIFS(Customers!$S$4:$S$1003,$C141,Customers!$T$4:$T$1003,"&gt;="&amp;$D141,Customers!$T$4:$T$1003,"&lt;="&amp;$E141))</f>
        <v/>
      </c>
      <c r="O141" s="34" t="str">
        <f aca="false">IF($A141="","",SUMIFS(Customers!$M$4:$M$1003,Customers!$S$4:$S$1003,$C141,Customers!$T$4:$T$1003,"&gt;="&amp;$D141,Customers!$T$4:$T$1003,"&lt;="&amp;$E141))</f>
        <v/>
      </c>
      <c r="P141" s="35" t="str">
        <f aca="false">IF(OR($A141="",$G141=0),"",($O141-$G141)/$G141)</f>
        <v/>
      </c>
      <c r="Q141" s="35" t="str">
        <f aca="false">IF(OR($A141="",$K141=0),"",$N141/$K141)</f>
        <v/>
      </c>
      <c r="R141" s="27"/>
      <c r="S141" s="32"/>
    </row>
    <row r="142" customFormat="false" ht="15.75" hidden="false" customHeight="true" outlineLevel="0" collapsed="false">
      <c r="A142" s="27"/>
      <c r="B142" s="28"/>
      <c r="C142" s="27"/>
      <c r="D142" s="29"/>
      <c r="E142" s="29"/>
      <c r="F142" s="41"/>
      <c r="G142" s="41"/>
      <c r="H142" s="49"/>
      <c r="I142" s="49"/>
      <c r="J142" s="50" t="str">
        <f aca="false">IF(OR($A142="",$H142=0),"",$I142/$H142)</f>
        <v/>
      </c>
      <c r="K142" s="30" t="str">
        <f aca="false">IF($A142="","",COUNTIFS('Lead Management'!$O$4:$O$1003,$C142,'Lead Management'!$P$4:$P$1003,"&gt;="&amp;$D142,'Lead Management'!$P$4:$P$1003,"&lt;="&amp;$E142))</f>
        <v/>
      </c>
      <c r="L142" s="34" t="str">
        <f aca="false">IF(OR($A142="",$K142=0),"",$G142/$K142)</f>
        <v/>
      </c>
      <c r="M142" s="30" t="str">
        <f aca="false">IF($A142="","",COUNTIFS('Lead Management'!$O$4:$O$1003,$C142,'Lead Management'!$P$4:$P$1003,"&gt;="&amp;$D142,'Lead Management'!$P$4:$P$1003,"&lt;="&amp;$E142,'Lead Management'!$V$4:$V$1003,"Yes"))</f>
        <v/>
      </c>
      <c r="N142" s="30" t="str">
        <f aca="false">IF($A142="","",COUNTIFS(Customers!$S$4:$S$1003,$C142,Customers!$T$4:$T$1003,"&gt;="&amp;$D142,Customers!$T$4:$T$1003,"&lt;="&amp;$E142))</f>
        <v/>
      </c>
      <c r="O142" s="34" t="str">
        <f aca="false">IF($A142="","",SUMIFS(Customers!$M$4:$M$1003,Customers!$S$4:$S$1003,$C142,Customers!$T$4:$T$1003,"&gt;="&amp;$D142,Customers!$T$4:$T$1003,"&lt;="&amp;$E142))</f>
        <v/>
      </c>
      <c r="P142" s="35" t="str">
        <f aca="false">IF(OR($A142="",$G142=0),"",($O142-$G142)/$G142)</f>
        <v/>
      </c>
      <c r="Q142" s="35" t="str">
        <f aca="false">IF(OR($A142="",$K142=0),"",$N142/$K142)</f>
        <v/>
      </c>
      <c r="R142" s="27"/>
      <c r="S142" s="32"/>
    </row>
    <row r="143" customFormat="false" ht="15.75" hidden="false" customHeight="true" outlineLevel="0" collapsed="false">
      <c r="A143" s="27"/>
      <c r="B143" s="28"/>
      <c r="C143" s="27"/>
      <c r="D143" s="29"/>
      <c r="E143" s="29"/>
      <c r="F143" s="41"/>
      <c r="G143" s="41"/>
      <c r="H143" s="49"/>
      <c r="I143" s="49"/>
      <c r="J143" s="50" t="str">
        <f aca="false">IF(OR($A143="",$H143=0),"",$I143/$H143)</f>
        <v/>
      </c>
      <c r="K143" s="30" t="str">
        <f aca="false">IF($A143="","",COUNTIFS('Lead Management'!$O$4:$O$1003,$C143,'Lead Management'!$P$4:$P$1003,"&gt;="&amp;$D143,'Lead Management'!$P$4:$P$1003,"&lt;="&amp;$E143))</f>
        <v/>
      </c>
      <c r="L143" s="34" t="str">
        <f aca="false">IF(OR($A143="",$K143=0),"",$G143/$K143)</f>
        <v/>
      </c>
      <c r="M143" s="30" t="str">
        <f aca="false">IF($A143="","",COUNTIFS('Lead Management'!$O$4:$O$1003,$C143,'Lead Management'!$P$4:$P$1003,"&gt;="&amp;$D143,'Lead Management'!$P$4:$P$1003,"&lt;="&amp;$E143,'Lead Management'!$V$4:$V$1003,"Yes"))</f>
        <v/>
      </c>
      <c r="N143" s="30" t="str">
        <f aca="false">IF($A143="","",COUNTIFS(Customers!$S$4:$S$1003,$C143,Customers!$T$4:$T$1003,"&gt;="&amp;$D143,Customers!$T$4:$T$1003,"&lt;="&amp;$E143))</f>
        <v/>
      </c>
      <c r="O143" s="34" t="str">
        <f aca="false">IF($A143="","",SUMIFS(Customers!$M$4:$M$1003,Customers!$S$4:$S$1003,$C143,Customers!$T$4:$T$1003,"&gt;="&amp;$D143,Customers!$T$4:$T$1003,"&lt;="&amp;$E143))</f>
        <v/>
      </c>
      <c r="P143" s="35" t="str">
        <f aca="false">IF(OR($A143="",$G143=0),"",($O143-$G143)/$G143)</f>
        <v/>
      </c>
      <c r="Q143" s="35" t="str">
        <f aca="false">IF(OR($A143="",$K143=0),"",$N143/$K143)</f>
        <v/>
      </c>
      <c r="R143" s="27"/>
      <c r="S143" s="32"/>
    </row>
    <row r="144" customFormat="false" ht="15.75" hidden="false" customHeight="true" outlineLevel="0" collapsed="false">
      <c r="A144" s="27"/>
      <c r="B144" s="28"/>
      <c r="C144" s="27"/>
      <c r="D144" s="29"/>
      <c r="E144" s="29"/>
      <c r="F144" s="41"/>
      <c r="G144" s="41"/>
      <c r="H144" s="49"/>
      <c r="I144" s="49"/>
      <c r="J144" s="50" t="str">
        <f aca="false">IF(OR($A144="",$H144=0),"",$I144/$H144)</f>
        <v/>
      </c>
      <c r="K144" s="30" t="str">
        <f aca="false">IF($A144="","",COUNTIFS('Lead Management'!$O$4:$O$1003,$C144,'Lead Management'!$P$4:$P$1003,"&gt;="&amp;$D144,'Lead Management'!$P$4:$P$1003,"&lt;="&amp;$E144))</f>
        <v/>
      </c>
      <c r="L144" s="34" t="str">
        <f aca="false">IF(OR($A144="",$K144=0),"",$G144/$K144)</f>
        <v/>
      </c>
      <c r="M144" s="30" t="str">
        <f aca="false">IF($A144="","",COUNTIFS('Lead Management'!$O$4:$O$1003,$C144,'Lead Management'!$P$4:$P$1003,"&gt;="&amp;$D144,'Lead Management'!$P$4:$P$1003,"&lt;="&amp;$E144,'Lead Management'!$V$4:$V$1003,"Yes"))</f>
        <v/>
      </c>
      <c r="N144" s="30" t="str">
        <f aca="false">IF($A144="","",COUNTIFS(Customers!$S$4:$S$1003,$C144,Customers!$T$4:$T$1003,"&gt;="&amp;$D144,Customers!$T$4:$T$1003,"&lt;="&amp;$E144))</f>
        <v/>
      </c>
      <c r="O144" s="34" t="str">
        <f aca="false">IF($A144="","",SUMIFS(Customers!$M$4:$M$1003,Customers!$S$4:$S$1003,$C144,Customers!$T$4:$T$1003,"&gt;="&amp;$D144,Customers!$T$4:$T$1003,"&lt;="&amp;$E144))</f>
        <v/>
      </c>
      <c r="P144" s="35" t="str">
        <f aca="false">IF(OR($A144="",$G144=0),"",($O144-$G144)/$G144)</f>
        <v/>
      </c>
      <c r="Q144" s="35" t="str">
        <f aca="false">IF(OR($A144="",$K144=0),"",$N144/$K144)</f>
        <v/>
      </c>
      <c r="R144" s="27"/>
      <c r="S144" s="32"/>
    </row>
    <row r="145" customFormat="false" ht="15.75" hidden="false" customHeight="true" outlineLevel="0" collapsed="false">
      <c r="A145" s="27"/>
      <c r="B145" s="28"/>
      <c r="C145" s="27"/>
      <c r="D145" s="29"/>
      <c r="E145" s="29"/>
      <c r="F145" s="41"/>
      <c r="G145" s="41"/>
      <c r="H145" s="49"/>
      <c r="I145" s="49"/>
      <c r="J145" s="50" t="str">
        <f aca="false">IF(OR($A145="",$H145=0),"",$I145/$H145)</f>
        <v/>
      </c>
      <c r="K145" s="30" t="str">
        <f aca="false">IF($A145="","",COUNTIFS('Lead Management'!$O$4:$O$1003,$C145,'Lead Management'!$P$4:$P$1003,"&gt;="&amp;$D145,'Lead Management'!$P$4:$P$1003,"&lt;="&amp;$E145))</f>
        <v/>
      </c>
      <c r="L145" s="34" t="str">
        <f aca="false">IF(OR($A145="",$K145=0),"",$G145/$K145)</f>
        <v/>
      </c>
      <c r="M145" s="30" t="str">
        <f aca="false">IF($A145="","",COUNTIFS('Lead Management'!$O$4:$O$1003,$C145,'Lead Management'!$P$4:$P$1003,"&gt;="&amp;$D145,'Lead Management'!$P$4:$P$1003,"&lt;="&amp;$E145,'Lead Management'!$V$4:$V$1003,"Yes"))</f>
        <v/>
      </c>
      <c r="N145" s="30" t="str">
        <f aca="false">IF($A145="","",COUNTIFS(Customers!$S$4:$S$1003,$C145,Customers!$T$4:$T$1003,"&gt;="&amp;$D145,Customers!$T$4:$T$1003,"&lt;="&amp;$E145))</f>
        <v/>
      </c>
      <c r="O145" s="34" t="str">
        <f aca="false">IF($A145="","",SUMIFS(Customers!$M$4:$M$1003,Customers!$S$4:$S$1003,$C145,Customers!$T$4:$T$1003,"&gt;="&amp;$D145,Customers!$T$4:$T$1003,"&lt;="&amp;$E145))</f>
        <v/>
      </c>
      <c r="P145" s="35" t="str">
        <f aca="false">IF(OR($A145="",$G145=0),"",($O145-$G145)/$G145)</f>
        <v/>
      </c>
      <c r="Q145" s="35" t="str">
        <f aca="false">IF(OR($A145="",$K145=0),"",$N145/$K145)</f>
        <v/>
      </c>
      <c r="R145" s="27"/>
      <c r="S145" s="32"/>
    </row>
    <row r="146" customFormat="false" ht="15.75" hidden="false" customHeight="true" outlineLevel="0" collapsed="false">
      <c r="A146" s="27"/>
      <c r="B146" s="28"/>
      <c r="C146" s="27"/>
      <c r="D146" s="29"/>
      <c r="E146" s="29"/>
      <c r="F146" s="41"/>
      <c r="G146" s="41"/>
      <c r="H146" s="49"/>
      <c r="I146" s="49"/>
      <c r="J146" s="50" t="str">
        <f aca="false">IF(OR($A146="",$H146=0),"",$I146/$H146)</f>
        <v/>
      </c>
      <c r="K146" s="30" t="str">
        <f aca="false">IF($A146="","",COUNTIFS('Lead Management'!$O$4:$O$1003,$C146,'Lead Management'!$P$4:$P$1003,"&gt;="&amp;$D146,'Lead Management'!$P$4:$P$1003,"&lt;="&amp;$E146))</f>
        <v/>
      </c>
      <c r="L146" s="34" t="str">
        <f aca="false">IF(OR($A146="",$K146=0),"",$G146/$K146)</f>
        <v/>
      </c>
      <c r="M146" s="30" t="str">
        <f aca="false">IF($A146="","",COUNTIFS('Lead Management'!$O$4:$O$1003,$C146,'Lead Management'!$P$4:$P$1003,"&gt;="&amp;$D146,'Lead Management'!$P$4:$P$1003,"&lt;="&amp;$E146,'Lead Management'!$V$4:$V$1003,"Yes"))</f>
        <v/>
      </c>
      <c r="N146" s="30" t="str">
        <f aca="false">IF($A146="","",COUNTIFS(Customers!$S$4:$S$1003,$C146,Customers!$T$4:$T$1003,"&gt;="&amp;$D146,Customers!$T$4:$T$1003,"&lt;="&amp;$E146))</f>
        <v/>
      </c>
      <c r="O146" s="34" t="str">
        <f aca="false">IF($A146="","",SUMIFS(Customers!$M$4:$M$1003,Customers!$S$4:$S$1003,$C146,Customers!$T$4:$T$1003,"&gt;="&amp;$D146,Customers!$T$4:$T$1003,"&lt;="&amp;$E146))</f>
        <v/>
      </c>
      <c r="P146" s="35" t="str">
        <f aca="false">IF(OR($A146="",$G146=0),"",($O146-$G146)/$G146)</f>
        <v/>
      </c>
      <c r="Q146" s="35" t="str">
        <f aca="false">IF(OR($A146="",$K146=0),"",$N146/$K146)</f>
        <v/>
      </c>
      <c r="R146" s="27"/>
      <c r="S146" s="32"/>
    </row>
    <row r="147" customFormat="false" ht="15.75" hidden="false" customHeight="true" outlineLevel="0" collapsed="false">
      <c r="A147" s="27"/>
      <c r="B147" s="28"/>
      <c r="C147" s="27"/>
      <c r="D147" s="29"/>
      <c r="E147" s="29"/>
      <c r="F147" s="41"/>
      <c r="G147" s="41"/>
      <c r="H147" s="49"/>
      <c r="I147" s="49"/>
      <c r="J147" s="50" t="str">
        <f aca="false">IF(OR($A147="",$H147=0),"",$I147/$H147)</f>
        <v/>
      </c>
      <c r="K147" s="30" t="str">
        <f aca="false">IF($A147="","",COUNTIFS('Lead Management'!$O$4:$O$1003,$C147,'Lead Management'!$P$4:$P$1003,"&gt;="&amp;$D147,'Lead Management'!$P$4:$P$1003,"&lt;="&amp;$E147))</f>
        <v/>
      </c>
      <c r="L147" s="34" t="str">
        <f aca="false">IF(OR($A147="",$K147=0),"",$G147/$K147)</f>
        <v/>
      </c>
      <c r="M147" s="30" t="str">
        <f aca="false">IF($A147="","",COUNTIFS('Lead Management'!$O$4:$O$1003,$C147,'Lead Management'!$P$4:$P$1003,"&gt;="&amp;$D147,'Lead Management'!$P$4:$P$1003,"&lt;="&amp;$E147,'Lead Management'!$V$4:$V$1003,"Yes"))</f>
        <v/>
      </c>
      <c r="N147" s="30" t="str">
        <f aca="false">IF($A147="","",COUNTIFS(Customers!$S$4:$S$1003,$C147,Customers!$T$4:$T$1003,"&gt;="&amp;$D147,Customers!$T$4:$T$1003,"&lt;="&amp;$E147))</f>
        <v/>
      </c>
      <c r="O147" s="34" t="str">
        <f aca="false">IF($A147="","",SUMIFS(Customers!$M$4:$M$1003,Customers!$S$4:$S$1003,$C147,Customers!$T$4:$T$1003,"&gt;="&amp;$D147,Customers!$T$4:$T$1003,"&lt;="&amp;$E147))</f>
        <v/>
      </c>
      <c r="P147" s="35" t="str">
        <f aca="false">IF(OR($A147="",$G147=0),"",($O147-$G147)/$G147)</f>
        <v/>
      </c>
      <c r="Q147" s="35" t="str">
        <f aca="false">IF(OR($A147="",$K147=0),"",$N147/$K147)</f>
        <v/>
      </c>
      <c r="R147" s="27"/>
      <c r="S147" s="32"/>
    </row>
    <row r="148" customFormat="false" ht="15.75" hidden="false" customHeight="true" outlineLevel="0" collapsed="false">
      <c r="A148" s="27"/>
      <c r="B148" s="28"/>
      <c r="C148" s="27"/>
      <c r="D148" s="29"/>
      <c r="E148" s="29"/>
      <c r="F148" s="41"/>
      <c r="G148" s="41"/>
      <c r="H148" s="49"/>
      <c r="I148" s="49"/>
      <c r="J148" s="50" t="str">
        <f aca="false">IF(OR($A148="",$H148=0),"",$I148/$H148)</f>
        <v/>
      </c>
      <c r="K148" s="30" t="str">
        <f aca="false">IF($A148="","",COUNTIFS('Lead Management'!$O$4:$O$1003,$C148,'Lead Management'!$P$4:$P$1003,"&gt;="&amp;$D148,'Lead Management'!$P$4:$P$1003,"&lt;="&amp;$E148))</f>
        <v/>
      </c>
      <c r="L148" s="34" t="str">
        <f aca="false">IF(OR($A148="",$K148=0),"",$G148/$K148)</f>
        <v/>
      </c>
      <c r="M148" s="30" t="str">
        <f aca="false">IF($A148="","",COUNTIFS('Lead Management'!$O$4:$O$1003,$C148,'Lead Management'!$P$4:$P$1003,"&gt;="&amp;$D148,'Lead Management'!$P$4:$P$1003,"&lt;="&amp;$E148,'Lead Management'!$V$4:$V$1003,"Yes"))</f>
        <v/>
      </c>
      <c r="N148" s="30" t="str">
        <f aca="false">IF($A148="","",COUNTIFS(Customers!$S$4:$S$1003,$C148,Customers!$T$4:$T$1003,"&gt;="&amp;$D148,Customers!$T$4:$T$1003,"&lt;="&amp;$E148))</f>
        <v/>
      </c>
      <c r="O148" s="34" t="str">
        <f aca="false">IF($A148="","",SUMIFS(Customers!$M$4:$M$1003,Customers!$S$4:$S$1003,$C148,Customers!$T$4:$T$1003,"&gt;="&amp;$D148,Customers!$T$4:$T$1003,"&lt;="&amp;$E148))</f>
        <v/>
      </c>
      <c r="P148" s="35" t="str">
        <f aca="false">IF(OR($A148="",$G148=0),"",($O148-$G148)/$G148)</f>
        <v/>
      </c>
      <c r="Q148" s="35" t="str">
        <f aca="false">IF(OR($A148="",$K148=0),"",$N148/$K148)</f>
        <v/>
      </c>
      <c r="R148" s="27"/>
      <c r="S148" s="32"/>
    </row>
    <row r="149" customFormat="false" ht="15.75" hidden="false" customHeight="true" outlineLevel="0" collapsed="false">
      <c r="A149" s="27"/>
      <c r="B149" s="28"/>
      <c r="C149" s="27"/>
      <c r="D149" s="29"/>
      <c r="E149" s="29"/>
      <c r="F149" s="41"/>
      <c r="G149" s="41"/>
      <c r="H149" s="49"/>
      <c r="I149" s="49"/>
      <c r="J149" s="50" t="str">
        <f aca="false">IF(OR($A149="",$H149=0),"",$I149/$H149)</f>
        <v/>
      </c>
      <c r="K149" s="30" t="str">
        <f aca="false">IF($A149="","",COUNTIFS('Lead Management'!$O$4:$O$1003,$C149,'Lead Management'!$P$4:$P$1003,"&gt;="&amp;$D149,'Lead Management'!$P$4:$P$1003,"&lt;="&amp;$E149))</f>
        <v/>
      </c>
      <c r="L149" s="34" t="str">
        <f aca="false">IF(OR($A149="",$K149=0),"",$G149/$K149)</f>
        <v/>
      </c>
      <c r="M149" s="30" t="str">
        <f aca="false">IF($A149="","",COUNTIFS('Lead Management'!$O$4:$O$1003,$C149,'Lead Management'!$P$4:$P$1003,"&gt;="&amp;$D149,'Lead Management'!$P$4:$P$1003,"&lt;="&amp;$E149,'Lead Management'!$V$4:$V$1003,"Yes"))</f>
        <v/>
      </c>
      <c r="N149" s="30" t="str">
        <f aca="false">IF($A149="","",COUNTIFS(Customers!$S$4:$S$1003,$C149,Customers!$T$4:$T$1003,"&gt;="&amp;$D149,Customers!$T$4:$T$1003,"&lt;="&amp;$E149))</f>
        <v/>
      </c>
      <c r="O149" s="34" t="str">
        <f aca="false">IF($A149="","",SUMIFS(Customers!$M$4:$M$1003,Customers!$S$4:$S$1003,$C149,Customers!$T$4:$T$1003,"&gt;="&amp;$D149,Customers!$T$4:$T$1003,"&lt;="&amp;$E149))</f>
        <v/>
      </c>
      <c r="P149" s="35" t="str">
        <f aca="false">IF(OR($A149="",$G149=0),"",($O149-$G149)/$G149)</f>
        <v/>
      </c>
      <c r="Q149" s="35" t="str">
        <f aca="false">IF(OR($A149="",$K149=0),"",$N149/$K149)</f>
        <v/>
      </c>
      <c r="R149" s="27"/>
      <c r="S149" s="32"/>
    </row>
    <row r="150" customFormat="false" ht="15.75" hidden="false" customHeight="true" outlineLevel="0" collapsed="false">
      <c r="A150" s="27"/>
      <c r="B150" s="28"/>
      <c r="C150" s="27"/>
      <c r="D150" s="29"/>
      <c r="E150" s="29"/>
      <c r="F150" s="41"/>
      <c r="G150" s="41"/>
      <c r="H150" s="49"/>
      <c r="I150" s="49"/>
      <c r="J150" s="50" t="str">
        <f aca="false">IF(OR($A150="",$H150=0),"",$I150/$H150)</f>
        <v/>
      </c>
      <c r="K150" s="30" t="str">
        <f aca="false">IF($A150="","",COUNTIFS('Lead Management'!$O$4:$O$1003,$C150,'Lead Management'!$P$4:$P$1003,"&gt;="&amp;$D150,'Lead Management'!$P$4:$P$1003,"&lt;="&amp;$E150))</f>
        <v/>
      </c>
      <c r="L150" s="34" t="str">
        <f aca="false">IF(OR($A150="",$K150=0),"",$G150/$K150)</f>
        <v/>
      </c>
      <c r="M150" s="30" t="str">
        <f aca="false">IF($A150="","",COUNTIFS('Lead Management'!$O$4:$O$1003,$C150,'Lead Management'!$P$4:$P$1003,"&gt;="&amp;$D150,'Lead Management'!$P$4:$P$1003,"&lt;="&amp;$E150,'Lead Management'!$V$4:$V$1003,"Yes"))</f>
        <v/>
      </c>
      <c r="N150" s="30" t="str">
        <f aca="false">IF($A150="","",COUNTIFS(Customers!$S$4:$S$1003,$C150,Customers!$T$4:$T$1003,"&gt;="&amp;$D150,Customers!$T$4:$T$1003,"&lt;="&amp;$E150))</f>
        <v/>
      </c>
      <c r="O150" s="34" t="str">
        <f aca="false">IF($A150="","",SUMIFS(Customers!$M$4:$M$1003,Customers!$S$4:$S$1003,$C150,Customers!$T$4:$T$1003,"&gt;="&amp;$D150,Customers!$T$4:$T$1003,"&lt;="&amp;$E150))</f>
        <v/>
      </c>
      <c r="P150" s="35" t="str">
        <f aca="false">IF(OR($A150="",$G150=0),"",($O150-$G150)/$G150)</f>
        <v/>
      </c>
      <c r="Q150" s="35" t="str">
        <f aca="false">IF(OR($A150="",$K150=0),"",$N150/$K150)</f>
        <v/>
      </c>
      <c r="R150" s="27"/>
      <c r="S150" s="32"/>
    </row>
    <row r="151" customFormat="false" ht="15.75" hidden="false" customHeight="true" outlineLevel="0" collapsed="false">
      <c r="A151" s="27"/>
      <c r="B151" s="28"/>
      <c r="C151" s="27"/>
      <c r="D151" s="29"/>
      <c r="E151" s="29"/>
      <c r="F151" s="41"/>
      <c r="G151" s="41"/>
      <c r="H151" s="49"/>
      <c r="I151" s="49"/>
      <c r="J151" s="50" t="str">
        <f aca="false">IF(OR($A151="",$H151=0),"",$I151/$H151)</f>
        <v/>
      </c>
      <c r="K151" s="30" t="str">
        <f aca="false">IF($A151="","",COUNTIFS('Lead Management'!$O$4:$O$1003,$C151,'Lead Management'!$P$4:$P$1003,"&gt;="&amp;$D151,'Lead Management'!$P$4:$P$1003,"&lt;="&amp;$E151))</f>
        <v/>
      </c>
      <c r="L151" s="34" t="str">
        <f aca="false">IF(OR($A151="",$K151=0),"",$G151/$K151)</f>
        <v/>
      </c>
      <c r="M151" s="30" t="str">
        <f aca="false">IF($A151="","",COUNTIFS('Lead Management'!$O$4:$O$1003,$C151,'Lead Management'!$P$4:$P$1003,"&gt;="&amp;$D151,'Lead Management'!$P$4:$P$1003,"&lt;="&amp;$E151,'Lead Management'!$V$4:$V$1003,"Yes"))</f>
        <v/>
      </c>
      <c r="N151" s="30" t="str">
        <f aca="false">IF($A151="","",COUNTIFS(Customers!$S$4:$S$1003,$C151,Customers!$T$4:$T$1003,"&gt;="&amp;$D151,Customers!$T$4:$T$1003,"&lt;="&amp;$E151))</f>
        <v/>
      </c>
      <c r="O151" s="34" t="str">
        <f aca="false">IF($A151="","",SUMIFS(Customers!$M$4:$M$1003,Customers!$S$4:$S$1003,$C151,Customers!$T$4:$T$1003,"&gt;="&amp;$D151,Customers!$T$4:$T$1003,"&lt;="&amp;$E151))</f>
        <v/>
      </c>
      <c r="P151" s="35" t="str">
        <f aca="false">IF(OR($A151="",$G151=0),"",($O151-$G151)/$G151)</f>
        <v/>
      </c>
      <c r="Q151" s="35" t="str">
        <f aca="false">IF(OR($A151="",$K151=0),"",$N151/$K151)</f>
        <v/>
      </c>
      <c r="R151" s="27"/>
      <c r="S151" s="32"/>
    </row>
    <row r="152" customFormat="false" ht="15.75" hidden="false" customHeight="true" outlineLevel="0" collapsed="false">
      <c r="A152" s="27"/>
      <c r="B152" s="28"/>
      <c r="C152" s="27"/>
      <c r="D152" s="29"/>
      <c r="E152" s="29"/>
      <c r="F152" s="41"/>
      <c r="G152" s="41"/>
      <c r="H152" s="49"/>
      <c r="I152" s="49"/>
      <c r="J152" s="50" t="str">
        <f aca="false">IF(OR($A152="",$H152=0),"",$I152/$H152)</f>
        <v/>
      </c>
      <c r="K152" s="30" t="str">
        <f aca="false">IF($A152="","",COUNTIFS('Lead Management'!$O$4:$O$1003,$C152,'Lead Management'!$P$4:$P$1003,"&gt;="&amp;$D152,'Lead Management'!$P$4:$P$1003,"&lt;="&amp;$E152))</f>
        <v/>
      </c>
      <c r="L152" s="34" t="str">
        <f aca="false">IF(OR($A152="",$K152=0),"",$G152/$K152)</f>
        <v/>
      </c>
      <c r="M152" s="30" t="str">
        <f aca="false">IF($A152="","",COUNTIFS('Lead Management'!$O$4:$O$1003,$C152,'Lead Management'!$P$4:$P$1003,"&gt;="&amp;$D152,'Lead Management'!$P$4:$P$1003,"&lt;="&amp;$E152,'Lead Management'!$V$4:$V$1003,"Yes"))</f>
        <v/>
      </c>
      <c r="N152" s="30" t="str">
        <f aca="false">IF($A152="","",COUNTIFS(Customers!$S$4:$S$1003,$C152,Customers!$T$4:$T$1003,"&gt;="&amp;$D152,Customers!$T$4:$T$1003,"&lt;="&amp;$E152))</f>
        <v/>
      </c>
      <c r="O152" s="34" t="str">
        <f aca="false">IF($A152="","",SUMIFS(Customers!$M$4:$M$1003,Customers!$S$4:$S$1003,$C152,Customers!$T$4:$T$1003,"&gt;="&amp;$D152,Customers!$T$4:$T$1003,"&lt;="&amp;$E152))</f>
        <v/>
      </c>
      <c r="P152" s="35" t="str">
        <f aca="false">IF(OR($A152="",$G152=0),"",($O152-$G152)/$G152)</f>
        <v/>
      </c>
      <c r="Q152" s="35" t="str">
        <f aca="false">IF(OR($A152="",$K152=0),"",$N152/$K152)</f>
        <v/>
      </c>
      <c r="R152" s="27"/>
      <c r="S152" s="32"/>
    </row>
    <row r="153" customFormat="false" ht="15.75" hidden="false" customHeight="true" outlineLevel="0" collapsed="false">
      <c r="A153" s="27"/>
      <c r="B153" s="28"/>
      <c r="C153" s="27"/>
      <c r="D153" s="29"/>
      <c r="E153" s="29"/>
      <c r="F153" s="41"/>
      <c r="G153" s="41"/>
      <c r="H153" s="49"/>
      <c r="I153" s="49"/>
      <c r="J153" s="50" t="str">
        <f aca="false">IF(OR($A153="",$H153=0),"",$I153/$H153)</f>
        <v/>
      </c>
      <c r="K153" s="30" t="str">
        <f aca="false">IF($A153="","",COUNTIFS('Lead Management'!$O$4:$O$1003,$C153,'Lead Management'!$P$4:$P$1003,"&gt;="&amp;$D153,'Lead Management'!$P$4:$P$1003,"&lt;="&amp;$E153))</f>
        <v/>
      </c>
      <c r="L153" s="34" t="str">
        <f aca="false">IF(OR($A153="",$K153=0),"",$G153/$K153)</f>
        <v/>
      </c>
      <c r="M153" s="30" t="str">
        <f aca="false">IF($A153="","",COUNTIFS('Lead Management'!$O$4:$O$1003,$C153,'Lead Management'!$P$4:$P$1003,"&gt;="&amp;$D153,'Lead Management'!$P$4:$P$1003,"&lt;="&amp;$E153,'Lead Management'!$V$4:$V$1003,"Yes"))</f>
        <v/>
      </c>
      <c r="N153" s="30" t="str">
        <f aca="false">IF($A153="","",COUNTIFS(Customers!$S$4:$S$1003,$C153,Customers!$T$4:$T$1003,"&gt;="&amp;$D153,Customers!$T$4:$T$1003,"&lt;="&amp;$E153))</f>
        <v/>
      </c>
      <c r="O153" s="34" t="str">
        <f aca="false">IF($A153="","",SUMIFS(Customers!$M$4:$M$1003,Customers!$S$4:$S$1003,$C153,Customers!$T$4:$T$1003,"&gt;="&amp;$D153,Customers!$T$4:$T$1003,"&lt;="&amp;$E153))</f>
        <v/>
      </c>
      <c r="P153" s="35" t="str">
        <f aca="false">IF(OR($A153="",$G153=0),"",($O153-$G153)/$G153)</f>
        <v/>
      </c>
      <c r="Q153" s="35" t="str">
        <f aca="false">IF(OR($A153="",$K153=0),"",$N153/$K153)</f>
        <v/>
      </c>
      <c r="R153" s="27"/>
      <c r="S153" s="32"/>
    </row>
    <row r="154" customFormat="false" ht="15.75" hidden="false" customHeight="true" outlineLevel="0" collapsed="false">
      <c r="A154" s="27"/>
      <c r="B154" s="28"/>
      <c r="C154" s="27"/>
      <c r="D154" s="29"/>
      <c r="E154" s="29"/>
      <c r="F154" s="41"/>
      <c r="G154" s="41"/>
      <c r="H154" s="49"/>
      <c r="I154" s="49"/>
      <c r="J154" s="50" t="str">
        <f aca="false">IF(OR($A154="",$H154=0),"",$I154/$H154)</f>
        <v/>
      </c>
      <c r="K154" s="30" t="str">
        <f aca="false">IF($A154="","",COUNTIFS('Lead Management'!$O$4:$O$1003,$C154,'Lead Management'!$P$4:$P$1003,"&gt;="&amp;$D154,'Lead Management'!$P$4:$P$1003,"&lt;="&amp;$E154))</f>
        <v/>
      </c>
      <c r="L154" s="34" t="str">
        <f aca="false">IF(OR($A154="",$K154=0),"",$G154/$K154)</f>
        <v/>
      </c>
      <c r="M154" s="30" t="str">
        <f aca="false">IF($A154="","",COUNTIFS('Lead Management'!$O$4:$O$1003,$C154,'Lead Management'!$P$4:$P$1003,"&gt;="&amp;$D154,'Lead Management'!$P$4:$P$1003,"&lt;="&amp;$E154,'Lead Management'!$V$4:$V$1003,"Yes"))</f>
        <v/>
      </c>
      <c r="N154" s="30" t="str">
        <f aca="false">IF($A154="","",COUNTIFS(Customers!$S$4:$S$1003,$C154,Customers!$T$4:$T$1003,"&gt;="&amp;$D154,Customers!$T$4:$T$1003,"&lt;="&amp;$E154))</f>
        <v/>
      </c>
      <c r="O154" s="34" t="str">
        <f aca="false">IF($A154="","",SUMIFS(Customers!$M$4:$M$1003,Customers!$S$4:$S$1003,$C154,Customers!$T$4:$T$1003,"&gt;="&amp;$D154,Customers!$T$4:$T$1003,"&lt;="&amp;$E154))</f>
        <v/>
      </c>
      <c r="P154" s="35" t="str">
        <f aca="false">IF(OR($A154="",$G154=0),"",($O154-$G154)/$G154)</f>
        <v/>
      </c>
      <c r="Q154" s="35" t="str">
        <f aca="false">IF(OR($A154="",$K154=0),"",$N154/$K154)</f>
        <v/>
      </c>
      <c r="R154" s="27"/>
      <c r="S154" s="32"/>
    </row>
    <row r="155" customFormat="false" ht="15.75" hidden="false" customHeight="true" outlineLevel="0" collapsed="false">
      <c r="A155" s="27"/>
      <c r="B155" s="28"/>
      <c r="C155" s="27"/>
      <c r="D155" s="29"/>
      <c r="E155" s="29"/>
      <c r="F155" s="41"/>
      <c r="G155" s="41"/>
      <c r="H155" s="49"/>
      <c r="I155" s="49"/>
      <c r="J155" s="50" t="str">
        <f aca="false">IF(OR($A155="",$H155=0),"",$I155/$H155)</f>
        <v/>
      </c>
      <c r="K155" s="30" t="str">
        <f aca="false">IF($A155="","",COUNTIFS('Lead Management'!$O$4:$O$1003,$C155,'Lead Management'!$P$4:$P$1003,"&gt;="&amp;$D155,'Lead Management'!$P$4:$P$1003,"&lt;="&amp;$E155))</f>
        <v/>
      </c>
      <c r="L155" s="34" t="str">
        <f aca="false">IF(OR($A155="",$K155=0),"",$G155/$K155)</f>
        <v/>
      </c>
      <c r="M155" s="30" t="str">
        <f aca="false">IF($A155="","",COUNTIFS('Lead Management'!$O$4:$O$1003,$C155,'Lead Management'!$P$4:$P$1003,"&gt;="&amp;$D155,'Lead Management'!$P$4:$P$1003,"&lt;="&amp;$E155,'Lead Management'!$V$4:$V$1003,"Yes"))</f>
        <v/>
      </c>
      <c r="N155" s="30" t="str">
        <f aca="false">IF($A155="","",COUNTIFS(Customers!$S$4:$S$1003,$C155,Customers!$T$4:$T$1003,"&gt;="&amp;$D155,Customers!$T$4:$T$1003,"&lt;="&amp;$E155))</f>
        <v/>
      </c>
      <c r="O155" s="34" t="str">
        <f aca="false">IF($A155="","",SUMIFS(Customers!$M$4:$M$1003,Customers!$S$4:$S$1003,$C155,Customers!$T$4:$T$1003,"&gt;="&amp;$D155,Customers!$T$4:$T$1003,"&lt;="&amp;$E155))</f>
        <v/>
      </c>
      <c r="P155" s="35" t="str">
        <f aca="false">IF(OR($A155="",$G155=0),"",($O155-$G155)/$G155)</f>
        <v/>
      </c>
      <c r="Q155" s="35" t="str">
        <f aca="false">IF(OR($A155="",$K155=0),"",$N155/$K155)</f>
        <v/>
      </c>
      <c r="R155" s="27"/>
      <c r="S155" s="32"/>
    </row>
    <row r="156" customFormat="false" ht="15.75" hidden="false" customHeight="true" outlineLevel="0" collapsed="false">
      <c r="A156" s="27"/>
      <c r="B156" s="28"/>
      <c r="C156" s="27"/>
      <c r="D156" s="29"/>
      <c r="E156" s="29"/>
      <c r="F156" s="41"/>
      <c r="G156" s="41"/>
      <c r="H156" s="49"/>
      <c r="I156" s="49"/>
      <c r="J156" s="50" t="str">
        <f aca="false">IF(OR($A156="",$H156=0),"",$I156/$H156)</f>
        <v/>
      </c>
      <c r="K156" s="30" t="str">
        <f aca="false">IF($A156="","",COUNTIFS('Lead Management'!$O$4:$O$1003,$C156,'Lead Management'!$P$4:$P$1003,"&gt;="&amp;$D156,'Lead Management'!$P$4:$P$1003,"&lt;="&amp;$E156))</f>
        <v/>
      </c>
      <c r="L156" s="34" t="str">
        <f aca="false">IF(OR($A156="",$K156=0),"",$G156/$K156)</f>
        <v/>
      </c>
      <c r="M156" s="30" t="str">
        <f aca="false">IF($A156="","",COUNTIFS('Lead Management'!$O$4:$O$1003,$C156,'Lead Management'!$P$4:$P$1003,"&gt;="&amp;$D156,'Lead Management'!$P$4:$P$1003,"&lt;="&amp;$E156,'Lead Management'!$V$4:$V$1003,"Yes"))</f>
        <v/>
      </c>
      <c r="N156" s="30" t="str">
        <f aca="false">IF($A156="","",COUNTIFS(Customers!$S$4:$S$1003,$C156,Customers!$T$4:$T$1003,"&gt;="&amp;$D156,Customers!$T$4:$T$1003,"&lt;="&amp;$E156))</f>
        <v/>
      </c>
      <c r="O156" s="34" t="str">
        <f aca="false">IF($A156="","",SUMIFS(Customers!$M$4:$M$1003,Customers!$S$4:$S$1003,$C156,Customers!$T$4:$T$1003,"&gt;="&amp;$D156,Customers!$T$4:$T$1003,"&lt;="&amp;$E156))</f>
        <v/>
      </c>
      <c r="P156" s="35" t="str">
        <f aca="false">IF(OR($A156="",$G156=0),"",($O156-$G156)/$G156)</f>
        <v/>
      </c>
      <c r="Q156" s="35" t="str">
        <f aca="false">IF(OR($A156="",$K156=0),"",$N156/$K156)</f>
        <v/>
      </c>
      <c r="R156" s="27"/>
      <c r="S156" s="32"/>
    </row>
    <row r="157" customFormat="false" ht="15.75" hidden="false" customHeight="true" outlineLevel="0" collapsed="false">
      <c r="A157" s="27"/>
      <c r="B157" s="28"/>
      <c r="C157" s="27"/>
      <c r="D157" s="29"/>
      <c r="E157" s="29"/>
      <c r="F157" s="41"/>
      <c r="G157" s="41"/>
      <c r="H157" s="49"/>
      <c r="I157" s="49"/>
      <c r="J157" s="50" t="str">
        <f aca="false">IF(OR($A157="",$H157=0),"",$I157/$H157)</f>
        <v/>
      </c>
      <c r="K157" s="30" t="str">
        <f aca="false">IF($A157="","",COUNTIFS('Lead Management'!$O$4:$O$1003,$C157,'Lead Management'!$P$4:$P$1003,"&gt;="&amp;$D157,'Lead Management'!$P$4:$P$1003,"&lt;="&amp;$E157))</f>
        <v/>
      </c>
      <c r="L157" s="34" t="str">
        <f aca="false">IF(OR($A157="",$K157=0),"",$G157/$K157)</f>
        <v/>
      </c>
      <c r="M157" s="30" t="str">
        <f aca="false">IF($A157="","",COUNTIFS('Lead Management'!$O$4:$O$1003,$C157,'Lead Management'!$P$4:$P$1003,"&gt;="&amp;$D157,'Lead Management'!$P$4:$P$1003,"&lt;="&amp;$E157,'Lead Management'!$V$4:$V$1003,"Yes"))</f>
        <v/>
      </c>
      <c r="N157" s="30" t="str">
        <f aca="false">IF($A157="","",COUNTIFS(Customers!$S$4:$S$1003,$C157,Customers!$T$4:$T$1003,"&gt;="&amp;$D157,Customers!$T$4:$T$1003,"&lt;="&amp;$E157))</f>
        <v/>
      </c>
      <c r="O157" s="34" t="str">
        <f aca="false">IF($A157="","",SUMIFS(Customers!$M$4:$M$1003,Customers!$S$4:$S$1003,$C157,Customers!$T$4:$T$1003,"&gt;="&amp;$D157,Customers!$T$4:$T$1003,"&lt;="&amp;$E157))</f>
        <v/>
      </c>
      <c r="P157" s="35" t="str">
        <f aca="false">IF(OR($A157="",$G157=0),"",($O157-$G157)/$G157)</f>
        <v/>
      </c>
      <c r="Q157" s="35" t="str">
        <f aca="false">IF(OR($A157="",$K157=0),"",$N157/$K157)</f>
        <v/>
      </c>
      <c r="R157" s="27"/>
      <c r="S157" s="32"/>
    </row>
    <row r="158" customFormat="false" ht="15.75" hidden="false" customHeight="true" outlineLevel="0" collapsed="false">
      <c r="A158" s="27"/>
      <c r="B158" s="28"/>
      <c r="C158" s="27"/>
      <c r="D158" s="29"/>
      <c r="E158" s="29"/>
      <c r="F158" s="41"/>
      <c r="G158" s="41"/>
      <c r="H158" s="49"/>
      <c r="I158" s="49"/>
      <c r="J158" s="50" t="str">
        <f aca="false">IF(OR($A158="",$H158=0),"",$I158/$H158)</f>
        <v/>
      </c>
      <c r="K158" s="30" t="str">
        <f aca="false">IF($A158="","",COUNTIFS('Lead Management'!$O$4:$O$1003,$C158,'Lead Management'!$P$4:$P$1003,"&gt;="&amp;$D158,'Lead Management'!$P$4:$P$1003,"&lt;="&amp;$E158))</f>
        <v/>
      </c>
      <c r="L158" s="34" t="str">
        <f aca="false">IF(OR($A158="",$K158=0),"",$G158/$K158)</f>
        <v/>
      </c>
      <c r="M158" s="30" t="str">
        <f aca="false">IF($A158="","",COUNTIFS('Lead Management'!$O$4:$O$1003,$C158,'Lead Management'!$P$4:$P$1003,"&gt;="&amp;$D158,'Lead Management'!$P$4:$P$1003,"&lt;="&amp;$E158,'Lead Management'!$V$4:$V$1003,"Yes"))</f>
        <v/>
      </c>
      <c r="N158" s="30" t="str">
        <f aca="false">IF($A158="","",COUNTIFS(Customers!$S$4:$S$1003,$C158,Customers!$T$4:$T$1003,"&gt;="&amp;$D158,Customers!$T$4:$T$1003,"&lt;="&amp;$E158))</f>
        <v/>
      </c>
      <c r="O158" s="34" t="str">
        <f aca="false">IF($A158="","",SUMIFS(Customers!$M$4:$M$1003,Customers!$S$4:$S$1003,$C158,Customers!$T$4:$T$1003,"&gt;="&amp;$D158,Customers!$T$4:$T$1003,"&lt;="&amp;$E158))</f>
        <v/>
      </c>
      <c r="P158" s="35" t="str">
        <f aca="false">IF(OR($A158="",$G158=0),"",($O158-$G158)/$G158)</f>
        <v/>
      </c>
      <c r="Q158" s="35" t="str">
        <f aca="false">IF(OR($A158="",$K158=0),"",$N158/$K158)</f>
        <v/>
      </c>
      <c r="R158" s="27"/>
      <c r="S158" s="32"/>
    </row>
    <row r="159" customFormat="false" ht="15.75" hidden="false" customHeight="true" outlineLevel="0" collapsed="false">
      <c r="A159" s="27"/>
      <c r="B159" s="28"/>
      <c r="C159" s="27"/>
      <c r="D159" s="29"/>
      <c r="E159" s="29"/>
      <c r="F159" s="41"/>
      <c r="G159" s="41"/>
      <c r="H159" s="49"/>
      <c r="I159" s="49"/>
      <c r="J159" s="50" t="str">
        <f aca="false">IF(OR($A159="",$H159=0),"",$I159/$H159)</f>
        <v/>
      </c>
      <c r="K159" s="30" t="str">
        <f aca="false">IF($A159="","",COUNTIFS('Lead Management'!$O$4:$O$1003,$C159,'Lead Management'!$P$4:$P$1003,"&gt;="&amp;$D159,'Lead Management'!$P$4:$P$1003,"&lt;="&amp;$E159))</f>
        <v/>
      </c>
      <c r="L159" s="34" t="str">
        <f aca="false">IF(OR($A159="",$K159=0),"",$G159/$K159)</f>
        <v/>
      </c>
      <c r="M159" s="30" t="str">
        <f aca="false">IF($A159="","",COUNTIFS('Lead Management'!$O$4:$O$1003,$C159,'Lead Management'!$P$4:$P$1003,"&gt;="&amp;$D159,'Lead Management'!$P$4:$P$1003,"&lt;="&amp;$E159,'Lead Management'!$V$4:$V$1003,"Yes"))</f>
        <v/>
      </c>
      <c r="N159" s="30" t="str">
        <f aca="false">IF($A159="","",COUNTIFS(Customers!$S$4:$S$1003,$C159,Customers!$T$4:$T$1003,"&gt;="&amp;$D159,Customers!$T$4:$T$1003,"&lt;="&amp;$E159))</f>
        <v/>
      </c>
      <c r="O159" s="34" t="str">
        <f aca="false">IF($A159="","",SUMIFS(Customers!$M$4:$M$1003,Customers!$S$4:$S$1003,$C159,Customers!$T$4:$T$1003,"&gt;="&amp;$D159,Customers!$T$4:$T$1003,"&lt;="&amp;$E159))</f>
        <v/>
      </c>
      <c r="P159" s="35" t="str">
        <f aca="false">IF(OR($A159="",$G159=0),"",($O159-$G159)/$G159)</f>
        <v/>
      </c>
      <c r="Q159" s="35" t="str">
        <f aca="false">IF(OR($A159="",$K159=0),"",$N159/$K159)</f>
        <v/>
      </c>
      <c r="R159" s="27"/>
      <c r="S159" s="32"/>
    </row>
    <row r="160" customFormat="false" ht="15.75" hidden="false" customHeight="true" outlineLevel="0" collapsed="false">
      <c r="A160" s="27"/>
      <c r="B160" s="28"/>
      <c r="C160" s="27"/>
      <c r="D160" s="29"/>
      <c r="E160" s="29"/>
      <c r="F160" s="41"/>
      <c r="G160" s="41"/>
      <c r="H160" s="49"/>
      <c r="I160" s="49"/>
      <c r="J160" s="50" t="str">
        <f aca="false">IF(OR($A160="",$H160=0),"",$I160/$H160)</f>
        <v/>
      </c>
      <c r="K160" s="30" t="str">
        <f aca="false">IF($A160="","",COUNTIFS('Lead Management'!$O$4:$O$1003,$C160,'Lead Management'!$P$4:$P$1003,"&gt;="&amp;$D160,'Lead Management'!$P$4:$P$1003,"&lt;="&amp;$E160))</f>
        <v/>
      </c>
      <c r="L160" s="34" t="str">
        <f aca="false">IF(OR($A160="",$K160=0),"",$G160/$K160)</f>
        <v/>
      </c>
      <c r="M160" s="30" t="str">
        <f aca="false">IF($A160="","",COUNTIFS('Lead Management'!$O$4:$O$1003,$C160,'Lead Management'!$P$4:$P$1003,"&gt;="&amp;$D160,'Lead Management'!$P$4:$P$1003,"&lt;="&amp;$E160,'Lead Management'!$V$4:$V$1003,"Yes"))</f>
        <v/>
      </c>
      <c r="N160" s="30" t="str">
        <f aca="false">IF($A160="","",COUNTIFS(Customers!$S$4:$S$1003,$C160,Customers!$T$4:$T$1003,"&gt;="&amp;$D160,Customers!$T$4:$T$1003,"&lt;="&amp;$E160))</f>
        <v/>
      </c>
      <c r="O160" s="34" t="str">
        <f aca="false">IF($A160="","",SUMIFS(Customers!$M$4:$M$1003,Customers!$S$4:$S$1003,$C160,Customers!$T$4:$T$1003,"&gt;="&amp;$D160,Customers!$T$4:$T$1003,"&lt;="&amp;$E160))</f>
        <v/>
      </c>
      <c r="P160" s="35" t="str">
        <f aca="false">IF(OR($A160="",$G160=0),"",($O160-$G160)/$G160)</f>
        <v/>
      </c>
      <c r="Q160" s="35" t="str">
        <f aca="false">IF(OR($A160="",$K160=0),"",$N160/$K160)</f>
        <v/>
      </c>
      <c r="R160" s="27"/>
      <c r="S160" s="32"/>
    </row>
    <row r="161" customFormat="false" ht="15.75" hidden="false" customHeight="true" outlineLevel="0" collapsed="false">
      <c r="A161" s="27"/>
      <c r="B161" s="28"/>
      <c r="C161" s="27"/>
      <c r="D161" s="29"/>
      <c r="E161" s="29"/>
      <c r="F161" s="41"/>
      <c r="G161" s="41"/>
      <c r="H161" s="49"/>
      <c r="I161" s="49"/>
      <c r="J161" s="50" t="str">
        <f aca="false">IF(OR($A161="",$H161=0),"",$I161/$H161)</f>
        <v/>
      </c>
      <c r="K161" s="30" t="str">
        <f aca="false">IF($A161="","",COUNTIFS('Lead Management'!$O$4:$O$1003,$C161,'Lead Management'!$P$4:$P$1003,"&gt;="&amp;$D161,'Lead Management'!$P$4:$P$1003,"&lt;="&amp;$E161))</f>
        <v/>
      </c>
      <c r="L161" s="34" t="str">
        <f aca="false">IF(OR($A161="",$K161=0),"",$G161/$K161)</f>
        <v/>
      </c>
      <c r="M161" s="30" t="str">
        <f aca="false">IF($A161="","",COUNTIFS('Lead Management'!$O$4:$O$1003,$C161,'Lead Management'!$P$4:$P$1003,"&gt;="&amp;$D161,'Lead Management'!$P$4:$P$1003,"&lt;="&amp;$E161,'Lead Management'!$V$4:$V$1003,"Yes"))</f>
        <v/>
      </c>
      <c r="N161" s="30" t="str">
        <f aca="false">IF($A161="","",COUNTIFS(Customers!$S$4:$S$1003,$C161,Customers!$T$4:$T$1003,"&gt;="&amp;$D161,Customers!$T$4:$T$1003,"&lt;="&amp;$E161))</f>
        <v/>
      </c>
      <c r="O161" s="34" t="str">
        <f aca="false">IF($A161="","",SUMIFS(Customers!$M$4:$M$1003,Customers!$S$4:$S$1003,$C161,Customers!$T$4:$T$1003,"&gt;="&amp;$D161,Customers!$T$4:$T$1003,"&lt;="&amp;$E161))</f>
        <v/>
      </c>
      <c r="P161" s="35" t="str">
        <f aca="false">IF(OR($A161="",$G161=0),"",($O161-$G161)/$G161)</f>
        <v/>
      </c>
      <c r="Q161" s="35" t="str">
        <f aca="false">IF(OR($A161="",$K161=0),"",$N161/$K161)</f>
        <v/>
      </c>
      <c r="R161" s="27"/>
      <c r="S161" s="32"/>
    </row>
    <row r="162" customFormat="false" ht="15.75" hidden="false" customHeight="true" outlineLevel="0" collapsed="false">
      <c r="A162" s="27"/>
      <c r="B162" s="28"/>
      <c r="C162" s="27"/>
      <c r="D162" s="29"/>
      <c r="E162" s="29"/>
      <c r="F162" s="41"/>
      <c r="G162" s="41"/>
      <c r="H162" s="49"/>
      <c r="I162" s="49"/>
      <c r="J162" s="50" t="str">
        <f aca="false">IF(OR($A162="",$H162=0),"",$I162/$H162)</f>
        <v/>
      </c>
      <c r="K162" s="30" t="str">
        <f aca="false">IF($A162="","",COUNTIFS('Lead Management'!$O$4:$O$1003,$C162,'Lead Management'!$P$4:$P$1003,"&gt;="&amp;$D162,'Lead Management'!$P$4:$P$1003,"&lt;="&amp;$E162))</f>
        <v/>
      </c>
      <c r="L162" s="34" t="str">
        <f aca="false">IF(OR($A162="",$K162=0),"",$G162/$K162)</f>
        <v/>
      </c>
      <c r="M162" s="30" t="str">
        <f aca="false">IF($A162="","",COUNTIFS('Lead Management'!$O$4:$O$1003,$C162,'Lead Management'!$P$4:$P$1003,"&gt;="&amp;$D162,'Lead Management'!$P$4:$P$1003,"&lt;="&amp;$E162,'Lead Management'!$V$4:$V$1003,"Yes"))</f>
        <v/>
      </c>
      <c r="N162" s="30" t="str">
        <f aca="false">IF($A162="","",COUNTIFS(Customers!$S$4:$S$1003,$C162,Customers!$T$4:$T$1003,"&gt;="&amp;$D162,Customers!$T$4:$T$1003,"&lt;="&amp;$E162))</f>
        <v/>
      </c>
      <c r="O162" s="34" t="str">
        <f aca="false">IF($A162="","",SUMIFS(Customers!$M$4:$M$1003,Customers!$S$4:$S$1003,$C162,Customers!$T$4:$T$1003,"&gt;="&amp;$D162,Customers!$T$4:$T$1003,"&lt;="&amp;$E162))</f>
        <v/>
      </c>
      <c r="P162" s="35" t="str">
        <f aca="false">IF(OR($A162="",$G162=0),"",($O162-$G162)/$G162)</f>
        <v/>
      </c>
      <c r="Q162" s="35" t="str">
        <f aca="false">IF(OR($A162="",$K162=0),"",$N162/$K162)</f>
        <v/>
      </c>
      <c r="R162" s="27"/>
      <c r="S162" s="32"/>
    </row>
    <row r="163" customFormat="false" ht="15.75" hidden="false" customHeight="true" outlineLevel="0" collapsed="false">
      <c r="A163" s="27"/>
      <c r="B163" s="28"/>
      <c r="C163" s="27"/>
      <c r="D163" s="29"/>
      <c r="E163" s="29"/>
      <c r="F163" s="41"/>
      <c r="G163" s="41"/>
      <c r="H163" s="49"/>
      <c r="I163" s="49"/>
      <c r="J163" s="50" t="str">
        <f aca="false">IF(OR($A163="",$H163=0),"",$I163/$H163)</f>
        <v/>
      </c>
      <c r="K163" s="30" t="str">
        <f aca="false">IF($A163="","",COUNTIFS('Lead Management'!$O$4:$O$1003,$C163,'Lead Management'!$P$4:$P$1003,"&gt;="&amp;$D163,'Lead Management'!$P$4:$P$1003,"&lt;="&amp;$E163))</f>
        <v/>
      </c>
      <c r="L163" s="34" t="str">
        <f aca="false">IF(OR($A163="",$K163=0),"",$G163/$K163)</f>
        <v/>
      </c>
      <c r="M163" s="30" t="str">
        <f aca="false">IF($A163="","",COUNTIFS('Lead Management'!$O$4:$O$1003,$C163,'Lead Management'!$P$4:$P$1003,"&gt;="&amp;$D163,'Lead Management'!$P$4:$P$1003,"&lt;="&amp;$E163,'Lead Management'!$V$4:$V$1003,"Yes"))</f>
        <v/>
      </c>
      <c r="N163" s="30" t="str">
        <f aca="false">IF($A163="","",COUNTIFS(Customers!$S$4:$S$1003,$C163,Customers!$T$4:$T$1003,"&gt;="&amp;$D163,Customers!$T$4:$T$1003,"&lt;="&amp;$E163))</f>
        <v/>
      </c>
      <c r="O163" s="34" t="str">
        <f aca="false">IF($A163="","",SUMIFS(Customers!$M$4:$M$1003,Customers!$S$4:$S$1003,$C163,Customers!$T$4:$T$1003,"&gt;="&amp;$D163,Customers!$T$4:$T$1003,"&lt;="&amp;$E163))</f>
        <v/>
      </c>
      <c r="P163" s="35" t="str">
        <f aca="false">IF(OR($A163="",$G163=0),"",($O163-$G163)/$G163)</f>
        <v/>
      </c>
      <c r="Q163" s="35" t="str">
        <f aca="false">IF(OR($A163="",$K163=0),"",$N163/$K163)</f>
        <v/>
      </c>
      <c r="R163" s="27"/>
      <c r="S163" s="32"/>
    </row>
    <row r="164" customFormat="false" ht="15.75" hidden="false" customHeight="true" outlineLevel="0" collapsed="false">
      <c r="A164" s="27"/>
      <c r="B164" s="28"/>
      <c r="C164" s="27"/>
      <c r="D164" s="29"/>
      <c r="E164" s="29"/>
      <c r="F164" s="41"/>
      <c r="G164" s="41"/>
      <c r="H164" s="49"/>
      <c r="I164" s="49"/>
      <c r="J164" s="50" t="str">
        <f aca="false">IF(OR($A164="",$H164=0),"",$I164/$H164)</f>
        <v/>
      </c>
      <c r="K164" s="30" t="str">
        <f aca="false">IF($A164="","",COUNTIFS('Lead Management'!$O$4:$O$1003,$C164,'Lead Management'!$P$4:$P$1003,"&gt;="&amp;$D164,'Lead Management'!$P$4:$P$1003,"&lt;="&amp;$E164))</f>
        <v/>
      </c>
      <c r="L164" s="34" t="str">
        <f aca="false">IF(OR($A164="",$K164=0),"",$G164/$K164)</f>
        <v/>
      </c>
      <c r="M164" s="30" t="str">
        <f aca="false">IF($A164="","",COUNTIFS('Lead Management'!$O$4:$O$1003,$C164,'Lead Management'!$P$4:$P$1003,"&gt;="&amp;$D164,'Lead Management'!$P$4:$P$1003,"&lt;="&amp;$E164,'Lead Management'!$V$4:$V$1003,"Yes"))</f>
        <v/>
      </c>
      <c r="N164" s="30" t="str">
        <f aca="false">IF($A164="","",COUNTIFS(Customers!$S$4:$S$1003,$C164,Customers!$T$4:$T$1003,"&gt;="&amp;$D164,Customers!$T$4:$T$1003,"&lt;="&amp;$E164))</f>
        <v/>
      </c>
      <c r="O164" s="34" t="str">
        <f aca="false">IF($A164="","",SUMIFS(Customers!$M$4:$M$1003,Customers!$S$4:$S$1003,$C164,Customers!$T$4:$T$1003,"&gt;="&amp;$D164,Customers!$T$4:$T$1003,"&lt;="&amp;$E164))</f>
        <v/>
      </c>
      <c r="P164" s="35" t="str">
        <f aca="false">IF(OR($A164="",$G164=0),"",($O164-$G164)/$G164)</f>
        <v/>
      </c>
      <c r="Q164" s="35" t="str">
        <f aca="false">IF(OR($A164="",$K164=0),"",$N164/$K164)</f>
        <v/>
      </c>
      <c r="R164" s="27"/>
      <c r="S164" s="32"/>
    </row>
    <row r="165" customFormat="false" ht="15.75" hidden="false" customHeight="true" outlineLevel="0" collapsed="false">
      <c r="A165" s="27"/>
      <c r="B165" s="28"/>
      <c r="C165" s="27"/>
      <c r="D165" s="29"/>
      <c r="E165" s="29"/>
      <c r="F165" s="41"/>
      <c r="G165" s="41"/>
      <c r="H165" s="49"/>
      <c r="I165" s="49"/>
      <c r="J165" s="50" t="str">
        <f aca="false">IF(OR($A165="",$H165=0),"",$I165/$H165)</f>
        <v/>
      </c>
      <c r="K165" s="30" t="str">
        <f aca="false">IF($A165="","",COUNTIFS('Lead Management'!$O$4:$O$1003,$C165,'Lead Management'!$P$4:$P$1003,"&gt;="&amp;$D165,'Lead Management'!$P$4:$P$1003,"&lt;="&amp;$E165))</f>
        <v/>
      </c>
      <c r="L165" s="34" t="str">
        <f aca="false">IF(OR($A165="",$K165=0),"",$G165/$K165)</f>
        <v/>
      </c>
      <c r="M165" s="30" t="str">
        <f aca="false">IF($A165="","",COUNTIFS('Lead Management'!$O$4:$O$1003,$C165,'Lead Management'!$P$4:$P$1003,"&gt;="&amp;$D165,'Lead Management'!$P$4:$P$1003,"&lt;="&amp;$E165,'Lead Management'!$V$4:$V$1003,"Yes"))</f>
        <v/>
      </c>
      <c r="N165" s="30" t="str">
        <f aca="false">IF($A165="","",COUNTIFS(Customers!$S$4:$S$1003,$C165,Customers!$T$4:$T$1003,"&gt;="&amp;$D165,Customers!$T$4:$T$1003,"&lt;="&amp;$E165))</f>
        <v/>
      </c>
      <c r="O165" s="34" t="str">
        <f aca="false">IF($A165="","",SUMIFS(Customers!$M$4:$M$1003,Customers!$S$4:$S$1003,$C165,Customers!$T$4:$T$1003,"&gt;="&amp;$D165,Customers!$T$4:$T$1003,"&lt;="&amp;$E165))</f>
        <v/>
      </c>
      <c r="P165" s="35" t="str">
        <f aca="false">IF(OR($A165="",$G165=0),"",($O165-$G165)/$G165)</f>
        <v/>
      </c>
      <c r="Q165" s="35" t="str">
        <f aca="false">IF(OR($A165="",$K165=0),"",$N165/$K165)</f>
        <v/>
      </c>
      <c r="R165" s="27"/>
      <c r="S165" s="32"/>
    </row>
    <row r="166" customFormat="false" ht="15.75" hidden="false" customHeight="true" outlineLevel="0" collapsed="false">
      <c r="A166" s="27"/>
      <c r="B166" s="28"/>
      <c r="C166" s="27"/>
      <c r="D166" s="29"/>
      <c r="E166" s="29"/>
      <c r="F166" s="41"/>
      <c r="G166" s="41"/>
      <c r="H166" s="49"/>
      <c r="I166" s="49"/>
      <c r="J166" s="50" t="str">
        <f aca="false">IF(OR($A166="",$H166=0),"",$I166/$H166)</f>
        <v/>
      </c>
      <c r="K166" s="30" t="str">
        <f aca="false">IF($A166="","",COUNTIFS('Lead Management'!$O$4:$O$1003,$C166,'Lead Management'!$P$4:$P$1003,"&gt;="&amp;$D166,'Lead Management'!$P$4:$P$1003,"&lt;="&amp;$E166))</f>
        <v/>
      </c>
      <c r="L166" s="34" t="str">
        <f aca="false">IF(OR($A166="",$K166=0),"",$G166/$K166)</f>
        <v/>
      </c>
      <c r="M166" s="30" t="str">
        <f aca="false">IF($A166="","",COUNTIFS('Lead Management'!$O$4:$O$1003,$C166,'Lead Management'!$P$4:$P$1003,"&gt;="&amp;$D166,'Lead Management'!$P$4:$P$1003,"&lt;="&amp;$E166,'Lead Management'!$V$4:$V$1003,"Yes"))</f>
        <v/>
      </c>
      <c r="N166" s="30" t="str">
        <f aca="false">IF($A166="","",COUNTIFS(Customers!$S$4:$S$1003,$C166,Customers!$T$4:$T$1003,"&gt;="&amp;$D166,Customers!$T$4:$T$1003,"&lt;="&amp;$E166))</f>
        <v/>
      </c>
      <c r="O166" s="34" t="str">
        <f aca="false">IF($A166="","",SUMIFS(Customers!$M$4:$M$1003,Customers!$S$4:$S$1003,$C166,Customers!$T$4:$T$1003,"&gt;="&amp;$D166,Customers!$T$4:$T$1003,"&lt;="&amp;$E166))</f>
        <v/>
      </c>
      <c r="P166" s="35" t="str">
        <f aca="false">IF(OR($A166="",$G166=0),"",($O166-$G166)/$G166)</f>
        <v/>
      </c>
      <c r="Q166" s="35" t="str">
        <f aca="false">IF(OR($A166="",$K166=0),"",$N166/$K166)</f>
        <v/>
      </c>
      <c r="R166" s="27"/>
      <c r="S166" s="32"/>
    </row>
    <row r="167" customFormat="false" ht="15.75" hidden="false" customHeight="true" outlineLevel="0" collapsed="false">
      <c r="A167" s="27"/>
      <c r="B167" s="28"/>
      <c r="C167" s="27"/>
      <c r="D167" s="29"/>
      <c r="E167" s="29"/>
      <c r="F167" s="41"/>
      <c r="G167" s="41"/>
      <c r="H167" s="49"/>
      <c r="I167" s="49"/>
      <c r="J167" s="50" t="str">
        <f aca="false">IF(OR($A167="",$H167=0),"",$I167/$H167)</f>
        <v/>
      </c>
      <c r="K167" s="30" t="str">
        <f aca="false">IF($A167="","",COUNTIFS('Lead Management'!$O$4:$O$1003,$C167,'Lead Management'!$P$4:$P$1003,"&gt;="&amp;$D167,'Lead Management'!$P$4:$P$1003,"&lt;="&amp;$E167))</f>
        <v/>
      </c>
      <c r="L167" s="34" t="str">
        <f aca="false">IF(OR($A167="",$K167=0),"",$G167/$K167)</f>
        <v/>
      </c>
      <c r="M167" s="30" t="str">
        <f aca="false">IF($A167="","",COUNTIFS('Lead Management'!$O$4:$O$1003,$C167,'Lead Management'!$P$4:$P$1003,"&gt;="&amp;$D167,'Lead Management'!$P$4:$P$1003,"&lt;="&amp;$E167,'Lead Management'!$V$4:$V$1003,"Yes"))</f>
        <v/>
      </c>
      <c r="N167" s="30" t="str">
        <f aca="false">IF($A167="","",COUNTIFS(Customers!$S$4:$S$1003,$C167,Customers!$T$4:$T$1003,"&gt;="&amp;$D167,Customers!$T$4:$T$1003,"&lt;="&amp;$E167))</f>
        <v/>
      </c>
      <c r="O167" s="34" t="str">
        <f aca="false">IF($A167="","",SUMIFS(Customers!$M$4:$M$1003,Customers!$S$4:$S$1003,$C167,Customers!$T$4:$T$1003,"&gt;="&amp;$D167,Customers!$T$4:$T$1003,"&lt;="&amp;$E167))</f>
        <v/>
      </c>
      <c r="P167" s="35" t="str">
        <f aca="false">IF(OR($A167="",$G167=0),"",($O167-$G167)/$G167)</f>
        <v/>
      </c>
      <c r="Q167" s="35" t="str">
        <f aca="false">IF(OR($A167="",$K167=0),"",$N167/$K167)</f>
        <v/>
      </c>
      <c r="R167" s="27"/>
      <c r="S167" s="32"/>
    </row>
    <row r="168" customFormat="false" ht="15.75" hidden="false" customHeight="true" outlineLevel="0" collapsed="false">
      <c r="A168" s="27"/>
      <c r="B168" s="28"/>
      <c r="C168" s="27"/>
      <c r="D168" s="29"/>
      <c r="E168" s="29"/>
      <c r="F168" s="41"/>
      <c r="G168" s="41"/>
      <c r="H168" s="49"/>
      <c r="I168" s="49"/>
      <c r="J168" s="50" t="str">
        <f aca="false">IF(OR($A168="",$H168=0),"",$I168/$H168)</f>
        <v/>
      </c>
      <c r="K168" s="30" t="str">
        <f aca="false">IF($A168="","",COUNTIFS('Lead Management'!$O$4:$O$1003,$C168,'Lead Management'!$P$4:$P$1003,"&gt;="&amp;$D168,'Lead Management'!$P$4:$P$1003,"&lt;="&amp;$E168))</f>
        <v/>
      </c>
      <c r="L168" s="34" t="str">
        <f aca="false">IF(OR($A168="",$K168=0),"",$G168/$K168)</f>
        <v/>
      </c>
      <c r="M168" s="30" t="str">
        <f aca="false">IF($A168="","",COUNTIFS('Lead Management'!$O$4:$O$1003,$C168,'Lead Management'!$P$4:$P$1003,"&gt;="&amp;$D168,'Lead Management'!$P$4:$P$1003,"&lt;="&amp;$E168,'Lead Management'!$V$4:$V$1003,"Yes"))</f>
        <v/>
      </c>
      <c r="N168" s="30" t="str">
        <f aca="false">IF($A168="","",COUNTIFS(Customers!$S$4:$S$1003,$C168,Customers!$T$4:$T$1003,"&gt;="&amp;$D168,Customers!$T$4:$T$1003,"&lt;="&amp;$E168))</f>
        <v/>
      </c>
      <c r="O168" s="34" t="str">
        <f aca="false">IF($A168="","",SUMIFS(Customers!$M$4:$M$1003,Customers!$S$4:$S$1003,$C168,Customers!$T$4:$T$1003,"&gt;="&amp;$D168,Customers!$T$4:$T$1003,"&lt;="&amp;$E168))</f>
        <v/>
      </c>
      <c r="P168" s="35" t="str">
        <f aca="false">IF(OR($A168="",$G168=0),"",($O168-$G168)/$G168)</f>
        <v/>
      </c>
      <c r="Q168" s="35" t="str">
        <f aca="false">IF(OR($A168="",$K168=0),"",$N168/$K168)</f>
        <v/>
      </c>
      <c r="R168" s="27"/>
      <c r="S168" s="32"/>
    </row>
    <row r="169" customFormat="false" ht="15.75" hidden="false" customHeight="true" outlineLevel="0" collapsed="false">
      <c r="A169" s="27"/>
      <c r="B169" s="28"/>
      <c r="C169" s="27"/>
      <c r="D169" s="29"/>
      <c r="E169" s="29"/>
      <c r="F169" s="41"/>
      <c r="G169" s="41"/>
      <c r="H169" s="49"/>
      <c r="I169" s="49"/>
      <c r="J169" s="50" t="str">
        <f aca="false">IF(OR($A169="",$H169=0),"",$I169/$H169)</f>
        <v/>
      </c>
      <c r="K169" s="30" t="str">
        <f aca="false">IF($A169="","",COUNTIFS('Lead Management'!$O$4:$O$1003,$C169,'Lead Management'!$P$4:$P$1003,"&gt;="&amp;$D169,'Lead Management'!$P$4:$P$1003,"&lt;="&amp;$E169))</f>
        <v/>
      </c>
      <c r="L169" s="34" t="str">
        <f aca="false">IF(OR($A169="",$K169=0),"",$G169/$K169)</f>
        <v/>
      </c>
      <c r="M169" s="30" t="str">
        <f aca="false">IF($A169="","",COUNTIFS('Lead Management'!$O$4:$O$1003,$C169,'Lead Management'!$P$4:$P$1003,"&gt;="&amp;$D169,'Lead Management'!$P$4:$P$1003,"&lt;="&amp;$E169,'Lead Management'!$V$4:$V$1003,"Yes"))</f>
        <v/>
      </c>
      <c r="N169" s="30" t="str">
        <f aca="false">IF($A169="","",COUNTIFS(Customers!$S$4:$S$1003,$C169,Customers!$T$4:$T$1003,"&gt;="&amp;$D169,Customers!$T$4:$T$1003,"&lt;="&amp;$E169))</f>
        <v/>
      </c>
      <c r="O169" s="34" t="str">
        <f aca="false">IF($A169="","",SUMIFS(Customers!$M$4:$M$1003,Customers!$S$4:$S$1003,$C169,Customers!$T$4:$T$1003,"&gt;="&amp;$D169,Customers!$T$4:$T$1003,"&lt;="&amp;$E169))</f>
        <v/>
      </c>
      <c r="P169" s="35" t="str">
        <f aca="false">IF(OR($A169="",$G169=0),"",($O169-$G169)/$G169)</f>
        <v/>
      </c>
      <c r="Q169" s="35" t="str">
        <f aca="false">IF(OR($A169="",$K169=0),"",$N169/$K169)</f>
        <v/>
      </c>
      <c r="R169" s="27"/>
      <c r="S169" s="32"/>
    </row>
    <row r="170" customFormat="false" ht="15.75" hidden="false" customHeight="true" outlineLevel="0" collapsed="false">
      <c r="A170" s="27"/>
      <c r="B170" s="28"/>
      <c r="C170" s="27"/>
      <c r="D170" s="29"/>
      <c r="E170" s="29"/>
      <c r="F170" s="41"/>
      <c r="G170" s="41"/>
      <c r="H170" s="49"/>
      <c r="I170" s="49"/>
      <c r="J170" s="50" t="str">
        <f aca="false">IF(OR($A170="",$H170=0),"",$I170/$H170)</f>
        <v/>
      </c>
      <c r="K170" s="30" t="str">
        <f aca="false">IF($A170="","",COUNTIFS('Lead Management'!$O$4:$O$1003,$C170,'Lead Management'!$P$4:$P$1003,"&gt;="&amp;$D170,'Lead Management'!$P$4:$P$1003,"&lt;="&amp;$E170))</f>
        <v/>
      </c>
      <c r="L170" s="34" t="str">
        <f aca="false">IF(OR($A170="",$K170=0),"",$G170/$K170)</f>
        <v/>
      </c>
      <c r="M170" s="30" t="str">
        <f aca="false">IF($A170="","",COUNTIFS('Lead Management'!$O$4:$O$1003,$C170,'Lead Management'!$P$4:$P$1003,"&gt;="&amp;$D170,'Lead Management'!$P$4:$P$1003,"&lt;="&amp;$E170,'Lead Management'!$V$4:$V$1003,"Yes"))</f>
        <v/>
      </c>
      <c r="N170" s="30" t="str">
        <f aca="false">IF($A170="","",COUNTIFS(Customers!$S$4:$S$1003,$C170,Customers!$T$4:$T$1003,"&gt;="&amp;$D170,Customers!$T$4:$T$1003,"&lt;="&amp;$E170))</f>
        <v/>
      </c>
      <c r="O170" s="34" t="str">
        <f aca="false">IF($A170="","",SUMIFS(Customers!$M$4:$M$1003,Customers!$S$4:$S$1003,$C170,Customers!$T$4:$T$1003,"&gt;="&amp;$D170,Customers!$T$4:$T$1003,"&lt;="&amp;$E170))</f>
        <v/>
      </c>
      <c r="P170" s="35" t="str">
        <f aca="false">IF(OR($A170="",$G170=0),"",($O170-$G170)/$G170)</f>
        <v/>
      </c>
      <c r="Q170" s="35" t="str">
        <f aca="false">IF(OR($A170="",$K170=0),"",$N170/$K170)</f>
        <v/>
      </c>
      <c r="R170" s="27"/>
      <c r="S170" s="32"/>
    </row>
    <row r="171" customFormat="false" ht="15.75" hidden="false" customHeight="true" outlineLevel="0" collapsed="false">
      <c r="A171" s="27"/>
      <c r="B171" s="28"/>
      <c r="C171" s="27"/>
      <c r="D171" s="29"/>
      <c r="E171" s="29"/>
      <c r="F171" s="41"/>
      <c r="G171" s="41"/>
      <c r="H171" s="49"/>
      <c r="I171" s="49"/>
      <c r="J171" s="50" t="str">
        <f aca="false">IF(OR($A171="",$H171=0),"",$I171/$H171)</f>
        <v/>
      </c>
      <c r="K171" s="30" t="str">
        <f aca="false">IF($A171="","",COUNTIFS('Lead Management'!$O$4:$O$1003,$C171,'Lead Management'!$P$4:$P$1003,"&gt;="&amp;$D171,'Lead Management'!$P$4:$P$1003,"&lt;="&amp;$E171))</f>
        <v/>
      </c>
      <c r="L171" s="34" t="str">
        <f aca="false">IF(OR($A171="",$K171=0),"",$G171/$K171)</f>
        <v/>
      </c>
      <c r="M171" s="30" t="str">
        <f aca="false">IF($A171="","",COUNTIFS('Lead Management'!$O$4:$O$1003,$C171,'Lead Management'!$P$4:$P$1003,"&gt;="&amp;$D171,'Lead Management'!$P$4:$P$1003,"&lt;="&amp;$E171,'Lead Management'!$V$4:$V$1003,"Yes"))</f>
        <v/>
      </c>
      <c r="N171" s="30" t="str">
        <f aca="false">IF($A171="","",COUNTIFS(Customers!$S$4:$S$1003,$C171,Customers!$T$4:$T$1003,"&gt;="&amp;$D171,Customers!$T$4:$T$1003,"&lt;="&amp;$E171))</f>
        <v/>
      </c>
      <c r="O171" s="34" t="str">
        <f aca="false">IF($A171="","",SUMIFS(Customers!$M$4:$M$1003,Customers!$S$4:$S$1003,$C171,Customers!$T$4:$T$1003,"&gt;="&amp;$D171,Customers!$T$4:$T$1003,"&lt;="&amp;$E171))</f>
        <v/>
      </c>
      <c r="P171" s="35" t="str">
        <f aca="false">IF(OR($A171="",$G171=0),"",($O171-$G171)/$G171)</f>
        <v/>
      </c>
      <c r="Q171" s="35" t="str">
        <f aca="false">IF(OR($A171="",$K171=0),"",$N171/$K171)</f>
        <v/>
      </c>
      <c r="R171" s="27"/>
      <c r="S171" s="32"/>
    </row>
    <row r="172" customFormat="false" ht="15.75" hidden="false" customHeight="true" outlineLevel="0" collapsed="false">
      <c r="A172" s="27"/>
      <c r="B172" s="28"/>
      <c r="C172" s="27"/>
      <c r="D172" s="29"/>
      <c r="E172" s="29"/>
      <c r="F172" s="41"/>
      <c r="G172" s="41"/>
      <c r="H172" s="49"/>
      <c r="I172" s="49"/>
      <c r="J172" s="50" t="str">
        <f aca="false">IF(OR($A172="",$H172=0),"",$I172/$H172)</f>
        <v/>
      </c>
      <c r="K172" s="30" t="str">
        <f aca="false">IF($A172="","",COUNTIFS('Lead Management'!$O$4:$O$1003,$C172,'Lead Management'!$P$4:$P$1003,"&gt;="&amp;$D172,'Lead Management'!$P$4:$P$1003,"&lt;="&amp;$E172))</f>
        <v/>
      </c>
      <c r="L172" s="34" t="str">
        <f aca="false">IF(OR($A172="",$K172=0),"",$G172/$K172)</f>
        <v/>
      </c>
      <c r="M172" s="30" t="str">
        <f aca="false">IF($A172="","",COUNTIFS('Lead Management'!$O$4:$O$1003,$C172,'Lead Management'!$P$4:$P$1003,"&gt;="&amp;$D172,'Lead Management'!$P$4:$P$1003,"&lt;="&amp;$E172,'Lead Management'!$V$4:$V$1003,"Yes"))</f>
        <v/>
      </c>
      <c r="N172" s="30" t="str">
        <f aca="false">IF($A172="","",COUNTIFS(Customers!$S$4:$S$1003,$C172,Customers!$T$4:$T$1003,"&gt;="&amp;$D172,Customers!$T$4:$T$1003,"&lt;="&amp;$E172))</f>
        <v/>
      </c>
      <c r="O172" s="34" t="str">
        <f aca="false">IF($A172="","",SUMIFS(Customers!$M$4:$M$1003,Customers!$S$4:$S$1003,$C172,Customers!$T$4:$T$1003,"&gt;="&amp;$D172,Customers!$T$4:$T$1003,"&lt;="&amp;$E172))</f>
        <v/>
      </c>
      <c r="P172" s="35" t="str">
        <f aca="false">IF(OR($A172="",$G172=0),"",($O172-$G172)/$G172)</f>
        <v/>
      </c>
      <c r="Q172" s="35" t="str">
        <f aca="false">IF(OR($A172="",$K172=0),"",$N172/$K172)</f>
        <v/>
      </c>
      <c r="R172" s="27"/>
      <c r="S172" s="32"/>
    </row>
    <row r="173" customFormat="false" ht="15.75" hidden="false" customHeight="true" outlineLevel="0" collapsed="false">
      <c r="A173" s="27"/>
      <c r="B173" s="28"/>
      <c r="C173" s="27"/>
      <c r="D173" s="29"/>
      <c r="E173" s="29"/>
      <c r="F173" s="41"/>
      <c r="G173" s="41"/>
      <c r="H173" s="49"/>
      <c r="I173" s="49"/>
      <c r="J173" s="50" t="str">
        <f aca="false">IF(OR($A173="",$H173=0),"",$I173/$H173)</f>
        <v/>
      </c>
      <c r="K173" s="30" t="str">
        <f aca="false">IF($A173="","",COUNTIFS('Lead Management'!$O$4:$O$1003,$C173,'Lead Management'!$P$4:$P$1003,"&gt;="&amp;$D173,'Lead Management'!$P$4:$P$1003,"&lt;="&amp;$E173))</f>
        <v/>
      </c>
      <c r="L173" s="34" t="str">
        <f aca="false">IF(OR($A173="",$K173=0),"",$G173/$K173)</f>
        <v/>
      </c>
      <c r="M173" s="30" t="str">
        <f aca="false">IF($A173="","",COUNTIFS('Lead Management'!$O$4:$O$1003,$C173,'Lead Management'!$P$4:$P$1003,"&gt;="&amp;$D173,'Lead Management'!$P$4:$P$1003,"&lt;="&amp;$E173,'Lead Management'!$V$4:$V$1003,"Yes"))</f>
        <v/>
      </c>
      <c r="N173" s="30" t="str">
        <f aca="false">IF($A173="","",COUNTIFS(Customers!$S$4:$S$1003,$C173,Customers!$T$4:$T$1003,"&gt;="&amp;$D173,Customers!$T$4:$T$1003,"&lt;="&amp;$E173))</f>
        <v/>
      </c>
      <c r="O173" s="34" t="str">
        <f aca="false">IF($A173="","",SUMIFS(Customers!$M$4:$M$1003,Customers!$S$4:$S$1003,$C173,Customers!$T$4:$T$1003,"&gt;="&amp;$D173,Customers!$T$4:$T$1003,"&lt;="&amp;$E173))</f>
        <v/>
      </c>
      <c r="P173" s="35" t="str">
        <f aca="false">IF(OR($A173="",$G173=0),"",($O173-$G173)/$G173)</f>
        <v/>
      </c>
      <c r="Q173" s="35" t="str">
        <f aca="false">IF(OR($A173="",$K173=0),"",$N173/$K173)</f>
        <v/>
      </c>
      <c r="R173" s="27"/>
      <c r="S173" s="32"/>
    </row>
    <row r="174" customFormat="false" ht="15.75" hidden="false" customHeight="true" outlineLevel="0" collapsed="false">
      <c r="A174" s="27"/>
      <c r="B174" s="28"/>
      <c r="C174" s="27"/>
      <c r="D174" s="29"/>
      <c r="E174" s="29"/>
      <c r="F174" s="41"/>
      <c r="G174" s="41"/>
      <c r="H174" s="49"/>
      <c r="I174" s="49"/>
      <c r="J174" s="50" t="str">
        <f aca="false">IF(OR($A174="",$H174=0),"",$I174/$H174)</f>
        <v/>
      </c>
      <c r="K174" s="30" t="str">
        <f aca="false">IF($A174="","",COUNTIFS('Lead Management'!$O$4:$O$1003,$C174,'Lead Management'!$P$4:$P$1003,"&gt;="&amp;$D174,'Lead Management'!$P$4:$P$1003,"&lt;="&amp;$E174))</f>
        <v/>
      </c>
      <c r="L174" s="34" t="str">
        <f aca="false">IF(OR($A174="",$K174=0),"",$G174/$K174)</f>
        <v/>
      </c>
      <c r="M174" s="30" t="str">
        <f aca="false">IF($A174="","",COUNTIFS('Lead Management'!$O$4:$O$1003,$C174,'Lead Management'!$P$4:$P$1003,"&gt;="&amp;$D174,'Lead Management'!$P$4:$P$1003,"&lt;="&amp;$E174,'Lead Management'!$V$4:$V$1003,"Yes"))</f>
        <v/>
      </c>
      <c r="N174" s="30" t="str">
        <f aca="false">IF($A174="","",COUNTIFS(Customers!$S$4:$S$1003,$C174,Customers!$T$4:$T$1003,"&gt;="&amp;$D174,Customers!$T$4:$T$1003,"&lt;="&amp;$E174))</f>
        <v/>
      </c>
      <c r="O174" s="34" t="str">
        <f aca="false">IF($A174="","",SUMIFS(Customers!$M$4:$M$1003,Customers!$S$4:$S$1003,$C174,Customers!$T$4:$T$1003,"&gt;="&amp;$D174,Customers!$T$4:$T$1003,"&lt;="&amp;$E174))</f>
        <v/>
      </c>
      <c r="P174" s="35" t="str">
        <f aca="false">IF(OR($A174="",$G174=0),"",($O174-$G174)/$G174)</f>
        <v/>
      </c>
      <c r="Q174" s="35" t="str">
        <f aca="false">IF(OR($A174="",$K174=0),"",$N174/$K174)</f>
        <v/>
      </c>
      <c r="R174" s="27"/>
      <c r="S174" s="32"/>
    </row>
    <row r="175" customFormat="false" ht="15.75" hidden="false" customHeight="true" outlineLevel="0" collapsed="false">
      <c r="A175" s="27"/>
      <c r="B175" s="28"/>
      <c r="C175" s="27"/>
      <c r="D175" s="29"/>
      <c r="E175" s="29"/>
      <c r="F175" s="41"/>
      <c r="G175" s="41"/>
      <c r="H175" s="49"/>
      <c r="I175" s="49"/>
      <c r="J175" s="50" t="str">
        <f aca="false">IF(OR($A175="",$H175=0),"",$I175/$H175)</f>
        <v/>
      </c>
      <c r="K175" s="30" t="str">
        <f aca="false">IF($A175="","",COUNTIFS('Lead Management'!$O$4:$O$1003,$C175,'Lead Management'!$P$4:$P$1003,"&gt;="&amp;$D175,'Lead Management'!$P$4:$P$1003,"&lt;="&amp;$E175))</f>
        <v/>
      </c>
      <c r="L175" s="34" t="str">
        <f aca="false">IF(OR($A175="",$K175=0),"",$G175/$K175)</f>
        <v/>
      </c>
      <c r="M175" s="30" t="str">
        <f aca="false">IF($A175="","",COUNTIFS('Lead Management'!$O$4:$O$1003,$C175,'Lead Management'!$P$4:$P$1003,"&gt;="&amp;$D175,'Lead Management'!$P$4:$P$1003,"&lt;="&amp;$E175,'Lead Management'!$V$4:$V$1003,"Yes"))</f>
        <v/>
      </c>
      <c r="N175" s="30" t="str">
        <f aca="false">IF($A175="","",COUNTIFS(Customers!$S$4:$S$1003,$C175,Customers!$T$4:$T$1003,"&gt;="&amp;$D175,Customers!$T$4:$T$1003,"&lt;="&amp;$E175))</f>
        <v/>
      </c>
      <c r="O175" s="34" t="str">
        <f aca="false">IF($A175="","",SUMIFS(Customers!$M$4:$M$1003,Customers!$S$4:$S$1003,$C175,Customers!$T$4:$T$1003,"&gt;="&amp;$D175,Customers!$T$4:$T$1003,"&lt;="&amp;$E175))</f>
        <v/>
      </c>
      <c r="P175" s="35" t="str">
        <f aca="false">IF(OR($A175="",$G175=0),"",($O175-$G175)/$G175)</f>
        <v/>
      </c>
      <c r="Q175" s="35" t="str">
        <f aca="false">IF(OR($A175="",$K175=0),"",$N175/$K175)</f>
        <v/>
      </c>
      <c r="R175" s="27"/>
      <c r="S175" s="32"/>
    </row>
    <row r="176" customFormat="false" ht="15.75" hidden="false" customHeight="true" outlineLevel="0" collapsed="false">
      <c r="A176" s="27"/>
      <c r="B176" s="28"/>
      <c r="C176" s="27"/>
      <c r="D176" s="29"/>
      <c r="E176" s="29"/>
      <c r="F176" s="41"/>
      <c r="G176" s="41"/>
      <c r="H176" s="49"/>
      <c r="I176" s="49"/>
      <c r="J176" s="50" t="str">
        <f aca="false">IF(OR($A176="",$H176=0),"",$I176/$H176)</f>
        <v/>
      </c>
      <c r="K176" s="30" t="str">
        <f aca="false">IF($A176="","",COUNTIFS('Lead Management'!$O$4:$O$1003,$C176,'Lead Management'!$P$4:$P$1003,"&gt;="&amp;$D176,'Lead Management'!$P$4:$P$1003,"&lt;="&amp;$E176))</f>
        <v/>
      </c>
      <c r="L176" s="34" t="str">
        <f aca="false">IF(OR($A176="",$K176=0),"",$G176/$K176)</f>
        <v/>
      </c>
      <c r="M176" s="30" t="str">
        <f aca="false">IF($A176="","",COUNTIFS('Lead Management'!$O$4:$O$1003,$C176,'Lead Management'!$P$4:$P$1003,"&gt;="&amp;$D176,'Lead Management'!$P$4:$P$1003,"&lt;="&amp;$E176,'Lead Management'!$V$4:$V$1003,"Yes"))</f>
        <v/>
      </c>
      <c r="N176" s="30" t="str">
        <f aca="false">IF($A176="","",COUNTIFS(Customers!$S$4:$S$1003,$C176,Customers!$T$4:$T$1003,"&gt;="&amp;$D176,Customers!$T$4:$T$1003,"&lt;="&amp;$E176))</f>
        <v/>
      </c>
      <c r="O176" s="34" t="str">
        <f aca="false">IF($A176="","",SUMIFS(Customers!$M$4:$M$1003,Customers!$S$4:$S$1003,$C176,Customers!$T$4:$T$1003,"&gt;="&amp;$D176,Customers!$T$4:$T$1003,"&lt;="&amp;$E176))</f>
        <v/>
      </c>
      <c r="P176" s="35" t="str">
        <f aca="false">IF(OR($A176="",$G176=0),"",($O176-$G176)/$G176)</f>
        <v/>
      </c>
      <c r="Q176" s="35" t="str">
        <f aca="false">IF(OR($A176="",$K176=0),"",$N176/$K176)</f>
        <v/>
      </c>
      <c r="R176" s="27"/>
      <c r="S176" s="32"/>
    </row>
    <row r="177" customFormat="false" ht="15.75" hidden="false" customHeight="true" outlineLevel="0" collapsed="false">
      <c r="A177" s="27"/>
      <c r="B177" s="28"/>
      <c r="C177" s="27"/>
      <c r="D177" s="29"/>
      <c r="E177" s="29"/>
      <c r="F177" s="41"/>
      <c r="G177" s="41"/>
      <c r="H177" s="49"/>
      <c r="I177" s="49"/>
      <c r="J177" s="50" t="str">
        <f aca="false">IF(OR($A177="",$H177=0),"",$I177/$H177)</f>
        <v/>
      </c>
      <c r="K177" s="30" t="str">
        <f aca="false">IF($A177="","",COUNTIFS('Lead Management'!$O$4:$O$1003,$C177,'Lead Management'!$P$4:$P$1003,"&gt;="&amp;$D177,'Lead Management'!$P$4:$P$1003,"&lt;="&amp;$E177))</f>
        <v/>
      </c>
      <c r="L177" s="34" t="str">
        <f aca="false">IF(OR($A177="",$K177=0),"",$G177/$K177)</f>
        <v/>
      </c>
      <c r="M177" s="30" t="str">
        <f aca="false">IF($A177="","",COUNTIFS('Lead Management'!$O$4:$O$1003,$C177,'Lead Management'!$P$4:$P$1003,"&gt;="&amp;$D177,'Lead Management'!$P$4:$P$1003,"&lt;="&amp;$E177,'Lead Management'!$V$4:$V$1003,"Yes"))</f>
        <v/>
      </c>
      <c r="N177" s="30" t="str">
        <f aca="false">IF($A177="","",COUNTIFS(Customers!$S$4:$S$1003,$C177,Customers!$T$4:$T$1003,"&gt;="&amp;$D177,Customers!$T$4:$T$1003,"&lt;="&amp;$E177))</f>
        <v/>
      </c>
      <c r="O177" s="34" t="str">
        <f aca="false">IF($A177="","",SUMIFS(Customers!$M$4:$M$1003,Customers!$S$4:$S$1003,$C177,Customers!$T$4:$T$1003,"&gt;="&amp;$D177,Customers!$T$4:$T$1003,"&lt;="&amp;$E177))</f>
        <v/>
      </c>
      <c r="P177" s="35" t="str">
        <f aca="false">IF(OR($A177="",$G177=0),"",($O177-$G177)/$G177)</f>
        <v/>
      </c>
      <c r="Q177" s="35" t="str">
        <f aca="false">IF(OR($A177="",$K177=0),"",$N177/$K177)</f>
        <v/>
      </c>
      <c r="R177" s="27"/>
      <c r="S177" s="32"/>
    </row>
    <row r="178" customFormat="false" ht="15.75" hidden="false" customHeight="true" outlineLevel="0" collapsed="false">
      <c r="A178" s="27"/>
      <c r="B178" s="28"/>
      <c r="C178" s="27"/>
      <c r="D178" s="29"/>
      <c r="E178" s="29"/>
      <c r="F178" s="41"/>
      <c r="G178" s="41"/>
      <c r="H178" s="49"/>
      <c r="I178" s="49"/>
      <c r="J178" s="50" t="str">
        <f aca="false">IF(OR($A178="",$H178=0),"",$I178/$H178)</f>
        <v/>
      </c>
      <c r="K178" s="30" t="str">
        <f aca="false">IF($A178="","",COUNTIFS('Lead Management'!$O$4:$O$1003,$C178,'Lead Management'!$P$4:$P$1003,"&gt;="&amp;$D178,'Lead Management'!$P$4:$P$1003,"&lt;="&amp;$E178))</f>
        <v/>
      </c>
      <c r="L178" s="34" t="str">
        <f aca="false">IF(OR($A178="",$K178=0),"",$G178/$K178)</f>
        <v/>
      </c>
      <c r="M178" s="30" t="str">
        <f aca="false">IF($A178="","",COUNTIFS('Lead Management'!$O$4:$O$1003,$C178,'Lead Management'!$P$4:$P$1003,"&gt;="&amp;$D178,'Lead Management'!$P$4:$P$1003,"&lt;="&amp;$E178,'Lead Management'!$V$4:$V$1003,"Yes"))</f>
        <v/>
      </c>
      <c r="N178" s="30" t="str">
        <f aca="false">IF($A178="","",COUNTIFS(Customers!$S$4:$S$1003,$C178,Customers!$T$4:$T$1003,"&gt;="&amp;$D178,Customers!$T$4:$T$1003,"&lt;="&amp;$E178))</f>
        <v/>
      </c>
      <c r="O178" s="34" t="str">
        <f aca="false">IF($A178="","",SUMIFS(Customers!$M$4:$M$1003,Customers!$S$4:$S$1003,$C178,Customers!$T$4:$T$1003,"&gt;="&amp;$D178,Customers!$T$4:$T$1003,"&lt;="&amp;$E178))</f>
        <v/>
      </c>
      <c r="P178" s="35" t="str">
        <f aca="false">IF(OR($A178="",$G178=0),"",($O178-$G178)/$G178)</f>
        <v/>
      </c>
      <c r="Q178" s="35" t="str">
        <f aca="false">IF(OR($A178="",$K178=0),"",$N178/$K178)</f>
        <v/>
      </c>
      <c r="R178" s="27"/>
      <c r="S178" s="32"/>
    </row>
    <row r="179" customFormat="false" ht="15.75" hidden="false" customHeight="true" outlineLevel="0" collapsed="false">
      <c r="A179" s="27"/>
      <c r="B179" s="28"/>
      <c r="C179" s="27"/>
      <c r="D179" s="29"/>
      <c r="E179" s="29"/>
      <c r="F179" s="41"/>
      <c r="G179" s="41"/>
      <c r="H179" s="49"/>
      <c r="I179" s="49"/>
      <c r="J179" s="50" t="str">
        <f aca="false">IF(OR($A179="",$H179=0),"",$I179/$H179)</f>
        <v/>
      </c>
      <c r="K179" s="30" t="str">
        <f aca="false">IF($A179="","",COUNTIFS('Lead Management'!$O$4:$O$1003,$C179,'Lead Management'!$P$4:$P$1003,"&gt;="&amp;$D179,'Lead Management'!$P$4:$P$1003,"&lt;="&amp;$E179))</f>
        <v/>
      </c>
      <c r="L179" s="34" t="str">
        <f aca="false">IF(OR($A179="",$K179=0),"",$G179/$K179)</f>
        <v/>
      </c>
      <c r="M179" s="30" t="str">
        <f aca="false">IF($A179="","",COUNTIFS('Lead Management'!$O$4:$O$1003,$C179,'Lead Management'!$P$4:$P$1003,"&gt;="&amp;$D179,'Lead Management'!$P$4:$P$1003,"&lt;="&amp;$E179,'Lead Management'!$V$4:$V$1003,"Yes"))</f>
        <v/>
      </c>
      <c r="N179" s="30" t="str">
        <f aca="false">IF($A179="","",COUNTIFS(Customers!$S$4:$S$1003,$C179,Customers!$T$4:$T$1003,"&gt;="&amp;$D179,Customers!$T$4:$T$1003,"&lt;="&amp;$E179))</f>
        <v/>
      </c>
      <c r="O179" s="34" t="str">
        <f aca="false">IF($A179="","",SUMIFS(Customers!$M$4:$M$1003,Customers!$S$4:$S$1003,$C179,Customers!$T$4:$T$1003,"&gt;="&amp;$D179,Customers!$T$4:$T$1003,"&lt;="&amp;$E179))</f>
        <v/>
      </c>
      <c r="P179" s="35" t="str">
        <f aca="false">IF(OR($A179="",$G179=0),"",($O179-$G179)/$G179)</f>
        <v/>
      </c>
      <c r="Q179" s="35" t="str">
        <f aca="false">IF(OR($A179="",$K179=0),"",$N179/$K179)</f>
        <v/>
      </c>
      <c r="R179" s="27"/>
      <c r="S179" s="32"/>
    </row>
    <row r="180" customFormat="false" ht="15.75" hidden="false" customHeight="true" outlineLevel="0" collapsed="false">
      <c r="A180" s="27"/>
      <c r="B180" s="28"/>
      <c r="C180" s="27"/>
      <c r="D180" s="29"/>
      <c r="E180" s="29"/>
      <c r="F180" s="41"/>
      <c r="G180" s="41"/>
      <c r="H180" s="49"/>
      <c r="I180" s="49"/>
      <c r="J180" s="50" t="str">
        <f aca="false">IF(OR($A180="",$H180=0),"",$I180/$H180)</f>
        <v/>
      </c>
      <c r="K180" s="30" t="str">
        <f aca="false">IF($A180="","",COUNTIFS('Lead Management'!$O$4:$O$1003,$C180,'Lead Management'!$P$4:$P$1003,"&gt;="&amp;$D180,'Lead Management'!$P$4:$P$1003,"&lt;="&amp;$E180))</f>
        <v/>
      </c>
      <c r="L180" s="34" t="str">
        <f aca="false">IF(OR($A180="",$K180=0),"",$G180/$K180)</f>
        <v/>
      </c>
      <c r="M180" s="30" t="str">
        <f aca="false">IF($A180="","",COUNTIFS('Lead Management'!$O$4:$O$1003,$C180,'Lead Management'!$P$4:$P$1003,"&gt;="&amp;$D180,'Lead Management'!$P$4:$P$1003,"&lt;="&amp;$E180,'Lead Management'!$V$4:$V$1003,"Yes"))</f>
        <v/>
      </c>
      <c r="N180" s="30" t="str">
        <f aca="false">IF($A180="","",COUNTIFS(Customers!$S$4:$S$1003,$C180,Customers!$T$4:$T$1003,"&gt;="&amp;$D180,Customers!$T$4:$T$1003,"&lt;="&amp;$E180))</f>
        <v/>
      </c>
      <c r="O180" s="34" t="str">
        <f aca="false">IF($A180="","",SUMIFS(Customers!$M$4:$M$1003,Customers!$S$4:$S$1003,$C180,Customers!$T$4:$T$1003,"&gt;="&amp;$D180,Customers!$T$4:$T$1003,"&lt;="&amp;$E180))</f>
        <v/>
      </c>
      <c r="P180" s="35" t="str">
        <f aca="false">IF(OR($A180="",$G180=0),"",($O180-$G180)/$G180)</f>
        <v/>
      </c>
      <c r="Q180" s="35" t="str">
        <f aca="false">IF(OR($A180="",$K180=0),"",$N180/$K180)</f>
        <v/>
      </c>
      <c r="R180" s="27"/>
      <c r="S180" s="32"/>
    </row>
    <row r="181" customFormat="false" ht="15.75" hidden="false" customHeight="true" outlineLevel="0" collapsed="false">
      <c r="A181" s="27"/>
      <c r="B181" s="28"/>
      <c r="C181" s="27"/>
      <c r="D181" s="29"/>
      <c r="E181" s="29"/>
      <c r="F181" s="41"/>
      <c r="G181" s="41"/>
      <c r="H181" s="49"/>
      <c r="I181" s="49"/>
      <c r="J181" s="50" t="str">
        <f aca="false">IF(OR($A181="",$H181=0),"",$I181/$H181)</f>
        <v/>
      </c>
      <c r="K181" s="30" t="str">
        <f aca="false">IF($A181="","",COUNTIFS('Lead Management'!$O$4:$O$1003,$C181,'Lead Management'!$P$4:$P$1003,"&gt;="&amp;$D181,'Lead Management'!$P$4:$P$1003,"&lt;="&amp;$E181))</f>
        <v/>
      </c>
      <c r="L181" s="34" t="str">
        <f aca="false">IF(OR($A181="",$K181=0),"",$G181/$K181)</f>
        <v/>
      </c>
      <c r="M181" s="30" t="str">
        <f aca="false">IF($A181="","",COUNTIFS('Lead Management'!$O$4:$O$1003,$C181,'Lead Management'!$P$4:$P$1003,"&gt;="&amp;$D181,'Lead Management'!$P$4:$P$1003,"&lt;="&amp;$E181,'Lead Management'!$V$4:$V$1003,"Yes"))</f>
        <v/>
      </c>
      <c r="N181" s="30" t="str">
        <f aca="false">IF($A181="","",COUNTIFS(Customers!$S$4:$S$1003,$C181,Customers!$T$4:$T$1003,"&gt;="&amp;$D181,Customers!$T$4:$T$1003,"&lt;="&amp;$E181))</f>
        <v/>
      </c>
      <c r="O181" s="34" t="str">
        <f aca="false">IF($A181="","",SUMIFS(Customers!$M$4:$M$1003,Customers!$S$4:$S$1003,$C181,Customers!$T$4:$T$1003,"&gt;="&amp;$D181,Customers!$T$4:$T$1003,"&lt;="&amp;$E181))</f>
        <v/>
      </c>
      <c r="P181" s="35" t="str">
        <f aca="false">IF(OR($A181="",$G181=0),"",($O181-$G181)/$G181)</f>
        <v/>
      </c>
      <c r="Q181" s="35" t="str">
        <f aca="false">IF(OR($A181="",$K181=0),"",$N181/$K181)</f>
        <v/>
      </c>
      <c r="R181" s="27"/>
      <c r="S181" s="32"/>
    </row>
    <row r="182" customFormat="false" ht="15.75" hidden="false" customHeight="true" outlineLevel="0" collapsed="false">
      <c r="A182" s="27"/>
      <c r="B182" s="28"/>
      <c r="C182" s="27"/>
      <c r="D182" s="29"/>
      <c r="E182" s="29"/>
      <c r="F182" s="41"/>
      <c r="G182" s="41"/>
      <c r="H182" s="49"/>
      <c r="I182" s="49"/>
      <c r="J182" s="50" t="str">
        <f aca="false">IF(OR($A182="",$H182=0),"",$I182/$H182)</f>
        <v/>
      </c>
      <c r="K182" s="30" t="str">
        <f aca="false">IF($A182="","",COUNTIFS('Lead Management'!$O$4:$O$1003,$C182,'Lead Management'!$P$4:$P$1003,"&gt;="&amp;$D182,'Lead Management'!$P$4:$P$1003,"&lt;="&amp;$E182))</f>
        <v/>
      </c>
      <c r="L182" s="34" t="str">
        <f aca="false">IF(OR($A182="",$K182=0),"",$G182/$K182)</f>
        <v/>
      </c>
      <c r="M182" s="30" t="str">
        <f aca="false">IF($A182="","",COUNTIFS('Lead Management'!$O$4:$O$1003,$C182,'Lead Management'!$P$4:$P$1003,"&gt;="&amp;$D182,'Lead Management'!$P$4:$P$1003,"&lt;="&amp;$E182,'Lead Management'!$V$4:$V$1003,"Yes"))</f>
        <v/>
      </c>
      <c r="N182" s="30" t="str">
        <f aca="false">IF($A182="","",COUNTIFS(Customers!$S$4:$S$1003,$C182,Customers!$T$4:$T$1003,"&gt;="&amp;$D182,Customers!$T$4:$T$1003,"&lt;="&amp;$E182))</f>
        <v/>
      </c>
      <c r="O182" s="34" t="str">
        <f aca="false">IF($A182="","",SUMIFS(Customers!$M$4:$M$1003,Customers!$S$4:$S$1003,$C182,Customers!$T$4:$T$1003,"&gt;="&amp;$D182,Customers!$T$4:$T$1003,"&lt;="&amp;$E182))</f>
        <v/>
      </c>
      <c r="P182" s="35" t="str">
        <f aca="false">IF(OR($A182="",$G182=0),"",($O182-$G182)/$G182)</f>
        <v/>
      </c>
      <c r="Q182" s="35" t="str">
        <f aca="false">IF(OR($A182="",$K182=0),"",$N182/$K182)</f>
        <v/>
      </c>
      <c r="R182" s="27"/>
      <c r="S182" s="32"/>
    </row>
    <row r="183" customFormat="false" ht="15.75" hidden="false" customHeight="true" outlineLevel="0" collapsed="false">
      <c r="A183" s="27"/>
      <c r="B183" s="28"/>
      <c r="C183" s="27"/>
      <c r="D183" s="29"/>
      <c r="E183" s="29"/>
      <c r="F183" s="41"/>
      <c r="G183" s="41"/>
      <c r="H183" s="49"/>
      <c r="I183" s="49"/>
      <c r="J183" s="50" t="str">
        <f aca="false">IF(OR($A183="",$H183=0),"",$I183/$H183)</f>
        <v/>
      </c>
      <c r="K183" s="30" t="str">
        <f aca="false">IF($A183="","",COUNTIFS('Lead Management'!$O$4:$O$1003,$C183,'Lead Management'!$P$4:$P$1003,"&gt;="&amp;$D183,'Lead Management'!$P$4:$P$1003,"&lt;="&amp;$E183))</f>
        <v/>
      </c>
      <c r="L183" s="34" t="str">
        <f aca="false">IF(OR($A183="",$K183=0),"",$G183/$K183)</f>
        <v/>
      </c>
      <c r="M183" s="30" t="str">
        <f aca="false">IF($A183="","",COUNTIFS('Lead Management'!$O$4:$O$1003,$C183,'Lead Management'!$P$4:$P$1003,"&gt;="&amp;$D183,'Lead Management'!$P$4:$P$1003,"&lt;="&amp;$E183,'Lead Management'!$V$4:$V$1003,"Yes"))</f>
        <v/>
      </c>
      <c r="N183" s="30" t="str">
        <f aca="false">IF($A183="","",COUNTIFS(Customers!$S$4:$S$1003,$C183,Customers!$T$4:$T$1003,"&gt;="&amp;$D183,Customers!$T$4:$T$1003,"&lt;="&amp;$E183))</f>
        <v/>
      </c>
      <c r="O183" s="34" t="str">
        <f aca="false">IF($A183="","",SUMIFS(Customers!$M$4:$M$1003,Customers!$S$4:$S$1003,$C183,Customers!$T$4:$T$1003,"&gt;="&amp;$D183,Customers!$T$4:$T$1003,"&lt;="&amp;$E183))</f>
        <v/>
      </c>
      <c r="P183" s="35" t="str">
        <f aca="false">IF(OR($A183="",$G183=0),"",($O183-$G183)/$G183)</f>
        <v/>
      </c>
      <c r="Q183" s="35" t="str">
        <f aca="false">IF(OR($A183="",$K183=0),"",$N183/$K183)</f>
        <v/>
      </c>
      <c r="R183" s="27"/>
      <c r="S183" s="32"/>
    </row>
    <row r="184" customFormat="false" ht="15.75" hidden="false" customHeight="true" outlineLevel="0" collapsed="false">
      <c r="A184" s="27"/>
      <c r="B184" s="28"/>
      <c r="C184" s="27"/>
      <c r="D184" s="29"/>
      <c r="E184" s="29"/>
      <c r="F184" s="41"/>
      <c r="G184" s="41"/>
      <c r="H184" s="49"/>
      <c r="I184" s="49"/>
      <c r="J184" s="50" t="str">
        <f aca="false">IF(OR($A184="",$H184=0),"",$I184/$H184)</f>
        <v/>
      </c>
      <c r="K184" s="30" t="str">
        <f aca="false">IF($A184="","",COUNTIFS('Lead Management'!$O$4:$O$1003,$C184,'Lead Management'!$P$4:$P$1003,"&gt;="&amp;$D184,'Lead Management'!$P$4:$P$1003,"&lt;="&amp;$E184))</f>
        <v/>
      </c>
      <c r="L184" s="34" t="str">
        <f aca="false">IF(OR($A184="",$K184=0),"",$G184/$K184)</f>
        <v/>
      </c>
      <c r="M184" s="30" t="str">
        <f aca="false">IF($A184="","",COUNTIFS('Lead Management'!$O$4:$O$1003,$C184,'Lead Management'!$P$4:$P$1003,"&gt;="&amp;$D184,'Lead Management'!$P$4:$P$1003,"&lt;="&amp;$E184,'Lead Management'!$V$4:$V$1003,"Yes"))</f>
        <v/>
      </c>
      <c r="N184" s="30" t="str">
        <f aca="false">IF($A184="","",COUNTIFS(Customers!$S$4:$S$1003,$C184,Customers!$T$4:$T$1003,"&gt;="&amp;$D184,Customers!$T$4:$T$1003,"&lt;="&amp;$E184))</f>
        <v/>
      </c>
      <c r="O184" s="34" t="str">
        <f aca="false">IF($A184="","",SUMIFS(Customers!$M$4:$M$1003,Customers!$S$4:$S$1003,$C184,Customers!$T$4:$T$1003,"&gt;="&amp;$D184,Customers!$T$4:$T$1003,"&lt;="&amp;$E184))</f>
        <v/>
      </c>
      <c r="P184" s="35" t="str">
        <f aca="false">IF(OR($A184="",$G184=0),"",($O184-$G184)/$G184)</f>
        <v/>
      </c>
      <c r="Q184" s="35" t="str">
        <f aca="false">IF(OR($A184="",$K184=0),"",$N184/$K184)</f>
        <v/>
      </c>
      <c r="R184" s="27"/>
      <c r="S184" s="32"/>
    </row>
    <row r="185" customFormat="false" ht="15.75" hidden="false" customHeight="true" outlineLevel="0" collapsed="false">
      <c r="A185" s="27"/>
      <c r="B185" s="28"/>
      <c r="C185" s="27"/>
      <c r="D185" s="29"/>
      <c r="E185" s="29"/>
      <c r="F185" s="41"/>
      <c r="G185" s="41"/>
      <c r="H185" s="49"/>
      <c r="I185" s="49"/>
      <c r="J185" s="50" t="str">
        <f aca="false">IF(OR($A185="",$H185=0),"",$I185/$H185)</f>
        <v/>
      </c>
      <c r="K185" s="30" t="str">
        <f aca="false">IF($A185="","",COUNTIFS('Lead Management'!$O$4:$O$1003,$C185,'Lead Management'!$P$4:$P$1003,"&gt;="&amp;$D185,'Lead Management'!$P$4:$P$1003,"&lt;="&amp;$E185))</f>
        <v/>
      </c>
      <c r="L185" s="34" t="str">
        <f aca="false">IF(OR($A185="",$K185=0),"",$G185/$K185)</f>
        <v/>
      </c>
      <c r="M185" s="30" t="str">
        <f aca="false">IF($A185="","",COUNTIFS('Lead Management'!$O$4:$O$1003,$C185,'Lead Management'!$P$4:$P$1003,"&gt;="&amp;$D185,'Lead Management'!$P$4:$P$1003,"&lt;="&amp;$E185,'Lead Management'!$V$4:$V$1003,"Yes"))</f>
        <v/>
      </c>
      <c r="N185" s="30" t="str">
        <f aca="false">IF($A185="","",COUNTIFS(Customers!$S$4:$S$1003,$C185,Customers!$T$4:$T$1003,"&gt;="&amp;$D185,Customers!$T$4:$T$1003,"&lt;="&amp;$E185))</f>
        <v/>
      </c>
      <c r="O185" s="34" t="str">
        <f aca="false">IF($A185="","",SUMIFS(Customers!$M$4:$M$1003,Customers!$S$4:$S$1003,$C185,Customers!$T$4:$T$1003,"&gt;="&amp;$D185,Customers!$T$4:$T$1003,"&lt;="&amp;$E185))</f>
        <v/>
      </c>
      <c r="P185" s="35" t="str">
        <f aca="false">IF(OR($A185="",$G185=0),"",($O185-$G185)/$G185)</f>
        <v/>
      </c>
      <c r="Q185" s="35" t="str">
        <f aca="false">IF(OR($A185="",$K185=0),"",$N185/$K185)</f>
        <v/>
      </c>
      <c r="R185" s="27"/>
      <c r="S185" s="32"/>
    </row>
    <row r="186" customFormat="false" ht="15.75" hidden="false" customHeight="true" outlineLevel="0" collapsed="false">
      <c r="A186" s="27"/>
      <c r="B186" s="28"/>
      <c r="C186" s="27"/>
      <c r="D186" s="29"/>
      <c r="E186" s="29"/>
      <c r="F186" s="41"/>
      <c r="G186" s="41"/>
      <c r="H186" s="49"/>
      <c r="I186" s="49"/>
      <c r="J186" s="50" t="str">
        <f aca="false">IF(OR($A186="",$H186=0),"",$I186/$H186)</f>
        <v/>
      </c>
      <c r="K186" s="30" t="str">
        <f aca="false">IF($A186="","",COUNTIFS('Lead Management'!$O$4:$O$1003,$C186,'Lead Management'!$P$4:$P$1003,"&gt;="&amp;$D186,'Lead Management'!$P$4:$P$1003,"&lt;="&amp;$E186))</f>
        <v/>
      </c>
      <c r="L186" s="34" t="str">
        <f aca="false">IF(OR($A186="",$K186=0),"",$G186/$K186)</f>
        <v/>
      </c>
      <c r="M186" s="30" t="str">
        <f aca="false">IF($A186="","",COUNTIFS('Lead Management'!$O$4:$O$1003,$C186,'Lead Management'!$P$4:$P$1003,"&gt;="&amp;$D186,'Lead Management'!$P$4:$P$1003,"&lt;="&amp;$E186,'Lead Management'!$V$4:$V$1003,"Yes"))</f>
        <v/>
      </c>
      <c r="N186" s="30" t="str">
        <f aca="false">IF($A186="","",COUNTIFS(Customers!$S$4:$S$1003,$C186,Customers!$T$4:$T$1003,"&gt;="&amp;$D186,Customers!$T$4:$T$1003,"&lt;="&amp;$E186))</f>
        <v/>
      </c>
      <c r="O186" s="34" t="str">
        <f aca="false">IF($A186="","",SUMIFS(Customers!$M$4:$M$1003,Customers!$S$4:$S$1003,$C186,Customers!$T$4:$T$1003,"&gt;="&amp;$D186,Customers!$T$4:$T$1003,"&lt;="&amp;$E186))</f>
        <v/>
      </c>
      <c r="P186" s="35" t="str">
        <f aca="false">IF(OR($A186="",$G186=0),"",($O186-$G186)/$G186)</f>
        <v/>
      </c>
      <c r="Q186" s="35" t="str">
        <f aca="false">IF(OR($A186="",$K186=0),"",$N186/$K186)</f>
        <v/>
      </c>
      <c r="R186" s="27"/>
      <c r="S186" s="32"/>
    </row>
    <row r="187" customFormat="false" ht="15.75" hidden="false" customHeight="true" outlineLevel="0" collapsed="false">
      <c r="A187" s="27"/>
      <c r="B187" s="28"/>
      <c r="C187" s="27"/>
      <c r="D187" s="29"/>
      <c r="E187" s="29"/>
      <c r="F187" s="41"/>
      <c r="G187" s="41"/>
      <c r="H187" s="49"/>
      <c r="I187" s="49"/>
      <c r="J187" s="50" t="str">
        <f aca="false">IF(OR($A187="",$H187=0),"",$I187/$H187)</f>
        <v/>
      </c>
      <c r="K187" s="30" t="str">
        <f aca="false">IF($A187="","",COUNTIFS('Lead Management'!$O$4:$O$1003,$C187,'Lead Management'!$P$4:$P$1003,"&gt;="&amp;$D187,'Lead Management'!$P$4:$P$1003,"&lt;="&amp;$E187))</f>
        <v/>
      </c>
      <c r="L187" s="34" t="str">
        <f aca="false">IF(OR($A187="",$K187=0),"",$G187/$K187)</f>
        <v/>
      </c>
      <c r="M187" s="30" t="str">
        <f aca="false">IF($A187="","",COUNTIFS('Lead Management'!$O$4:$O$1003,$C187,'Lead Management'!$P$4:$P$1003,"&gt;="&amp;$D187,'Lead Management'!$P$4:$P$1003,"&lt;="&amp;$E187,'Lead Management'!$V$4:$V$1003,"Yes"))</f>
        <v/>
      </c>
      <c r="N187" s="30" t="str">
        <f aca="false">IF($A187="","",COUNTIFS(Customers!$S$4:$S$1003,$C187,Customers!$T$4:$T$1003,"&gt;="&amp;$D187,Customers!$T$4:$T$1003,"&lt;="&amp;$E187))</f>
        <v/>
      </c>
      <c r="O187" s="34" t="str">
        <f aca="false">IF($A187="","",SUMIFS(Customers!$M$4:$M$1003,Customers!$S$4:$S$1003,$C187,Customers!$T$4:$T$1003,"&gt;="&amp;$D187,Customers!$T$4:$T$1003,"&lt;="&amp;$E187))</f>
        <v/>
      </c>
      <c r="P187" s="35" t="str">
        <f aca="false">IF(OR($A187="",$G187=0),"",($O187-$G187)/$G187)</f>
        <v/>
      </c>
      <c r="Q187" s="35" t="str">
        <f aca="false">IF(OR($A187="",$K187=0),"",$N187/$K187)</f>
        <v/>
      </c>
      <c r="R187" s="27"/>
      <c r="S187" s="32"/>
    </row>
    <row r="188" customFormat="false" ht="15.75" hidden="false" customHeight="true" outlineLevel="0" collapsed="false">
      <c r="A188" s="27"/>
      <c r="B188" s="28"/>
      <c r="C188" s="27"/>
      <c r="D188" s="29"/>
      <c r="E188" s="29"/>
      <c r="F188" s="41"/>
      <c r="G188" s="41"/>
      <c r="H188" s="49"/>
      <c r="I188" s="49"/>
      <c r="J188" s="50" t="str">
        <f aca="false">IF(OR($A188="",$H188=0),"",$I188/$H188)</f>
        <v/>
      </c>
      <c r="K188" s="30" t="str">
        <f aca="false">IF($A188="","",COUNTIFS('Lead Management'!$O$4:$O$1003,$C188,'Lead Management'!$P$4:$P$1003,"&gt;="&amp;$D188,'Lead Management'!$P$4:$P$1003,"&lt;="&amp;$E188))</f>
        <v/>
      </c>
      <c r="L188" s="34" t="str">
        <f aca="false">IF(OR($A188="",$K188=0),"",$G188/$K188)</f>
        <v/>
      </c>
      <c r="M188" s="30" t="str">
        <f aca="false">IF($A188="","",COUNTIFS('Lead Management'!$O$4:$O$1003,$C188,'Lead Management'!$P$4:$P$1003,"&gt;="&amp;$D188,'Lead Management'!$P$4:$P$1003,"&lt;="&amp;$E188,'Lead Management'!$V$4:$V$1003,"Yes"))</f>
        <v/>
      </c>
      <c r="N188" s="30" t="str">
        <f aca="false">IF($A188="","",COUNTIFS(Customers!$S$4:$S$1003,$C188,Customers!$T$4:$T$1003,"&gt;="&amp;$D188,Customers!$T$4:$T$1003,"&lt;="&amp;$E188))</f>
        <v/>
      </c>
      <c r="O188" s="34" t="str">
        <f aca="false">IF($A188="","",SUMIFS(Customers!$M$4:$M$1003,Customers!$S$4:$S$1003,$C188,Customers!$T$4:$T$1003,"&gt;="&amp;$D188,Customers!$T$4:$T$1003,"&lt;="&amp;$E188))</f>
        <v/>
      </c>
      <c r="P188" s="35" t="str">
        <f aca="false">IF(OR($A188="",$G188=0),"",($O188-$G188)/$G188)</f>
        <v/>
      </c>
      <c r="Q188" s="35" t="str">
        <f aca="false">IF(OR($A188="",$K188=0),"",$N188/$K188)</f>
        <v/>
      </c>
      <c r="R188" s="27"/>
      <c r="S188" s="32"/>
    </row>
    <row r="189" customFormat="false" ht="15.75" hidden="false" customHeight="true" outlineLevel="0" collapsed="false">
      <c r="A189" s="27"/>
      <c r="B189" s="28"/>
      <c r="C189" s="27"/>
      <c r="D189" s="29"/>
      <c r="E189" s="29"/>
      <c r="F189" s="41"/>
      <c r="G189" s="41"/>
      <c r="H189" s="49"/>
      <c r="I189" s="49"/>
      <c r="J189" s="50" t="str">
        <f aca="false">IF(OR($A189="",$H189=0),"",$I189/$H189)</f>
        <v/>
      </c>
      <c r="K189" s="30" t="str">
        <f aca="false">IF($A189="","",COUNTIFS('Lead Management'!$O$4:$O$1003,$C189,'Lead Management'!$P$4:$P$1003,"&gt;="&amp;$D189,'Lead Management'!$P$4:$P$1003,"&lt;="&amp;$E189))</f>
        <v/>
      </c>
      <c r="L189" s="34" t="str">
        <f aca="false">IF(OR($A189="",$K189=0),"",$G189/$K189)</f>
        <v/>
      </c>
      <c r="M189" s="30" t="str">
        <f aca="false">IF($A189="","",COUNTIFS('Lead Management'!$O$4:$O$1003,$C189,'Lead Management'!$P$4:$P$1003,"&gt;="&amp;$D189,'Lead Management'!$P$4:$P$1003,"&lt;="&amp;$E189,'Lead Management'!$V$4:$V$1003,"Yes"))</f>
        <v/>
      </c>
      <c r="N189" s="30" t="str">
        <f aca="false">IF($A189="","",COUNTIFS(Customers!$S$4:$S$1003,$C189,Customers!$T$4:$T$1003,"&gt;="&amp;$D189,Customers!$T$4:$T$1003,"&lt;="&amp;$E189))</f>
        <v/>
      </c>
      <c r="O189" s="34" t="str">
        <f aca="false">IF($A189="","",SUMIFS(Customers!$M$4:$M$1003,Customers!$S$4:$S$1003,$C189,Customers!$T$4:$T$1003,"&gt;="&amp;$D189,Customers!$T$4:$T$1003,"&lt;="&amp;$E189))</f>
        <v/>
      </c>
      <c r="P189" s="35" t="str">
        <f aca="false">IF(OR($A189="",$G189=0),"",($O189-$G189)/$G189)</f>
        <v/>
      </c>
      <c r="Q189" s="35" t="str">
        <f aca="false">IF(OR($A189="",$K189=0),"",$N189/$K189)</f>
        <v/>
      </c>
      <c r="R189" s="27"/>
      <c r="S189" s="32"/>
    </row>
    <row r="190" customFormat="false" ht="15.75" hidden="false" customHeight="true" outlineLevel="0" collapsed="false">
      <c r="A190" s="27"/>
      <c r="B190" s="28"/>
      <c r="C190" s="27"/>
      <c r="D190" s="29"/>
      <c r="E190" s="29"/>
      <c r="F190" s="41"/>
      <c r="G190" s="41"/>
      <c r="H190" s="49"/>
      <c r="I190" s="49"/>
      <c r="J190" s="50" t="str">
        <f aca="false">IF(OR($A190="",$H190=0),"",$I190/$H190)</f>
        <v/>
      </c>
      <c r="K190" s="30" t="str">
        <f aca="false">IF($A190="","",COUNTIFS('Lead Management'!$O$4:$O$1003,$C190,'Lead Management'!$P$4:$P$1003,"&gt;="&amp;$D190,'Lead Management'!$P$4:$P$1003,"&lt;="&amp;$E190))</f>
        <v/>
      </c>
      <c r="L190" s="34" t="str">
        <f aca="false">IF(OR($A190="",$K190=0),"",$G190/$K190)</f>
        <v/>
      </c>
      <c r="M190" s="30" t="str">
        <f aca="false">IF($A190="","",COUNTIFS('Lead Management'!$O$4:$O$1003,$C190,'Lead Management'!$P$4:$P$1003,"&gt;="&amp;$D190,'Lead Management'!$P$4:$P$1003,"&lt;="&amp;$E190,'Lead Management'!$V$4:$V$1003,"Yes"))</f>
        <v/>
      </c>
      <c r="N190" s="30" t="str">
        <f aca="false">IF($A190="","",COUNTIFS(Customers!$S$4:$S$1003,$C190,Customers!$T$4:$T$1003,"&gt;="&amp;$D190,Customers!$T$4:$T$1003,"&lt;="&amp;$E190))</f>
        <v/>
      </c>
      <c r="O190" s="34" t="str">
        <f aca="false">IF($A190="","",SUMIFS(Customers!$M$4:$M$1003,Customers!$S$4:$S$1003,$C190,Customers!$T$4:$T$1003,"&gt;="&amp;$D190,Customers!$T$4:$T$1003,"&lt;="&amp;$E190))</f>
        <v/>
      </c>
      <c r="P190" s="35" t="str">
        <f aca="false">IF(OR($A190="",$G190=0),"",($O190-$G190)/$G190)</f>
        <v/>
      </c>
      <c r="Q190" s="35" t="str">
        <f aca="false">IF(OR($A190="",$K190=0),"",$N190/$K190)</f>
        <v/>
      </c>
      <c r="R190" s="27"/>
      <c r="S190" s="32"/>
    </row>
    <row r="191" customFormat="false" ht="15.75" hidden="false" customHeight="true" outlineLevel="0" collapsed="false">
      <c r="A191" s="27"/>
      <c r="B191" s="28"/>
      <c r="C191" s="27"/>
      <c r="D191" s="29"/>
      <c r="E191" s="29"/>
      <c r="F191" s="41"/>
      <c r="G191" s="41"/>
      <c r="H191" s="49"/>
      <c r="I191" s="49"/>
      <c r="J191" s="50" t="str">
        <f aca="false">IF(OR($A191="",$H191=0),"",$I191/$H191)</f>
        <v/>
      </c>
      <c r="K191" s="30" t="str">
        <f aca="false">IF($A191="","",COUNTIFS('Lead Management'!$O$4:$O$1003,$C191,'Lead Management'!$P$4:$P$1003,"&gt;="&amp;$D191,'Lead Management'!$P$4:$P$1003,"&lt;="&amp;$E191))</f>
        <v/>
      </c>
      <c r="L191" s="34" t="str">
        <f aca="false">IF(OR($A191="",$K191=0),"",$G191/$K191)</f>
        <v/>
      </c>
      <c r="M191" s="30" t="str">
        <f aca="false">IF($A191="","",COUNTIFS('Lead Management'!$O$4:$O$1003,$C191,'Lead Management'!$P$4:$P$1003,"&gt;="&amp;$D191,'Lead Management'!$P$4:$P$1003,"&lt;="&amp;$E191,'Lead Management'!$V$4:$V$1003,"Yes"))</f>
        <v/>
      </c>
      <c r="N191" s="30" t="str">
        <f aca="false">IF($A191="","",COUNTIFS(Customers!$S$4:$S$1003,$C191,Customers!$T$4:$T$1003,"&gt;="&amp;$D191,Customers!$T$4:$T$1003,"&lt;="&amp;$E191))</f>
        <v/>
      </c>
      <c r="O191" s="34" t="str">
        <f aca="false">IF($A191="","",SUMIFS(Customers!$M$4:$M$1003,Customers!$S$4:$S$1003,$C191,Customers!$T$4:$T$1003,"&gt;="&amp;$D191,Customers!$T$4:$T$1003,"&lt;="&amp;$E191))</f>
        <v/>
      </c>
      <c r="P191" s="35" t="str">
        <f aca="false">IF(OR($A191="",$G191=0),"",($O191-$G191)/$G191)</f>
        <v/>
      </c>
      <c r="Q191" s="35" t="str">
        <f aca="false">IF(OR($A191="",$K191=0),"",$N191/$K191)</f>
        <v/>
      </c>
      <c r="R191" s="27"/>
      <c r="S191" s="32"/>
    </row>
    <row r="192" customFormat="false" ht="15.75" hidden="false" customHeight="true" outlineLevel="0" collapsed="false">
      <c r="A192" s="27"/>
      <c r="B192" s="28"/>
      <c r="C192" s="27"/>
      <c r="D192" s="29"/>
      <c r="E192" s="29"/>
      <c r="F192" s="41"/>
      <c r="G192" s="41"/>
      <c r="H192" s="49"/>
      <c r="I192" s="49"/>
      <c r="J192" s="50" t="str">
        <f aca="false">IF(OR($A192="",$H192=0),"",$I192/$H192)</f>
        <v/>
      </c>
      <c r="K192" s="30" t="str">
        <f aca="false">IF($A192="","",COUNTIFS('Lead Management'!$O$4:$O$1003,$C192,'Lead Management'!$P$4:$P$1003,"&gt;="&amp;$D192,'Lead Management'!$P$4:$P$1003,"&lt;="&amp;$E192))</f>
        <v/>
      </c>
      <c r="L192" s="34" t="str">
        <f aca="false">IF(OR($A192="",$K192=0),"",$G192/$K192)</f>
        <v/>
      </c>
      <c r="M192" s="30" t="str">
        <f aca="false">IF($A192="","",COUNTIFS('Lead Management'!$O$4:$O$1003,$C192,'Lead Management'!$P$4:$P$1003,"&gt;="&amp;$D192,'Lead Management'!$P$4:$P$1003,"&lt;="&amp;$E192,'Lead Management'!$V$4:$V$1003,"Yes"))</f>
        <v/>
      </c>
      <c r="N192" s="30" t="str">
        <f aca="false">IF($A192="","",COUNTIFS(Customers!$S$4:$S$1003,$C192,Customers!$T$4:$T$1003,"&gt;="&amp;$D192,Customers!$T$4:$T$1003,"&lt;="&amp;$E192))</f>
        <v/>
      </c>
      <c r="O192" s="34" t="str">
        <f aca="false">IF($A192="","",SUMIFS(Customers!$M$4:$M$1003,Customers!$S$4:$S$1003,$C192,Customers!$T$4:$T$1003,"&gt;="&amp;$D192,Customers!$T$4:$T$1003,"&lt;="&amp;$E192))</f>
        <v/>
      </c>
      <c r="P192" s="35" t="str">
        <f aca="false">IF(OR($A192="",$G192=0),"",($O192-$G192)/$G192)</f>
        <v/>
      </c>
      <c r="Q192" s="35" t="str">
        <f aca="false">IF(OR($A192="",$K192=0),"",$N192/$K192)</f>
        <v/>
      </c>
      <c r="R192" s="27"/>
      <c r="S192" s="32"/>
    </row>
    <row r="193" customFormat="false" ht="15.75" hidden="false" customHeight="true" outlineLevel="0" collapsed="false">
      <c r="A193" s="27"/>
      <c r="B193" s="28"/>
      <c r="C193" s="27"/>
      <c r="D193" s="29"/>
      <c r="E193" s="29"/>
      <c r="F193" s="41"/>
      <c r="G193" s="41"/>
      <c r="H193" s="49"/>
      <c r="I193" s="49"/>
      <c r="J193" s="50" t="str">
        <f aca="false">IF(OR($A193="",$H193=0),"",$I193/$H193)</f>
        <v/>
      </c>
      <c r="K193" s="30" t="str">
        <f aca="false">IF($A193="","",COUNTIFS('Lead Management'!$O$4:$O$1003,$C193,'Lead Management'!$P$4:$P$1003,"&gt;="&amp;$D193,'Lead Management'!$P$4:$P$1003,"&lt;="&amp;$E193))</f>
        <v/>
      </c>
      <c r="L193" s="34" t="str">
        <f aca="false">IF(OR($A193="",$K193=0),"",$G193/$K193)</f>
        <v/>
      </c>
      <c r="M193" s="30" t="str">
        <f aca="false">IF($A193="","",COUNTIFS('Lead Management'!$O$4:$O$1003,$C193,'Lead Management'!$P$4:$P$1003,"&gt;="&amp;$D193,'Lead Management'!$P$4:$P$1003,"&lt;="&amp;$E193,'Lead Management'!$V$4:$V$1003,"Yes"))</f>
        <v/>
      </c>
      <c r="N193" s="30" t="str">
        <f aca="false">IF($A193="","",COUNTIFS(Customers!$S$4:$S$1003,$C193,Customers!$T$4:$T$1003,"&gt;="&amp;$D193,Customers!$T$4:$T$1003,"&lt;="&amp;$E193))</f>
        <v/>
      </c>
      <c r="O193" s="34" t="str">
        <f aca="false">IF($A193="","",SUMIFS(Customers!$M$4:$M$1003,Customers!$S$4:$S$1003,$C193,Customers!$T$4:$T$1003,"&gt;="&amp;$D193,Customers!$T$4:$T$1003,"&lt;="&amp;$E193))</f>
        <v/>
      </c>
      <c r="P193" s="35" t="str">
        <f aca="false">IF(OR($A193="",$G193=0),"",($O193-$G193)/$G193)</f>
        <v/>
      </c>
      <c r="Q193" s="35" t="str">
        <f aca="false">IF(OR($A193="",$K193=0),"",$N193/$K193)</f>
        <v/>
      </c>
      <c r="R193" s="27"/>
      <c r="S193" s="32"/>
    </row>
    <row r="194" customFormat="false" ht="15.75" hidden="false" customHeight="true" outlineLevel="0" collapsed="false">
      <c r="A194" s="27"/>
      <c r="B194" s="28"/>
      <c r="C194" s="27"/>
      <c r="D194" s="29"/>
      <c r="E194" s="29"/>
      <c r="F194" s="41"/>
      <c r="G194" s="41"/>
      <c r="H194" s="49"/>
      <c r="I194" s="49"/>
      <c r="J194" s="50" t="str">
        <f aca="false">IF(OR($A194="",$H194=0),"",$I194/$H194)</f>
        <v/>
      </c>
      <c r="K194" s="30" t="str">
        <f aca="false">IF($A194="","",COUNTIFS('Lead Management'!$O$4:$O$1003,$C194,'Lead Management'!$P$4:$P$1003,"&gt;="&amp;$D194,'Lead Management'!$P$4:$P$1003,"&lt;="&amp;$E194))</f>
        <v/>
      </c>
      <c r="L194" s="34" t="str">
        <f aca="false">IF(OR($A194="",$K194=0),"",$G194/$K194)</f>
        <v/>
      </c>
      <c r="M194" s="30" t="str">
        <f aca="false">IF($A194="","",COUNTIFS('Lead Management'!$O$4:$O$1003,$C194,'Lead Management'!$P$4:$P$1003,"&gt;="&amp;$D194,'Lead Management'!$P$4:$P$1003,"&lt;="&amp;$E194,'Lead Management'!$V$4:$V$1003,"Yes"))</f>
        <v/>
      </c>
      <c r="N194" s="30" t="str">
        <f aca="false">IF($A194="","",COUNTIFS(Customers!$S$4:$S$1003,$C194,Customers!$T$4:$T$1003,"&gt;="&amp;$D194,Customers!$T$4:$T$1003,"&lt;="&amp;$E194))</f>
        <v/>
      </c>
      <c r="O194" s="34" t="str">
        <f aca="false">IF($A194="","",SUMIFS(Customers!$M$4:$M$1003,Customers!$S$4:$S$1003,$C194,Customers!$T$4:$T$1003,"&gt;="&amp;$D194,Customers!$T$4:$T$1003,"&lt;="&amp;$E194))</f>
        <v/>
      </c>
      <c r="P194" s="35" t="str">
        <f aca="false">IF(OR($A194="",$G194=0),"",($O194-$G194)/$G194)</f>
        <v/>
      </c>
      <c r="Q194" s="35" t="str">
        <f aca="false">IF(OR($A194="",$K194=0),"",$N194/$K194)</f>
        <v/>
      </c>
      <c r="R194" s="27"/>
      <c r="S194" s="32"/>
    </row>
    <row r="195" customFormat="false" ht="15.75" hidden="false" customHeight="true" outlineLevel="0" collapsed="false">
      <c r="A195" s="27"/>
      <c r="B195" s="28"/>
      <c r="C195" s="27"/>
      <c r="D195" s="29"/>
      <c r="E195" s="29"/>
      <c r="F195" s="41"/>
      <c r="G195" s="41"/>
      <c r="H195" s="49"/>
      <c r="I195" s="49"/>
      <c r="J195" s="50" t="str">
        <f aca="false">IF(OR($A195="",$H195=0),"",$I195/$H195)</f>
        <v/>
      </c>
      <c r="K195" s="30" t="str">
        <f aca="false">IF($A195="","",COUNTIFS('Lead Management'!$O$4:$O$1003,$C195,'Lead Management'!$P$4:$P$1003,"&gt;="&amp;$D195,'Lead Management'!$P$4:$P$1003,"&lt;="&amp;$E195))</f>
        <v/>
      </c>
      <c r="L195" s="34" t="str">
        <f aca="false">IF(OR($A195="",$K195=0),"",$G195/$K195)</f>
        <v/>
      </c>
      <c r="M195" s="30" t="str">
        <f aca="false">IF($A195="","",COUNTIFS('Lead Management'!$O$4:$O$1003,$C195,'Lead Management'!$P$4:$P$1003,"&gt;="&amp;$D195,'Lead Management'!$P$4:$P$1003,"&lt;="&amp;$E195,'Lead Management'!$V$4:$V$1003,"Yes"))</f>
        <v/>
      </c>
      <c r="N195" s="30" t="str">
        <f aca="false">IF($A195="","",COUNTIFS(Customers!$S$4:$S$1003,$C195,Customers!$T$4:$T$1003,"&gt;="&amp;$D195,Customers!$T$4:$T$1003,"&lt;="&amp;$E195))</f>
        <v/>
      </c>
      <c r="O195" s="34" t="str">
        <f aca="false">IF($A195="","",SUMIFS(Customers!$M$4:$M$1003,Customers!$S$4:$S$1003,$C195,Customers!$T$4:$T$1003,"&gt;="&amp;$D195,Customers!$T$4:$T$1003,"&lt;="&amp;$E195))</f>
        <v/>
      </c>
      <c r="P195" s="35" t="str">
        <f aca="false">IF(OR($A195="",$G195=0),"",($O195-$G195)/$G195)</f>
        <v/>
      </c>
      <c r="Q195" s="35" t="str">
        <f aca="false">IF(OR($A195="",$K195=0),"",$N195/$K195)</f>
        <v/>
      </c>
      <c r="R195" s="27"/>
      <c r="S195" s="32"/>
    </row>
    <row r="196" customFormat="false" ht="15.75" hidden="false" customHeight="true" outlineLevel="0" collapsed="false">
      <c r="A196" s="27"/>
      <c r="B196" s="28"/>
      <c r="C196" s="27"/>
      <c r="D196" s="29"/>
      <c r="E196" s="29"/>
      <c r="F196" s="41"/>
      <c r="G196" s="41"/>
      <c r="H196" s="49"/>
      <c r="I196" s="49"/>
      <c r="J196" s="50" t="str">
        <f aca="false">IF(OR($A196="",$H196=0),"",$I196/$H196)</f>
        <v/>
      </c>
      <c r="K196" s="30" t="str">
        <f aca="false">IF($A196="","",COUNTIFS('Lead Management'!$O$4:$O$1003,$C196,'Lead Management'!$P$4:$P$1003,"&gt;="&amp;$D196,'Lead Management'!$P$4:$P$1003,"&lt;="&amp;$E196))</f>
        <v/>
      </c>
      <c r="L196" s="34" t="str">
        <f aca="false">IF(OR($A196="",$K196=0),"",$G196/$K196)</f>
        <v/>
      </c>
      <c r="M196" s="30" t="str">
        <f aca="false">IF($A196="","",COUNTIFS('Lead Management'!$O$4:$O$1003,$C196,'Lead Management'!$P$4:$P$1003,"&gt;="&amp;$D196,'Lead Management'!$P$4:$P$1003,"&lt;="&amp;$E196,'Lead Management'!$V$4:$V$1003,"Yes"))</f>
        <v/>
      </c>
      <c r="N196" s="30" t="str">
        <f aca="false">IF($A196="","",COUNTIFS(Customers!$S$4:$S$1003,$C196,Customers!$T$4:$T$1003,"&gt;="&amp;$D196,Customers!$T$4:$T$1003,"&lt;="&amp;$E196))</f>
        <v/>
      </c>
      <c r="O196" s="34" t="str">
        <f aca="false">IF($A196="","",SUMIFS(Customers!$M$4:$M$1003,Customers!$S$4:$S$1003,$C196,Customers!$T$4:$T$1003,"&gt;="&amp;$D196,Customers!$T$4:$T$1003,"&lt;="&amp;$E196))</f>
        <v/>
      </c>
      <c r="P196" s="35" t="str">
        <f aca="false">IF(OR($A196="",$G196=0),"",($O196-$G196)/$G196)</f>
        <v/>
      </c>
      <c r="Q196" s="35" t="str">
        <f aca="false">IF(OR($A196="",$K196=0),"",$N196/$K196)</f>
        <v/>
      </c>
      <c r="R196" s="27"/>
      <c r="S196" s="32"/>
    </row>
    <row r="197" customFormat="false" ht="15.75" hidden="false" customHeight="true" outlineLevel="0" collapsed="false">
      <c r="A197" s="27"/>
      <c r="B197" s="28"/>
      <c r="C197" s="27"/>
      <c r="D197" s="29"/>
      <c r="E197" s="29"/>
      <c r="F197" s="41"/>
      <c r="G197" s="41"/>
      <c r="H197" s="49"/>
      <c r="I197" s="49"/>
      <c r="J197" s="50" t="str">
        <f aca="false">IF(OR($A197="",$H197=0),"",$I197/$H197)</f>
        <v/>
      </c>
      <c r="K197" s="30" t="str">
        <f aca="false">IF($A197="","",COUNTIFS('Lead Management'!$O$4:$O$1003,$C197,'Lead Management'!$P$4:$P$1003,"&gt;="&amp;$D197,'Lead Management'!$P$4:$P$1003,"&lt;="&amp;$E197))</f>
        <v/>
      </c>
      <c r="L197" s="34" t="str">
        <f aca="false">IF(OR($A197="",$K197=0),"",$G197/$K197)</f>
        <v/>
      </c>
      <c r="M197" s="30" t="str">
        <f aca="false">IF($A197="","",COUNTIFS('Lead Management'!$O$4:$O$1003,$C197,'Lead Management'!$P$4:$P$1003,"&gt;="&amp;$D197,'Lead Management'!$P$4:$P$1003,"&lt;="&amp;$E197,'Lead Management'!$V$4:$V$1003,"Yes"))</f>
        <v/>
      </c>
      <c r="N197" s="30" t="str">
        <f aca="false">IF($A197="","",COUNTIFS(Customers!$S$4:$S$1003,$C197,Customers!$T$4:$T$1003,"&gt;="&amp;$D197,Customers!$T$4:$T$1003,"&lt;="&amp;$E197))</f>
        <v/>
      </c>
      <c r="O197" s="34" t="str">
        <f aca="false">IF($A197="","",SUMIFS(Customers!$M$4:$M$1003,Customers!$S$4:$S$1003,$C197,Customers!$T$4:$T$1003,"&gt;="&amp;$D197,Customers!$T$4:$T$1003,"&lt;="&amp;$E197))</f>
        <v/>
      </c>
      <c r="P197" s="35" t="str">
        <f aca="false">IF(OR($A197="",$G197=0),"",($O197-$G197)/$G197)</f>
        <v/>
      </c>
      <c r="Q197" s="35" t="str">
        <f aca="false">IF(OR($A197="",$K197=0),"",$N197/$K197)</f>
        <v/>
      </c>
      <c r="R197" s="27"/>
      <c r="S197" s="32"/>
    </row>
    <row r="198" customFormat="false" ht="15.75" hidden="false" customHeight="true" outlineLevel="0" collapsed="false">
      <c r="A198" s="27"/>
      <c r="B198" s="28"/>
      <c r="C198" s="27"/>
      <c r="D198" s="29"/>
      <c r="E198" s="29"/>
      <c r="F198" s="41"/>
      <c r="G198" s="41"/>
      <c r="H198" s="49"/>
      <c r="I198" s="49"/>
      <c r="J198" s="50" t="str">
        <f aca="false">IF(OR($A198="",$H198=0),"",$I198/$H198)</f>
        <v/>
      </c>
      <c r="K198" s="30" t="str">
        <f aca="false">IF($A198="","",COUNTIFS('Lead Management'!$O$4:$O$1003,$C198,'Lead Management'!$P$4:$P$1003,"&gt;="&amp;$D198,'Lead Management'!$P$4:$P$1003,"&lt;="&amp;$E198))</f>
        <v/>
      </c>
      <c r="L198" s="34" t="str">
        <f aca="false">IF(OR($A198="",$K198=0),"",$G198/$K198)</f>
        <v/>
      </c>
      <c r="M198" s="30" t="str">
        <f aca="false">IF($A198="","",COUNTIFS('Lead Management'!$O$4:$O$1003,$C198,'Lead Management'!$P$4:$P$1003,"&gt;="&amp;$D198,'Lead Management'!$P$4:$P$1003,"&lt;="&amp;$E198,'Lead Management'!$V$4:$V$1003,"Yes"))</f>
        <v/>
      </c>
      <c r="N198" s="30" t="str">
        <f aca="false">IF($A198="","",COUNTIFS(Customers!$S$4:$S$1003,$C198,Customers!$T$4:$T$1003,"&gt;="&amp;$D198,Customers!$T$4:$T$1003,"&lt;="&amp;$E198))</f>
        <v/>
      </c>
      <c r="O198" s="34" t="str">
        <f aca="false">IF($A198="","",SUMIFS(Customers!$M$4:$M$1003,Customers!$S$4:$S$1003,$C198,Customers!$T$4:$T$1003,"&gt;="&amp;$D198,Customers!$T$4:$T$1003,"&lt;="&amp;$E198))</f>
        <v/>
      </c>
      <c r="P198" s="35" t="str">
        <f aca="false">IF(OR($A198="",$G198=0),"",($O198-$G198)/$G198)</f>
        <v/>
      </c>
      <c r="Q198" s="35" t="str">
        <f aca="false">IF(OR($A198="",$K198=0),"",$N198/$K198)</f>
        <v/>
      </c>
      <c r="R198" s="27"/>
      <c r="S198" s="32"/>
    </row>
    <row r="199" customFormat="false" ht="15.75" hidden="false" customHeight="true" outlineLevel="0" collapsed="false">
      <c r="A199" s="27"/>
      <c r="B199" s="28"/>
      <c r="C199" s="27"/>
      <c r="D199" s="29"/>
      <c r="E199" s="29"/>
      <c r="F199" s="41"/>
      <c r="G199" s="41"/>
      <c r="H199" s="49"/>
      <c r="I199" s="49"/>
      <c r="J199" s="50" t="str">
        <f aca="false">IF(OR($A199="",$H199=0),"",$I199/$H199)</f>
        <v/>
      </c>
      <c r="K199" s="30" t="str">
        <f aca="false">IF($A199="","",COUNTIFS('Lead Management'!$O$4:$O$1003,$C199,'Lead Management'!$P$4:$P$1003,"&gt;="&amp;$D199,'Lead Management'!$P$4:$P$1003,"&lt;="&amp;$E199))</f>
        <v/>
      </c>
      <c r="L199" s="34" t="str">
        <f aca="false">IF(OR($A199="",$K199=0),"",$G199/$K199)</f>
        <v/>
      </c>
      <c r="M199" s="30" t="str">
        <f aca="false">IF($A199="","",COUNTIFS('Lead Management'!$O$4:$O$1003,$C199,'Lead Management'!$P$4:$P$1003,"&gt;="&amp;$D199,'Lead Management'!$P$4:$P$1003,"&lt;="&amp;$E199,'Lead Management'!$V$4:$V$1003,"Yes"))</f>
        <v/>
      </c>
      <c r="N199" s="30" t="str">
        <f aca="false">IF($A199="","",COUNTIFS(Customers!$S$4:$S$1003,$C199,Customers!$T$4:$T$1003,"&gt;="&amp;$D199,Customers!$T$4:$T$1003,"&lt;="&amp;$E199))</f>
        <v/>
      </c>
      <c r="O199" s="34" t="str">
        <f aca="false">IF($A199="","",SUMIFS(Customers!$M$4:$M$1003,Customers!$S$4:$S$1003,$C199,Customers!$T$4:$T$1003,"&gt;="&amp;$D199,Customers!$T$4:$T$1003,"&lt;="&amp;$E199))</f>
        <v/>
      </c>
      <c r="P199" s="35" t="str">
        <f aca="false">IF(OR($A199="",$G199=0),"",($O199-$G199)/$G199)</f>
        <v/>
      </c>
      <c r="Q199" s="35" t="str">
        <f aca="false">IF(OR($A199="",$K199=0),"",$N199/$K199)</f>
        <v/>
      </c>
      <c r="R199" s="27"/>
      <c r="S199" s="32"/>
    </row>
    <row r="200" customFormat="false" ht="15.75" hidden="false" customHeight="true" outlineLevel="0" collapsed="false">
      <c r="A200" s="27"/>
      <c r="B200" s="28"/>
      <c r="C200" s="27"/>
      <c r="D200" s="29"/>
      <c r="E200" s="29"/>
      <c r="F200" s="41"/>
      <c r="G200" s="41"/>
      <c r="H200" s="49"/>
      <c r="I200" s="49"/>
      <c r="J200" s="50" t="str">
        <f aca="false">IF(OR($A200="",$H200=0),"",$I200/$H200)</f>
        <v/>
      </c>
      <c r="K200" s="30" t="str">
        <f aca="false">IF($A200="","",COUNTIFS('Lead Management'!$O$4:$O$1003,$C200,'Lead Management'!$P$4:$P$1003,"&gt;="&amp;$D200,'Lead Management'!$P$4:$P$1003,"&lt;="&amp;$E200))</f>
        <v/>
      </c>
      <c r="L200" s="34" t="str">
        <f aca="false">IF(OR($A200="",$K200=0),"",$G200/$K200)</f>
        <v/>
      </c>
      <c r="M200" s="30" t="str">
        <f aca="false">IF($A200="","",COUNTIFS('Lead Management'!$O$4:$O$1003,$C200,'Lead Management'!$P$4:$P$1003,"&gt;="&amp;$D200,'Lead Management'!$P$4:$P$1003,"&lt;="&amp;$E200,'Lead Management'!$V$4:$V$1003,"Yes"))</f>
        <v/>
      </c>
      <c r="N200" s="30" t="str">
        <f aca="false">IF($A200="","",COUNTIFS(Customers!$S$4:$S$1003,$C200,Customers!$T$4:$T$1003,"&gt;="&amp;$D200,Customers!$T$4:$T$1003,"&lt;="&amp;$E200))</f>
        <v/>
      </c>
      <c r="O200" s="34" t="str">
        <f aca="false">IF($A200="","",SUMIFS(Customers!$M$4:$M$1003,Customers!$S$4:$S$1003,$C200,Customers!$T$4:$T$1003,"&gt;="&amp;$D200,Customers!$T$4:$T$1003,"&lt;="&amp;$E200))</f>
        <v/>
      </c>
      <c r="P200" s="35" t="str">
        <f aca="false">IF(OR($A200="",$G200=0),"",($O200-$G200)/$G200)</f>
        <v/>
      </c>
      <c r="Q200" s="35" t="str">
        <f aca="false">IF(OR($A200="",$K200=0),"",$N200/$K200)</f>
        <v/>
      </c>
      <c r="R200" s="27"/>
      <c r="S200" s="32"/>
    </row>
    <row r="201" customFormat="false" ht="15.75" hidden="false" customHeight="true" outlineLevel="0" collapsed="false">
      <c r="A201" s="27"/>
      <c r="B201" s="28"/>
      <c r="C201" s="27"/>
      <c r="D201" s="29"/>
      <c r="E201" s="29"/>
      <c r="F201" s="41"/>
      <c r="G201" s="41"/>
      <c r="H201" s="49"/>
      <c r="I201" s="49"/>
      <c r="J201" s="50" t="str">
        <f aca="false">IF(OR($A201="",$H201=0),"",$I201/$H201)</f>
        <v/>
      </c>
      <c r="K201" s="30" t="str">
        <f aca="false">IF($A201="","",COUNTIFS('Lead Management'!$O$4:$O$1003,$C201,'Lead Management'!$P$4:$P$1003,"&gt;="&amp;$D201,'Lead Management'!$P$4:$P$1003,"&lt;="&amp;$E201))</f>
        <v/>
      </c>
      <c r="L201" s="34" t="str">
        <f aca="false">IF(OR($A201="",$K201=0),"",$G201/$K201)</f>
        <v/>
      </c>
      <c r="M201" s="30" t="str">
        <f aca="false">IF($A201="","",COUNTIFS('Lead Management'!$O$4:$O$1003,$C201,'Lead Management'!$P$4:$P$1003,"&gt;="&amp;$D201,'Lead Management'!$P$4:$P$1003,"&lt;="&amp;$E201,'Lead Management'!$V$4:$V$1003,"Yes"))</f>
        <v/>
      </c>
      <c r="N201" s="30" t="str">
        <f aca="false">IF($A201="","",COUNTIFS(Customers!$S$4:$S$1003,$C201,Customers!$T$4:$T$1003,"&gt;="&amp;$D201,Customers!$T$4:$T$1003,"&lt;="&amp;$E201))</f>
        <v/>
      </c>
      <c r="O201" s="34" t="str">
        <f aca="false">IF($A201="","",SUMIFS(Customers!$M$4:$M$1003,Customers!$S$4:$S$1003,$C201,Customers!$T$4:$T$1003,"&gt;="&amp;$D201,Customers!$T$4:$T$1003,"&lt;="&amp;$E201))</f>
        <v/>
      </c>
      <c r="P201" s="35" t="str">
        <f aca="false">IF(OR($A201="",$G201=0),"",($O201-$G201)/$G201)</f>
        <v/>
      </c>
      <c r="Q201" s="35" t="str">
        <f aca="false">IF(OR($A201="",$K201=0),"",$N201/$K201)</f>
        <v/>
      </c>
      <c r="R201" s="27"/>
      <c r="S201" s="32"/>
    </row>
    <row r="202" customFormat="false" ht="15.75" hidden="false" customHeight="true" outlineLevel="0" collapsed="false">
      <c r="A202" s="27"/>
      <c r="B202" s="28"/>
      <c r="C202" s="27"/>
      <c r="D202" s="29"/>
      <c r="E202" s="29"/>
      <c r="F202" s="41"/>
      <c r="G202" s="41"/>
      <c r="H202" s="49"/>
      <c r="I202" s="49"/>
      <c r="J202" s="50" t="str">
        <f aca="false">IF(OR($A202="",$H202=0),"",$I202/$H202)</f>
        <v/>
      </c>
      <c r="K202" s="30" t="str">
        <f aca="false">IF($A202="","",COUNTIFS('Lead Management'!$O$4:$O$1003,$C202,'Lead Management'!$P$4:$P$1003,"&gt;="&amp;$D202,'Lead Management'!$P$4:$P$1003,"&lt;="&amp;$E202))</f>
        <v/>
      </c>
      <c r="L202" s="34" t="str">
        <f aca="false">IF(OR($A202="",$K202=0),"",$G202/$K202)</f>
        <v/>
      </c>
      <c r="M202" s="30" t="str">
        <f aca="false">IF($A202="","",COUNTIFS('Lead Management'!$O$4:$O$1003,$C202,'Lead Management'!$P$4:$P$1003,"&gt;="&amp;$D202,'Lead Management'!$P$4:$P$1003,"&lt;="&amp;$E202,'Lead Management'!$V$4:$V$1003,"Yes"))</f>
        <v/>
      </c>
      <c r="N202" s="30" t="str">
        <f aca="false">IF($A202="","",COUNTIFS(Customers!$S$4:$S$1003,$C202,Customers!$T$4:$T$1003,"&gt;="&amp;$D202,Customers!$T$4:$T$1003,"&lt;="&amp;$E202))</f>
        <v/>
      </c>
      <c r="O202" s="34" t="str">
        <f aca="false">IF($A202="","",SUMIFS(Customers!$M$4:$M$1003,Customers!$S$4:$S$1003,$C202,Customers!$T$4:$T$1003,"&gt;="&amp;$D202,Customers!$T$4:$T$1003,"&lt;="&amp;$E202))</f>
        <v/>
      </c>
      <c r="P202" s="35" t="str">
        <f aca="false">IF(OR($A202="",$G202=0),"",($O202-$G202)/$G202)</f>
        <v/>
      </c>
      <c r="Q202" s="35" t="str">
        <f aca="false">IF(OR($A202="",$K202=0),"",$N202/$K202)</f>
        <v/>
      </c>
      <c r="R202" s="27"/>
      <c r="S202" s="32"/>
    </row>
    <row r="203" customFormat="false" ht="15.75" hidden="false" customHeight="true" outlineLevel="0" collapsed="false">
      <c r="A203" s="27"/>
      <c r="B203" s="28"/>
      <c r="C203" s="27"/>
      <c r="D203" s="29"/>
      <c r="E203" s="29"/>
      <c r="F203" s="41"/>
      <c r="G203" s="41"/>
      <c r="H203" s="49"/>
      <c r="I203" s="49"/>
      <c r="J203" s="50" t="str">
        <f aca="false">IF(OR($A203="",$H203=0),"",$I203/$H203)</f>
        <v/>
      </c>
      <c r="K203" s="30" t="str">
        <f aca="false">IF($A203="","",COUNTIFS('Lead Management'!$O$4:$O$1003,$C203,'Lead Management'!$P$4:$P$1003,"&gt;="&amp;$D203,'Lead Management'!$P$4:$P$1003,"&lt;="&amp;$E203))</f>
        <v/>
      </c>
      <c r="L203" s="34" t="str">
        <f aca="false">IF(OR($A203="",$K203=0),"",$G203/$K203)</f>
        <v/>
      </c>
      <c r="M203" s="30" t="str">
        <f aca="false">IF($A203="","",COUNTIFS('Lead Management'!$O$4:$O$1003,$C203,'Lead Management'!$P$4:$P$1003,"&gt;="&amp;$D203,'Lead Management'!$P$4:$P$1003,"&lt;="&amp;$E203,'Lead Management'!$V$4:$V$1003,"Yes"))</f>
        <v/>
      </c>
      <c r="N203" s="30" t="str">
        <f aca="false">IF($A203="","",COUNTIFS(Customers!$S$4:$S$1003,$C203,Customers!$T$4:$T$1003,"&gt;="&amp;$D203,Customers!$T$4:$T$1003,"&lt;="&amp;$E203))</f>
        <v/>
      </c>
      <c r="O203" s="34" t="str">
        <f aca="false">IF($A203="","",SUMIFS(Customers!$M$4:$M$1003,Customers!$S$4:$S$1003,$C203,Customers!$T$4:$T$1003,"&gt;="&amp;$D203,Customers!$T$4:$T$1003,"&lt;="&amp;$E203))</f>
        <v/>
      </c>
      <c r="P203" s="35" t="str">
        <f aca="false">IF(OR($A203="",$G203=0),"",($O203-$G203)/$G203)</f>
        <v/>
      </c>
      <c r="Q203" s="35" t="str">
        <f aca="false">IF(OR($A203="",$K203=0),"",$N203/$K203)</f>
        <v/>
      </c>
      <c r="R203" s="27"/>
      <c r="S203" s="32"/>
    </row>
  </sheetData>
  <autoFilter ref="A3:S203"/>
  <mergeCells count="2">
    <mergeCell ref="A1:S1"/>
    <mergeCell ref="A2:S2"/>
  </mergeCells>
  <conditionalFormatting sqref="A4:S203">
    <cfRule type="expression" priority="2" aboveAverage="0" equalAverage="0" bottom="0" percent="0" rank="0" text="" dxfId="17">
      <formula>MOD(ROW(),2)=0</formula>
    </cfRule>
  </conditionalFormatting>
  <conditionalFormatting sqref="R4:R203">
    <cfRule type="cellIs" priority="3" operator="equal" aboveAverage="0" equalAverage="0" bottom="0" percent="0" rank="0" text="" dxfId="19">
      <formula>"Active"</formula>
    </cfRule>
    <cfRule type="cellIs" priority="4" operator="equal" aboveAverage="0" equalAverage="0" bottom="0" percent="0" rank="0" text="" dxfId="18">
      <formula>"Completed"</formula>
    </cfRule>
    <cfRule type="cellIs" priority="5" operator="equal" aboveAverage="0" equalAverage="0" bottom="0" percent="0" rank="0" text="" dxfId="23">
      <formula>"Planned"</formula>
    </cfRule>
    <cfRule type="cellIs" priority="6" operator="equal" aboveAverage="0" equalAverage="0" bottom="0" percent="0" rank="0" text="" dxfId="20">
      <formula>"Paused"</formula>
    </cfRule>
  </conditionalFormatting>
  <conditionalFormatting sqref="P4:P203">
    <cfRule type="cellIs" priority="7" operator="greaterThan" aboveAverage="0" equalAverage="0" bottom="0" percent="0" rank="0" text="" dxfId="27">
      <formula>0</formula>
    </cfRule>
    <cfRule type="cellIs" priority="8" operator="lessThan" aboveAverage="0" equalAverage="0" bottom="0" percent="0" rank="0" text="" dxfId="28">
      <formula>0</formula>
    </cfRule>
  </conditionalFormatting>
  <dataValidations count="6">
    <dataValidation allowBlank="true" error="Please choose one of the values from the drop-down list." errorStyle="stop" errorTitle="Invalid entry" operator="between" showDropDown="false" showErrorMessage="false" showInputMessage="false" sqref="C4:C203" type="list">
      <formula1>Settings!$R$32:$R$36</formula1>
      <formula2>0</formula2>
    </dataValidation>
    <dataValidation allowBlank="true" error="Please choose one of the values from the drop-down list." errorStyle="stop" errorTitle="Invalid entry" operator="between" showDropDown="false" showErrorMessage="false" showInputMessage="false" sqref="R4:R203" type="list">
      <formula1>"Planned,Active,Paused,Completed"</formula1>
      <formula2>0</formula2>
    </dataValidation>
    <dataValidation allowBlank="true" error="Enter a valid date (dd/mm/yyyy)." errorStyle="stop" errorTitle="Invalid date" operator="between" showDropDown="false" showErrorMessage="false" showInputMessage="false" sqref="D4:D203" type="date">
      <formula1>DATE(2020,1,1)</formula1>
      <formula2>DATE(2100,12,31)</formula2>
    </dataValidation>
    <dataValidation allowBlank="true" error="Enter a valid date (dd/mm/yyyy)." errorStyle="stop" errorTitle="Invalid date" operator="between" showDropDown="false" showErrorMessage="false" showInputMessage="false" sqref="E4:E203" type="date">
      <formula1>DATE(2020,1,1)</formula1>
      <formula2>DATE(2100,12,31)</formula2>
    </dataValidation>
    <dataValidation allowBlank="true" error="Enter a number between 0 and 100000000." errorStyle="stop" errorTitle="Invalid number" operator="between" showDropDown="false" showErrorMessage="false" showInputMessage="false" sqref="F4:F203" type="decimal">
      <formula1>0</formula1>
      <formula2>100000000</formula2>
    </dataValidation>
    <dataValidation allowBlank="true" error="Enter a number between 0 and 100000000." errorStyle="stop" errorTitle="Invalid number" operator="between" showDropDown="false" showErrorMessage="false" showInputMessage="false" sqref="G4:G203" type="decimal">
      <formula1>0</formula1>
      <formula2>100000000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true"/>
  </sheetPr>
  <dimension ref="A1:L6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2734375" defaultRowHeight="15" customHeight="false" zeroHeight="false" outlineLevelRow="0" outlineLevelCol="0"/>
  <cols>
    <col collapsed="false" customWidth="true" hidden="false" outlineLevel="0" max="1" min="1" style="0" width="30"/>
    <col collapsed="false" customWidth="true" hidden="false" outlineLevel="0" max="3" min="2" style="0" width="15"/>
    <col collapsed="false" customWidth="true" hidden="false" outlineLevel="0" max="4" min="4" style="0" width="17"/>
    <col collapsed="false" customWidth="true" hidden="false" outlineLevel="0" max="5" min="5" style="0" width="19"/>
    <col collapsed="false" customWidth="true" hidden="false" outlineLevel="0" max="6" min="6" style="0" width="22"/>
    <col collapsed="false" customWidth="true" hidden="false" outlineLevel="0" max="7" min="7" style="0" width="18"/>
    <col collapsed="false" customWidth="true" hidden="false" outlineLevel="0" max="8" min="8" style="0" width="15"/>
    <col collapsed="false" customWidth="true" hidden="false" outlineLevel="0" max="9" min="9" style="0" width="18"/>
    <col collapsed="false" customWidth="true" hidden="false" outlineLevel="0" max="10" min="10" style="0" width="14"/>
    <col collapsed="false" customWidth="true" hidden="false" outlineLevel="0" max="11" min="11" style="0" width="18"/>
    <col collapsed="false" customWidth="true" hidden="false" outlineLevel="0" max="12" min="12" style="0" width="14"/>
  </cols>
  <sheetData>
    <row r="1" customFormat="false" ht="30" hidden="false" customHeight="true" outlineLevel="0" collapsed="false">
      <c r="A1" s="1" t="s">
        <v>708</v>
      </c>
      <c r="B1" s="1"/>
      <c r="C1" s="1"/>
      <c r="D1" s="1"/>
      <c r="E1" s="1"/>
      <c r="F1" s="1"/>
      <c r="G1" s="1"/>
      <c r="H1" s="1"/>
      <c r="I1" s="1"/>
      <c r="J1" s="1"/>
      <c r="K1" s="1"/>
      <c r="L1" s="1"/>
    </row>
    <row r="2" customFormat="false" ht="15.75" hidden="false" customHeight="true" outlineLevel="0" collapsed="false">
      <c r="A2" s="2" t="s">
        <v>709</v>
      </c>
      <c r="B2" s="2"/>
      <c r="C2" s="2"/>
      <c r="D2" s="2"/>
      <c r="E2" s="2"/>
      <c r="F2" s="2"/>
      <c r="G2" s="2"/>
      <c r="H2" s="2"/>
      <c r="I2" s="2"/>
      <c r="J2" s="2"/>
      <c r="K2" s="2"/>
      <c r="L2" s="2"/>
    </row>
    <row r="4" customFormat="false" ht="19.5" hidden="false" customHeight="true" outlineLevel="0" collapsed="false">
      <c r="A4" s="40" t="s">
        <v>710</v>
      </c>
      <c r="B4" s="40"/>
      <c r="C4" s="40"/>
      <c r="D4" s="40"/>
      <c r="E4" s="40"/>
      <c r="F4" s="40"/>
      <c r="G4" s="40"/>
      <c r="H4" s="40"/>
      <c r="I4" s="40"/>
      <c r="J4" s="40"/>
      <c r="K4" s="40"/>
    </row>
    <row r="5" customFormat="false" ht="27.75" hidden="false" customHeight="true" outlineLevel="0" collapsed="false">
      <c r="A5" s="26" t="s">
        <v>711</v>
      </c>
      <c r="B5" s="26" t="s">
        <v>712</v>
      </c>
      <c r="C5" s="26" t="s">
        <v>713</v>
      </c>
      <c r="D5" s="26" t="s">
        <v>714</v>
      </c>
      <c r="E5" s="26" t="s">
        <v>715</v>
      </c>
      <c r="F5" s="26" t="s">
        <v>473</v>
      </c>
      <c r="G5" s="26" t="s">
        <v>716</v>
      </c>
      <c r="H5" s="26" t="s">
        <v>717</v>
      </c>
      <c r="I5" s="26" t="s">
        <v>718</v>
      </c>
      <c r="J5" s="26" t="s">
        <v>719</v>
      </c>
      <c r="K5" s="26" t="s">
        <v>720</v>
      </c>
    </row>
    <row r="6" customFormat="false" ht="15" hidden="false" customHeight="false" outlineLevel="0" collapsed="false">
      <c r="A6" s="27" t="str">
        <f aca="false">TEXT($B6,"MMM")</f>
        <v>Jan</v>
      </c>
      <c r="B6" s="29" t="n">
        <f aca="false">DATE(Settings!$B$14,1,1)</f>
        <v>46023</v>
      </c>
      <c r="C6" s="29" t="n">
        <f aca="false">EOMONTH($B6,0)</f>
        <v>46053</v>
      </c>
      <c r="D6" s="41" t="n">
        <f aca="false">SUMIFS(Finance!$E$4:$E$1003,Finance!$F$4:$F$1003,"&gt;="&amp;$B6,Finance!$F$4:$F$1003,"&lt;="&amp;$C6,Finance!$J$4:$J$1003,"Paid")</f>
        <v>23400</v>
      </c>
      <c r="E6" s="41" t="n">
        <f aca="false">SUMIFS(Consultation!$H$4:$H$1003,Consultation!$E$4:$E$1003,"&gt;="&amp;$B6,Consultation!$E$4:$E$1003,"&lt;="&amp;$C6,Consultation!$I$4:$I$1003,"Paid")</f>
        <v>150</v>
      </c>
      <c r="F6" s="41" t="n">
        <f aca="false">$D6+$E6</f>
        <v>23550</v>
      </c>
      <c r="G6" s="41" t="n">
        <f aca="false">SUMIFS(Finance!$U$4:$U$1003,Finance!$R$4:$R$1003,"&gt;="&amp;$B6,Finance!$R$4:$R$1003,"&lt;="&amp;$C6)</f>
        <v>26100</v>
      </c>
      <c r="H6" s="51" t="n">
        <f aca="false">$F6-$G6</f>
        <v>-2550</v>
      </c>
      <c r="I6" s="52" t="n">
        <f aca="false">COUNTIFS('Lead Management'!$P$4:$P$1003,"&gt;="&amp;$B6,'Lead Management'!$P$4:$P$1003,"&lt;="&amp;$C6)</f>
        <v>3</v>
      </c>
      <c r="J6" s="52" t="n">
        <f aca="false">COUNTIFS(Contracts!$D$4:$D$1003,"&gt;="&amp;$B6,Contracts!$D$4:$D$1003,"&lt;="&amp;$C6)</f>
        <v>3</v>
      </c>
      <c r="K6" s="52" t="n">
        <f aca="false">COUNTIFS('Process Tracking'!$BF$5:$BF$1003,"Completed",'Process Tracking'!$BG$5:$BG$1003,"&gt;="&amp;$B6,'Process Tracking'!$BG$5:$BG$1003,"&lt;="&amp;$C6)</f>
        <v>0</v>
      </c>
    </row>
    <row r="7" customFormat="false" ht="15" hidden="false" customHeight="false" outlineLevel="0" collapsed="false">
      <c r="A7" s="27" t="str">
        <f aca="false">TEXT($B7,"MMM")</f>
        <v>Feb</v>
      </c>
      <c r="B7" s="29" t="n">
        <f aca="false">DATE(Settings!$B$14,2,1)</f>
        <v>46054</v>
      </c>
      <c r="C7" s="29" t="n">
        <f aca="false">EOMONTH($B7,0)</f>
        <v>46081</v>
      </c>
      <c r="D7" s="41" t="n">
        <f aca="false">SUMIFS(Finance!$E$4:$E$1003,Finance!$F$4:$F$1003,"&gt;="&amp;$B7,Finance!$F$4:$F$1003,"&lt;="&amp;$C7,Finance!$J$4:$J$1003,"Paid")</f>
        <v>39300</v>
      </c>
      <c r="E7" s="41" t="n">
        <f aca="false">SUMIFS(Consultation!$H$4:$H$1003,Consultation!$E$4:$E$1003,"&gt;="&amp;$B7,Consultation!$E$4:$E$1003,"&lt;="&amp;$C7,Consultation!$I$4:$I$1003,"Paid")</f>
        <v>150</v>
      </c>
      <c r="F7" s="41" t="n">
        <f aca="false">$D7+$E7</f>
        <v>39450</v>
      </c>
      <c r="G7" s="41" t="n">
        <f aca="false">SUMIFS(Finance!$U$4:$U$1003,Finance!$R$4:$R$1003,"&gt;="&amp;$B7,Finance!$R$4:$R$1003,"&lt;="&amp;$C7)</f>
        <v>26750</v>
      </c>
      <c r="H7" s="51" t="n">
        <f aca="false">$F7-$G7</f>
        <v>12700</v>
      </c>
      <c r="I7" s="52" t="n">
        <f aca="false">COUNTIFS('Lead Management'!$P$4:$P$1003,"&gt;="&amp;$B7,'Lead Management'!$P$4:$P$1003,"&lt;="&amp;$C7)</f>
        <v>3</v>
      </c>
      <c r="J7" s="52" t="n">
        <f aca="false">COUNTIFS(Contracts!$D$4:$D$1003,"&gt;="&amp;$B7,Contracts!$D$4:$D$1003,"&lt;="&amp;$C7)</f>
        <v>3</v>
      </c>
      <c r="K7" s="52" t="n">
        <f aca="false">COUNTIFS('Process Tracking'!$BF$5:$BF$1003,"Completed",'Process Tracking'!$BG$5:$BG$1003,"&gt;="&amp;$B7,'Process Tracking'!$BG$5:$BG$1003,"&lt;="&amp;$C7)</f>
        <v>0</v>
      </c>
    </row>
    <row r="8" customFormat="false" ht="15" hidden="false" customHeight="false" outlineLevel="0" collapsed="false">
      <c r="A8" s="27" t="str">
        <f aca="false">TEXT($B8,"MMM")</f>
        <v>Mar</v>
      </c>
      <c r="B8" s="29" t="n">
        <f aca="false">DATE(Settings!$B$14,3,1)</f>
        <v>46082</v>
      </c>
      <c r="C8" s="29" t="n">
        <f aca="false">EOMONTH($B8,0)</f>
        <v>46112</v>
      </c>
      <c r="D8" s="41" t="n">
        <f aca="false">SUMIFS(Finance!$E$4:$E$1003,Finance!$F$4:$F$1003,"&gt;="&amp;$B8,Finance!$F$4:$F$1003,"&lt;="&amp;$C8,Finance!$J$4:$J$1003,"Paid")</f>
        <v>61950</v>
      </c>
      <c r="E8" s="41" t="n">
        <f aca="false">SUMIFS(Consultation!$H$4:$H$1003,Consultation!$E$4:$E$1003,"&gt;="&amp;$B8,Consultation!$E$4:$E$1003,"&lt;="&amp;$C8,Consultation!$I$4:$I$1003,"Paid")</f>
        <v>200</v>
      </c>
      <c r="F8" s="41" t="n">
        <f aca="false">$D8+$E8</f>
        <v>62150</v>
      </c>
      <c r="G8" s="41" t="n">
        <f aca="false">SUMIFS(Finance!$U$4:$U$1003,Finance!$R$4:$R$1003,"&gt;="&amp;$B8,Finance!$R$4:$R$1003,"&lt;="&amp;$C8)</f>
        <v>27800</v>
      </c>
      <c r="H8" s="51" t="n">
        <f aca="false">$F8-$G8</f>
        <v>34350</v>
      </c>
      <c r="I8" s="52" t="n">
        <f aca="false">COUNTIFS('Lead Management'!$P$4:$P$1003,"&gt;="&amp;$B8,'Lead Management'!$P$4:$P$1003,"&lt;="&amp;$C8)</f>
        <v>4</v>
      </c>
      <c r="J8" s="52" t="n">
        <f aca="false">COUNTIFS(Contracts!$D$4:$D$1003,"&gt;="&amp;$B8,Contracts!$D$4:$D$1003,"&lt;="&amp;$C8)</f>
        <v>3</v>
      </c>
      <c r="K8" s="52" t="n">
        <f aca="false">COUNTIFS('Process Tracking'!$BF$5:$BF$1003,"Completed",'Process Tracking'!$BG$5:$BG$1003,"&gt;="&amp;$B8,'Process Tracking'!$BG$5:$BG$1003,"&lt;="&amp;$C8)</f>
        <v>0</v>
      </c>
    </row>
    <row r="9" customFormat="false" ht="15" hidden="false" customHeight="false" outlineLevel="0" collapsed="false">
      <c r="A9" s="27" t="str">
        <f aca="false">TEXT($B9,"MMM")</f>
        <v>Apr</v>
      </c>
      <c r="B9" s="29" t="n">
        <f aca="false">DATE(Settings!$B$14,4,1)</f>
        <v>46113</v>
      </c>
      <c r="C9" s="29" t="n">
        <f aca="false">EOMONTH($B9,0)</f>
        <v>46142</v>
      </c>
      <c r="D9" s="41" t="n">
        <f aca="false">SUMIFS(Finance!$E$4:$E$1003,Finance!$F$4:$F$1003,"&gt;="&amp;$B9,Finance!$F$4:$F$1003,"&lt;="&amp;$C9,Finance!$J$4:$J$1003,"Paid")</f>
        <v>76150</v>
      </c>
      <c r="E9" s="41" t="n">
        <f aca="false">SUMIFS(Consultation!$H$4:$H$1003,Consultation!$E$4:$E$1003,"&gt;="&amp;$B9,Consultation!$E$4:$E$1003,"&lt;="&amp;$C9,Consultation!$I$4:$I$1003,"Paid")</f>
        <v>200</v>
      </c>
      <c r="F9" s="41" t="n">
        <f aca="false">$D9+$E9</f>
        <v>76350</v>
      </c>
      <c r="G9" s="41" t="n">
        <f aca="false">SUMIFS(Finance!$U$4:$U$1003,Finance!$R$4:$R$1003,"&gt;="&amp;$B9,Finance!$R$4:$R$1003,"&lt;="&amp;$C9)</f>
        <v>28420</v>
      </c>
      <c r="H9" s="51" t="n">
        <f aca="false">$F9-$G9</f>
        <v>47930</v>
      </c>
      <c r="I9" s="52" t="n">
        <f aca="false">COUNTIFS('Lead Management'!$P$4:$P$1003,"&gt;="&amp;$B9,'Lead Management'!$P$4:$P$1003,"&lt;="&amp;$C9)</f>
        <v>4</v>
      </c>
      <c r="J9" s="52" t="n">
        <f aca="false">COUNTIFS(Contracts!$D$4:$D$1003,"&gt;="&amp;$B9,Contracts!$D$4:$D$1003,"&lt;="&amp;$C9)</f>
        <v>3</v>
      </c>
      <c r="K9" s="52" t="n">
        <f aca="false">COUNTIFS('Process Tracking'!$BF$5:$BF$1003,"Completed",'Process Tracking'!$BG$5:$BG$1003,"&gt;="&amp;$B9,'Process Tracking'!$BG$5:$BG$1003,"&lt;="&amp;$C9)</f>
        <v>0</v>
      </c>
    </row>
    <row r="10" customFormat="false" ht="15" hidden="false" customHeight="false" outlineLevel="0" collapsed="false">
      <c r="A10" s="27" t="str">
        <f aca="false">TEXT($B10,"MMM")</f>
        <v>May</v>
      </c>
      <c r="B10" s="29" t="n">
        <f aca="false">DATE(Settings!$B$14,5,1)</f>
        <v>46143</v>
      </c>
      <c r="C10" s="29" t="n">
        <f aca="false">EOMONTH($B10,0)</f>
        <v>46173</v>
      </c>
      <c r="D10" s="41" t="n">
        <f aca="false">SUMIFS(Finance!$E$4:$E$1003,Finance!$F$4:$F$1003,"&gt;="&amp;$B10,Finance!$F$4:$F$1003,"&lt;="&amp;$C10,Finance!$J$4:$J$1003,"Paid")</f>
        <v>15150</v>
      </c>
      <c r="E10" s="41" t="n">
        <f aca="false">SUMIFS(Consultation!$H$4:$H$1003,Consultation!$E$4:$E$1003,"&gt;="&amp;$B10,Consultation!$E$4:$E$1003,"&lt;="&amp;$C10,Consultation!$I$4:$I$1003,"Paid")</f>
        <v>0</v>
      </c>
      <c r="F10" s="41" t="n">
        <f aca="false">$D10+$E10</f>
        <v>15150</v>
      </c>
      <c r="G10" s="41" t="n">
        <f aca="false">SUMIFS(Finance!$U$4:$U$1003,Finance!$R$4:$R$1003,"&gt;="&amp;$B10,Finance!$R$4:$R$1003,"&lt;="&amp;$C10)</f>
        <v>28440</v>
      </c>
      <c r="H10" s="51" t="n">
        <f aca="false">$F10-$G10</f>
        <v>-13290</v>
      </c>
      <c r="I10" s="52" t="n">
        <f aca="false">COUNTIFS('Lead Management'!$P$4:$P$1003,"&gt;="&amp;$B10,'Lead Management'!$P$4:$P$1003,"&lt;="&amp;$C10)</f>
        <v>4</v>
      </c>
      <c r="J10" s="52" t="n">
        <f aca="false">COUNTIFS(Contracts!$D$4:$D$1003,"&gt;="&amp;$B10,Contracts!$D$4:$D$1003,"&lt;="&amp;$C10)</f>
        <v>0</v>
      </c>
      <c r="K10" s="52" t="n">
        <f aca="false">COUNTIFS('Process Tracking'!$BF$5:$BF$1003,"Completed",'Process Tracking'!$BG$5:$BG$1003,"&gt;="&amp;$B10,'Process Tracking'!$BG$5:$BG$1003,"&lt;="&amp;$C10)</f>
        <v>2</v>
      </c>
    </row>
    <row r="11" customFormat="false" ht="15" hidden="false" customHeight="false" outlineLevel="0" collapsed="false">
      <c r="A11" s="27" t="str">
        <f aca="false">TEXT($B11,"MMM")</f>
        <v>Jun</v>
      </c>
      <c r="B11" s="29" t="n">
        <f aca="false">DATE(Settings!$B$14,6,1)</f>
        <v>46174</v>
      </c>
      <c r="C11" s="29" t="n">
        <f aca="false">EOMONTH($B11,0)</f>
        <v>46203</v>
      </c>
      <c r="D11" s="41" t="n">
        <f aca="false">SUMIFS(Finance!$E$4:$E$1003,Finance!$F$4:$F$1003,"&gt;="&amp;$B11,Finance!$F$4:$F$1003,"&lt;="&amp;$C11,Finance!$J$4:$J$1003,"Paid")</f>
        <v>0</v>
      </c>
      <c r="E11" s="41" t="n">
        <f aca="false">SUMIFS(Consultation!$H$4:$H$1003,Consultation!$E$4:$E$1003,"&gt;="&amp;$B11,Consultation!$E$4:$E$1003,"&lt;="&amp;$C11,Consultation!$I$4:$I$1003,"Paid")</f>
        <v>0</v>
      </c>
      <c r="F11" s="41" t="n">
        <f aca="false">$D11+$E11</f>
        <v>0</v>
      </c>
      <c r="G11" s="41" t="n">
        <f aca="false">SUMIFS(Finance!$U$4:$U$1003,Finance!$R$4:$R$1003,"&gt;="&amp;$B11,Finance!$R$4:$R$1003,"&lt;="&amp;$C11)</f>
        <v>27580</v>
      </c>
      <c r="H11" s="51" t="n">
        <f aca="false">$F11-$G11</f>
        <v>-27580</v>
      </c>
      <c r="I11" s="52" t="n">
        <f aca="false">COUNTIFS('Lead Management'!$P$4:$P$1003,"&gt;="&amp;$B11,'Lead Management'!$P$4:$P$1003,"&lt;="&amp;$C11)</f>
        <v>5</v>
      </c>
      <c r="J11" s="52" t="n">
        <f aca="false">COUNTIFS(Contracts!$D$4:$D$1003,"&gt;="&amp;$B11,Contracts!$D$4:$D$1003,"&lt;="&amp;$C11)</f>
        <v>0</v>
      </c>
      <c r="K11" s="52" t="n">
        <f aca="false">COUNTIFS('Process Tracking'!$BF$5:$BF$1003,"Completed",'Process Tracking'!$BG$5:$BG$1003,"&gt;="&amp;$B11,'Process Tracking'!$BG$5:$BG$1003,"&lt;="&amp;$C11)</f>
        <v>1</v>
      </c>
    </row>
    <row r="12" customFormat="false" ht="15" hidden="false" customHeight="false" outlineLevel="0" collapsed="false">
      <c r="A12" s="27" t="str">
        <f aca="false">TEXT($B12,"MMM")</f>
        <v>Jul</v>
      </c>
      <c r="B12" s="29" t="n">
        <f aca="false">DATE(Settings!$B$14,7,1)</f>
        <v>46204</v>
      </c>
      <c r="C12" s="29" t="n">
        <f aca="false">EOMONTH($B12,0)</f>
        <v>46234</v>
      </c>
      <c r="D12" s="41" t="n">
        <f aca="false">SUMIFS(Finance!$E$4:$E$1003,Finance!$F$4:$F$1003,"&gt;="&amp;$B12,Finance!$F$4:$F$1003,"&lt;="&amp;$C12,Finance!$J$4:$J$1003,"Paid")</f>
        <v>9300</v>
      </c>
      <c r="E12" s="41" t="n">
        <f aca="false">SUMIFS(Consultation!$H$4:$H$1003,Consultation!$E$4:$E$1003,"&gt;="&amp;$B12,Consultation!$E$4:$E$1003,"&lt;="&amp;$C12,Consultation!$I$4:$I$1003,"Paid")</f>
        <v>0</v>
      </c>
      <c r="F12" s="41" t="n">
        <f aca="false">$D12+$E12</f>
        <v>9300</v>
      </c>
      <c r="G12" s="41" t="n">
        <f aca="false">SUMIFS(Finance!$U$4:$U$1003,Finance!$R$4:$R$1003,"&gt;="&amp;$B12,Finance!$R$4:$R$1003,"&lt;="&amp;$C12)</f>
        <v>27210</v>
      </c>
      <c r="H12" s="51" t="n">
        <f aca="false">$F12-$G12</f>
        <v>-17910</v>
      </c>
      <c r="I12" s="52" t="n">
        <f aca="false">COUNTIFS('Lead Management'!$P$4:$P$1003,"&gt;="&amp;$B12,'Lead Management'!$P$4:$P$1003,"&lt;="&amp;$C12)</f>
        <v>7</v>
      </c>
      <c r="J12" s="52" t="n">
        <f aca="false">COUNTIFS(Contracts!$D$4:$D$1003,"&gt;="&amp;$B12,Contracts!$D$4:$D$1003,"&lt;="&amp;$C12)</f>
        <v>0</v>
      </c>
      <c r="K12" s="52" t="n">
        <f aca="false">COUNTIFS('Process Tracking'!$BF$5:$BF$1003,"Completed",'Process Tracking'!$BG$5:$BG$1003,"&gt;="&amp;$B12,'Process Tracking'!$BG$5:$BG$1003,"&lt;="&amp;$C12)</f>
        <v>0</v>
      </c>
    </row>
    <row r="13" customFormat="false" ht="15" hidden="false" customHeight="false" outlineLevel="0" collapsed="false">
      <c r="A13" s="27" t="str">
        <f aca="false">TEXT($B13,"MMM")</f>
        <v>Aug</v>
      </c>
      <c r="B13" s="29" t="n">
        <f aca="false">DATE(Settings!$B$14,8,1)</f>
        <v>46235</v>
      </c>
      <c r="C13" s="29" t="n">
        <f aca="false">EOMONTH($B13,0)</f>
        <v>46265</v>
      </c>
      <c r="D13" s="41" t="n">
        <f aca="false">SUMIFS(Finance!$E$4:$E$1003,Finance!$F$4:$F$1003,"&gt;="&amp;$B13,Finance!$F$4:$F$1003,"&lt;="&amp;$C13,Finance!$J$4:$J$1003,"Paid")</f>
        <v>0</v>
      </c>
      <c r="E13" s="41" t="n">
        <f aca="false">SUMIFS(Consultation!$H$4:$H$1003,Consultation!$E$4:$E$1003,"&gt;="&amp;$B13,Consultation!$E$4:$E$1003,"&lt;="&amp;$C13,Consultation!$I$4:$I$1003,"Paid")</f>
        <v>0</v>
      </c>
      <c r="F13" s="41" t="n">
        <f aca="false">$D13+$E13</f>
        <v>0</v>
      </c>
      <c r="G13" s="41" t="n">
        <f aca="false">SUMIFS(Finance!$U$4:$U$1003,Finance!$R$4:$R$1003,"&gt;="&amp;$B13,Finance!$R$4:$R$1003,"&lt;="&amp;$C13)</f>
        <v>0</v>
      </c>
      <c r="H13" s="51" t="n">
        <f aca="false">$F13-$G13</f>
        <v>0</v>
      </c>
      <c r="I13" s="52" t="n">
        <f aca="false">COUNTIFS('Lead Management'!$P$4:$P$1003,"&gt;="&amp;$B13,'Lead Management'!$P$4:$P$1003,"&lt;="&amp;$C13)</f>
        <v>0</v>
      </c>
      <c r="J13" s="52" t="n">
        <f aca="false">COUNTIFS(Contracts!$D$4:$D$1003,"&gt;="&amp;$B13,Contracts!$D$4:$D$1003,"&lt;="&amp;$C13)</f>
        <v>0</v>
      </c>
      <c r="K13" s="52" t="n">
        <f aca="false">COUNTIFS('Process Tracking'!$BF$5:$BF$1003,"Completed",'Process Tracking'!$BG$5:$BG$1003,"&gt;="&amp;$B13,'Process Tracking'!$BG$5:$BG$1003,"&lt;="&amp;$C13)</f>
        <v>0</v>
      </c>
    </row>
    <row r="14" customFormat="false" ht="15" hidden="false" customHeight="false" outlineLevel="0" collapsed="false">
      <c r="A14" s="27" t="str">
        <f aca="false">TEXT($B14,"MMM")</f>
        <v>Sep</v>
      </c>
      <c r="B14" s="29" t="n">
        <f aca="false">DATE(Settings!$B$14,9,1)</f>
        <v>46266</v>
      </c>
      <c r="C14" s="29" t="n">
        <f aca="false">EOMONTH($B14,0)</f>
        <v>46295</v>
      </c>
      <c r="D14" s="41" t="n">
        <f aca="false">SUMIFS(Finance!$E$4:$E$1003,Finance!$F$4:$F$1003,"&gt;="&amp;$B14,Finance!$F$4:$F$1003,"&lt;="&amp;$C14,Finance!$J$4:$J$1003,"Paid")</f>
        <v>0</v>
      </c>
      <c r="E14" s="41" t="n">
        <f aca="false">SUMIFS(Consultation!$H$4:$H$1003,Consultation!$E$4:$E$1003,"&gt;="&amp;$B14,Consultation!$E$4:$E$1003,"&lt;="&amp;$C14,Consultation!$I$4:$I$1003,"Paid")</f>
        <v>0</v>
      </c>
      <c r="F14" s="41" t="n">
        <f aca="false">$D14+$E14</f>
        <v>0</v>
      </c>
      <c r="G14" s="41" t="n">
        <f aca="false">SUMIFS(Finance!$U$4:$U$1003,Finance!$R$4:$R$1003,"&gt;="&amp;$B14,Finance!$R$4:$R$1003,"&lt;="&amp;$C14)</f>
        <v>0</v>
      </c>
      <c r="H14" s="51" t="n">
        <f aca="false">$F14-$G14</f>
        <v>0</v>
      </c>
      <c r="I14" s="52" t="n">
        <f aca="false">COUNTIFS('Lead Management'!$P$4:$P$1003,"&gt;="&amp;$B14,'Lead Management'!$P$4:$P$1003,"&lt;="&amp;$C14)</f>
        <v>0</v>
      </c>
      <c r="J14" s="52" t="n">
        <f aca="false">COUNTIFS(Contracts!$D$4:$D$1003,"&gt;="&amp;$B14,Contracts!$D$4:$D$1003,"&lt;="&amp;$C14)</f>
        <v>0</v>
      </c>
      <c r="K14" s="52" t="n">
        <f aca="false">COUNTIFS('Process Tracking'!$BF$5:$BF$1003,"Completed",'Process Tracking'!$BG$5:$BG$1003,"&gt;="&amp;$B14,'Process Tracking'!$BG$5:$BG$1003,"&lt;="&amp;$C14)</f>
        <v>0</v>
      </c>
    </row>
    <row r="15" customFormat="false" ht="15" hidden="false" customHeight="false" outlineLevel="0" collapsed="false">
      <c r="A15" s="27" t="str">
        <f aca="false">TEXT($B15,"MMM")</f>
        <v>Oct</v>
      </c>
      <c r="B15" s="29" t="n">
        <f aca="false">DATE(Settings!$B$14,10,1)</f>
        <v>46296</v>
      </c>
      <c r="C15" s="29" t="n">
        <f aca="false">EOMONTH($B15,0)</f>
        <v>46326</v>
      </c>
      <c r="D15" s="41" t="n">
        <f aca="false">SUMIFS(Finance!$E$4:$E$1003,Finance!$F$4:$F$1003,"&gt;="&amp;$B15,Finance!$F$4:$F$1003,"&lt;="&amp;$C15,Finance!$J$4:$J$1003,"Paid")</f>
        <v>0</v>
      </c>
      <c r="E15" s="41" t="n">
        <f aca="false">SUMIFS(Consultation!$H$4:$H$1003,Consultation!$E$4:$E$1003,"&gt;="&amp;$B15,Consultation!$E$4:$E$1003,"&lt;="&amp;$C15,Consultation!$I$4:$I$1003,"Paid")</f>
        <v>0</v>
      </c>
      <c r="F15" s="41" t="n">
        <f aca="false">$D15+$E15</f>
        <v>0</v>
      </c>
      <c r="G15" s="41" t="n">
        <f aca="false">SUMIFS(Finance!$U$4:$U$1003,Finance!$R$4:$R$1003,"&gt;="&amp;$B15,Finance!$R$4:$R$1003,"&lt;="&amp;$C15)</f>
        <v>0</v>
      </c>
      <c r="H15" s="51" t="n">
        <f aca="false">$F15-$G15</f>
        <v>0</v>
      </c>
      <c r="I15" s="52" t="n">
        <f aca="false">COUNTIFS('Lead Management'!$P$4:$P$1003,"&gt;="&amp;$B15,'Lead Management'!$P$4:$P$1003,"&lt;="&amp;$C15)</f>
        <v>0</v>
      </c>
      <c r="J15" s="52" t="n">
        <f aca="false">COUNTIFS(Contracts!$D$4:$D$1003,"&gt;="&amp;$B15,Contracts!$D$4:$D$1003,"&lt;="&amp;$C15)</f>
        <v>0</v>
      </c>
      <c r="K15" s="52" t="n">
        <f aca="false">COUNTIFS('Process Tracking'!$BF$5:$BF$1003,"Completed",'Process Tracking'!$BG$5:$BG$1003,"&gt;="&amp;$B15,'Process Tracking'!$BG$5:$BG$1003,"&lt;="&amp;$C15)</f>
        <v>0</v>
      </c>
    </row>
    <row r="16" customFormat="false" ht="15" hidden="false" customHeight="false" outlineLevel="0" collapsed="false">
      <c r="A16" s="27" t="str">
        <f aca="false">TEXT($B16,"MMM")</f>
        <v>Nov</v>
      </c>
      <c r="B16" s="29" t="n">
        <f aca="false">DATE(Settings!$B$14,11,1)</f>
        <v>46327</v>
      </c>
      <c r="C16" s="29" t="n">
        <f aca="false">EOMONTH($B16,0)</f>
        <v>46356</v>
      </c>
      <c r="D16" s="41" t="n">
        <f aca="false">SUMIFS(Finance!$E$4:$E$1003,Finance!$F$4:$F$1003,"&gt;="&amp;$B16,Finance!$F$4:$F$1003,"&lt;="&amp;$C16,Finance!$J$4:$J$1003,"Paid")</f>
        <v>0</v>
      </c>
      <c r="E16" s="41" t="n">
        <f aca="false">SUMIFS(Consultation!$H$4:$H$1003,Consultation!$E$4:$E$1003,"&gt;="&amp;$B16,Consultation!$E$4:$E$1003,"&lt;="&amp;$C16,Consultation!$I$4:$I$1003,"Paid")</f>
        <v>0</v>
      </c>
      <c r="F16" s="41" t="n">
        <f aca="false">$D16+$E16</f>
        <v>0</v>
      </c>
      <c r="G16" s="41" t="n">
        <f aca="false">SUMIFS(Finance!$U$4:$U$1003,Finance!$R$4:$R$1003,"&gt;="&amp;$B16,Finance!$R$4:$R$1003,"&lt;="&amp;$C16)</f>
        <v>0</v>
      </c>
      <c r="H16" s="51" t="n">
        <f aca="false">$F16-$G16</f>
        <v>0</v>
      </c>
      <c r="I16" s="52" t="n">
        <f aca="false">COUNTIFS('Lead Management'!$P$4:$P$1003,"&gt;="&amp;$B16,'Lead Management'!$P$4:$P$1003,"&lt;="&amp;$C16)</f>
        <v>0</v>
      </c>
      <c r="J16" s="52" t="n">
        <f aca="false">COUNTIFS(Contracts!$D$4:$D$1003,"&gt;="&amp;$B16,Contracts!$D$4:$D$1003,"&lt;="&amp;$C16)</f>
        <v>0</v>
      </c>
      <c r="K16" s="52" t="n">
        <f aca="false">COUNTIFS('Process Tracking'!$BF$5:$BF$1003,"Completed",'Process Tracking'!$BG$5:$BG$1003,"&gt;="&amp;$B16,'Process Tracking'!$BG$5:$BG$1003,"&lt;="&amp;$C16)</f>
        <v>0</v>
      </c>
    </row>
    <row r="17" customFormat="false" ht="15" hidden="false" customHeight="false" outlineLevel="0" collapsed="false">
      <c r="A17" s="27" t="str">
        <f aca="false">TEXT($B17,"MMM")</f>
        <v>Dec</v>
      </c>
      <c r="B17" s="29" t="n">
        <f aca="false">DATE(Settings!$B$14,12,1)</f>
        <v>46357</v>
      </c>
      <c r="C17" s="29" t="n">
        <f aca="false">EOMONTH($B17,0)</f>
        <v>46387</v>
      </c>
      <c r="D17" s="41" t="n">
        <f aca="false">SUMIFS(Finance!$E$4:$E$1003,Finance!$F$4:$F$1003,"&gt;="&amp;$B17,Finance!$F$4:$F$1003,"&lt;="&amp;$C17,Finance!$J$4:$J$1003,"Paid")</f>
        <v>0</v>
      </c>
      <c r="E17" s="41" t="n">
        <f aca="false">SUMIFS(Consultation!$H$4:$H$1003,Consultation!$E$4:$E$1003,"&gt;="&amp;$B17,Consultation!$E$4:$E$1003,"&lt;="&amp;$C17,Consultation!$I$4:$I$1003,"Paid")</f>
        <v>0</v>
      </c>
      <c r="F17" s="41" t="n">
        <f aca="false">$D17+$E17</f>
        <v>0</v>
      </c>
      <c r="G17" s="41" t="n">
        <f aca="false">SUMIFS(Finance!$U$4:$U$1003,Finance!$R$4:$R$1003,"&gt;="&amp;$B17,Finance!$R$4:$R$1003,"&lt;="&amp;$C17)</f>
        <v>0</v>
      </c>
      <c r="H17" s="51" t="n">
        <f aca="false">$F17-$G17</f>
        <v>0</v>
      </c>
      <c r="I17" s="52" t="n">
        <f aca="false">COUNTIFS('Lead Management'!$P$4:$P$1003,"&gt;="&amp;$B17,'Lead Management'!$P$4:$P$1003,"&lt;="&amp;$C17)</f>
        <v>0</v>
      </c>
      <c r="J17" s="52" t="n">
        <f aca="false">COUNTIFS(Contracts!$D$4:$D$1003,"&gt;="&amp;$B17,Contracts!$D$4:$D$1003,"&lt;="&amp;$C17)</f>
        <v>0</v>
      </c>
      <c r="K17" s="52" t="n">
        <f aca="false">COUNTIFS('Process Tracking'!$BF$5:$BF$1003,"Completed",'Process Tracking'!$BG$5:$BG$1003,"&gt;="&amp;$B17,'Process Tracking'!$BG$5:$BG$1003,"&lt;="&amp;$C17)</f>
        <v>0</v>
      </c>
    </row>
    <row r="18" customFormat="false" ht="15" hidden="false" customHeight="false" outlineLevel="0" collapsed="false">
      <c r="A18" s="53" t="s">
        <v>721</v>
      </c>
      <c r="B18" s="53"/>
      <c r="C18" s="53"/>
      <c r="D18" s="54" t="n">
        <f aca="false">SUM(D6:D17)</f>
        <v>225250</v>
      </c>
      <c r="E18" s="54" t="n">
        <f aca="false">SUM(E6:E17)</f>
        <v>700</v>
      </c>
      <c r="F18" s="54" t="n">
        <f aca="false">SUM(F6:F17)</f>
        <v>225950</v>
      </c>
      <c r="G18" s="54" t="n">
        <f aca="false">SUM(G6:G17)</f>
        <v>192300</v>
      </c>
      <c r="H18" s="54" t="n">
        <f aca="false">SUM(H6:H17)</f>
        <v>33650</v>
      </c>
      <c r="I18" s="55" t="n">
        <f aca="false">SUM(I6:I17)</f>
        <v>30</v>
      </c>
      <c r="J18" s="55" t="n">
        <f aca="false">SUM(J6:J17)</f>
        <v>12</v>
      </c>
      <c r="K18" s="55" t="n">
        <f aca="false">SUM(K6:K17)</f>
        <v>3</v>
      </c>
    </row>
    <row r="20" customFormat="false" ht="19.5" hidden="false" customHeight="true" outlineLevel="0" collapsed="false">
      <c r="A20" s="40" t="s">
        <v>722</v>
      </c>
      <c r="B20" s="40"/>
      <c r="C20" s="40"/>
      <c r="E20" s="40" t="s">
        <v>723</v>
      </c>
      <c r="F20" s="40"/>
      <c r="G20" s="40"/>
      <c r="I20" s="40" t="s">
        <v>724</v>
      </c>
      <c r="J20" s="40"/>
      <c r="K20" s="40"/>
      <c r="L20" s="40"/>
    </row>
    <row r="21" customFormat="false" ht="27.75" hidden="false" customHeight="true" outlineLevel="0" collapsed="false">
      <c r="A21" s="26" t="s">
        <v>725</v>
      </c>
      <c r="B21" s="26" t="s">
        <v>726</v>
      </c>
      <c r="C21" s="26" t="s">
        <v>727</v>
      </c>
      <c r="E21" s="26" t="s">
        <v>728</v>
      </c>
      <c r="F21" s="26" t="s">
        <v>729</v>
      </c>
      <c r="G21" s="26" t="s">
        <v>730</v>
      </c>
      <c r="I21" s="26" t="s">
        <v>45</v>
      </c>
      <c r="J21" s="26" t="s">
        <v>731</v>
      </c>
      <c r="K21" s="26" t="s">
        <v>732</v>
      </c>
      <c r="L21" s="26" t="s">
        <v>733</v>
      </c>
    </row>
    <row r="22" customFormat="false" ht="15" hidden="false" customHeight="false" outlineLevel="0" collapsed="false">
      <c r="A22" s="28" t="s">
        <v>734</v>
      </c>
      <c r="B22" s="52" t="n">
        <f aca="false">COUNTA('Lead Management'!$A$4:$A$1003)</f>
        <v>30</v>
      </c>
      <c r="C22" s="56" t="n">
        <f aca="false">IFERROR($B22/$B$22,"")</f>
        <v>1</v>
      </c>
      <c r="E22" s="28" t="s">
        <v>735</v>
      </c>
      <c r="F22" s="52" t="n">
        <f aca="false">COUNTIF('Process Tracking'!$AT$5:$AT$1003,"Completed")</f>
        <v>5</v>
      </c>
      <c r="G22" s="56" t="n">
        <f aca="false">IFERROR($F22/SUM($F$22:$F$24),"")</f>
        <v>0.625</v>
      </c>
      <c r="I22" s="28" t="str">
        <f aca="false">Settings!$B$32</f>
        <v>Instagram</v>
      </c>
      <c r="J22" s="52" t="n">
        <f aca="false">COUNTIF('Lead Management'!$O$4:$O$1003,$I22)</f>
        <v>15</v>
      </c>
      <c r="K22" s="52" t="n">
        <f aca="false">COUNTIF(Customers!$S$4:$S$1003,$I22)</f>
        <v>6</v>
      </c>
      <c r="L22" s="56" t="n">
        <f aca="false">IFERROR($K22/$J22,"")</f>
        <v>0.4</v>
      </c>
    </row>
    <row r="23" customFormat="false" ht="15" hidden="false" customHeight="false" outlineLevel="0" collapsed="false">
      <c r="A23" s="28" t="s">
        <v>736</v>
      </c>
      <c r="B23" s="52" t="n">
        <f aca="false">COUNT('Lead Management'!$S$4:$S$1003)</f>
        <v>26</v>
      </c>
      <c r="C23" s="56" t="n">
        <f aca="false">IFERROR($B23/$B$22,"")</f>
        <v>0.866666666666667</v>
      </c>
      <c r="E23" s="28" t="s">
        <v>737</v>
      </c>
      <c r="F23" s="52" t="n">
        <f aca="false">COUNTIF('Process Tracking'!$AX$5:$AX$1003,"Completed")</f>
        <v>1</v>
      </c>
      <c r="G23" s="56" t="n">
        <f aca="false">IFERROR($F23/SUM($F$22:$F$24),"")</f>
        <v>0.125</v>
      </c>
      <c r="I23" s="28" t="str">
        <f aca="false">Settings!$B$33</f>
        <v>Facebook</v>
      </c>
      <c r="J23" s="52" t="n">
        <f aca="false">COUNTIF('Lead Management'!$O$4:$O$1003,$I23)</f>
        <v>4</v>
      </c>
      <c r="K23" s="52" t="n">
        <f aca="false">COUNTIF(Customers!$S$4:$S$1003,$I23)</f>
        <v>2</v>
      </c>
      <c r="L23" s="56" t="n">
        <f aca="false">IFERROR($K23/$J23,"")</f>
        <v>0.5</v>
      </c>
    </row>
    <row r="24" customFormat="false" ht="15" hidden="false" customHeight="false" outlineLevel="0" collapsed="false">
      <c r="A24" s="28" t="s">
        <v>738</v>
      </c>
      <c r="B24" s="52" t="n">
        <f aca="false">COUNTA(Consultation!$A$4:$A$1003)</f>
        <v>18</v>
      </c>
      <c r="C24" s="56" t="n">
        <f aca="false">IFERROR($B24/$B$22,"")</f>
        <v>0.6</v>
      </c>
      <c r="E24" s="28" t="s">
        <v>739</v>
      </c>
      <c r="F24" s="52" t="n">
        <f aca="false">COUNTIF('Process Tracking'!$AL$5:$AL$1003,"Completed")-COUNTIF('Process Tracking'!$AT$5:$AT$1003,"Completed")-COUNTIF('Process Tracking'!$AX$5:$AX$1003,"Completed")</f>
        <v>2</v>
      </c>
      <c r="G24" s="56" t="n">
        <f aca="false">IFERROR($F24/SUM($F$22:$F$24),"")</f>
        <v>0.25</v>
      </c>
      <c r="I24" s="28" t="str">
        <f aca="false">Settings!$B$34</f>
        <v>Referral</v>
      </c>
      <c r="J24" s="52" t="n">
        <f aca="false">COUNTIF('Lead Management'!$O$4:$O$1003,$I24)</f>
        <v>4</v>
      </c>
      <c r="K24" s="52" t="n">
        <f aca="false">COUNTIF(Customers!$S$4:$S$1003,$I24)</f>
        <v>2</v>
      </c>
      <c r="L24" s="56" t="n">
        <f aca="false">IFERROR($K24/$J24,"")</f>
        <v>0.5</v>
      </c>
    </row>
    <row r="25" customFormat="false" ht="15" hidden="false" customHeight="false" outlineLevel="0" collapsed="false">
      <c r="A25" s="28" t="s">
        <v>740</v>
      </c>
      <c r="B25" s="52" t="n">
        <f aca="false">COUNTIF(Consultation!$J$4:$J$1003,"Completed")</f>
        <v>14</v>
      </c>
      <c r="C25" s="56" t="n">
        <f aca="false">IFERROR($B25/$B$22,"")</f>
        <v>0.466666666666667</v>
      </c>
      <c r="I25" s="28" t="str">
        <f aca="false">Settings!$B$35</f>
        <v>Website</v>
      </c>
      <c r="J25" s="52" t="n">
        <f aca="false">COUNTIF('Lead Management'!$O$4:$O$1003,$I25)</f>
        <v>5</v>
      </c>
      <c r="K25" s="52" t="n">
        <f aca="false">COUNTIF(Customers!$S$4:$S$1003,$I25)</f>
        <v>2</v>
      </c>
      <c r="L25" s="56" t="n">
        <f aca="false">IFERROR($K25/$J25,"")</f>
        <v>0.4</v>
      </c>
    </row>
    <row r="26" customFormat="false" ht="15" hidden="false" customHeight="false" outlineLevel="0" collapsed="false">
      <c r="A26" s="28" t="s">
        <v>741</v>
      </c>
      <c r="B26" s="52" t="n">
        <f aca="false">COUNTA(Contracts!$A$4:$A$1003)</f>
        <v>12</v>
      </c>
      <c r="C26" s="56" t="n">
        <f aca="false">IFERROR($B26/$B$22,"")</f>
        <v>0.4</v>
      </c>
      <c r="I26" s="28" t="str">
        <f aca="false">Settings!$B$36</f>
        <v>Walk-in</v>
      </c>
      <c r="J26" s="52" t="n">
        <f aca="false">COUNTIF('Lead Management'!$O$4:$O$1003,$I26)</f>
        <v>2</v>
      </c>
      <c r="K26" s="52" t="n">
        <f aca="false">COUNTIF(Customers!$S$4:$S$1003,$I26)</f>
        <v>0</v>
      </c>
      <c r="L26" s="56" t="n">
        <f aca="false">IFERROR($K26/$J26,"")</f>
        <v>0</v>
      </c>
    </row>
    <row r="27" customFormat="false" ht="15" hidden="false" customHeight="false" outlineLevel="0" collapsed="false">
      <c r="A27" s="28" t="s">
        <v>742</v>
      </c>
      <c r="B27" s="52" t="n">
        <f aca="false">COUNTIF('Process Tracking'!$AT$5:$AT$1003,"Completed")</f>
        <v>5</v>
      </c>
      <c r="C27" s="56" t="n">
        <f aca="false">IFERROR($B27/$B$22,"")</f>
        <v>0.166666666666667</v>
      </c>
    </row>
    <row r="28" customFormat="false" ht="15" hidden="false" customHeight="false" outlineLevel="0" collapsed="false">
      <c r="A28" s="28" t="s">
        <v>743</v>
      </c>
      <c r="B28" s="52" t="n">
        <f aca="false">COUNTIF('Process Tracking'!$BF$5:$BF$1003,"Completed")</f>
        <v>3</v>
      </c>
      <c r="C28" s="56" t="n">
        <f aca="false">IFERROR($B28/$B$22,"")</f>
        <v>0.1</v>
      </c>
    </row>
    <row r="30" customFormat="false" ht="19.5" hidden="false" customHeight="true" outlineLevel="0" collapsed="false">
      <c r="A30" s="40" t="s">
        <v>744</v>
      </c>
      <c r="B30" s="40"/>
      <c r="C30" s="40"/>
      <c r="D30" s="40"/>
      <c r="F30" s="40" t="s">
        <v>745</v>
      </c>
      <c r="G30" s="40"/>
      <c r="H30" s="40"/>
      <c r="I30" s="40"/>
      <c r="J30" s="40"/>
      <c r="K30" s="40"/>
    </row>
    <row r="31" customFormat="false" ht="27.75" hidden="false" customHeight="true" outlineLevel="0" collapsed="false">
      <c r="A31" s="26" t="s">
        <v>329</v>
      </c>
      <c r="B31" s="26" t="s">
        <v>732</v>
      </c>
      <c r="C31" s="26" t="s">
        <v>746</v>
      </c>
      <c r="D31" s="26" t="s">
        <v>730</v>
      </c>
      <c r="F31" s="26" t="s">
        <v>747</v>
      </c>
      <c r="G31" s="26" t="s">
        <v>620</v>
      </c>
      <c r="H31" s="26" t="s">
        <v>731</v>
      </c>
      <c r="I31" s="26" t="s">
        <v>684</v>
      </c>
      <c r="J31" s="26" t="s">
        <v>732</v>
      </c>
      <c r="K31" s="26" t="s">
        <v>746</v>
      </c>
    </row>
    <row r="32" customFormat="false" ht="15" hidden="false" customHeight="false" outlineLevel="0" collapsed="false">
      <c r="A32" s="28" t="str">
        <f aca="false">Settings!$A$18</f>
        <v>Poland</v>
      </c>
      <c r="B32" s="52" t="n">
        <f aca="false">COUNTIF(Customers!$F$4:$F$1003,$A32)</f>
        <v>4</v>
      </c>
      <c r="C32" s="41" t="n">
        <f aca="false">SUMIF(Customers!$F$4:$F$1003,$A32,Customers!$M$4:$M$1003)</f>
        <v>77000</v>
      </c>
      <c r="D32" s="56" t="n">
        <f aca="false">IFERROR($B32/SUM($B$32:$B$41),"")</f>
        <v>0.333333333333333</v>
      </c>
      <c r="F32" s="28" t="str">
        <f aca="false">'Employee Management'!$B$4</f>
        <v>Farrukh Rahmonov</v>
      </c>
      <c r="G32" s="28" t="str">
        <f aca="false">'Employee Management'!$C$4</f>
        <v>Director</v>
      </c>
      <c r="H32" s="52" t="n">
        <f aca="false">'Employee Management'!$J$4</f>
        <v>0</v>
      </c>
      <c r="I32" s="52" t="n">
        <f aca="false">'Employee Management'!$K$4</f>
        <v>0</v>
      </c>
      <c r="J32" s="52" t="n">
        <f aca="false">'Employee Management'!$L$4</f>
        <v>0</v>
      </c>
      <c r="K32" s="41" t="n">
        <f aca="false">'Employee Management'!$M$4</f>
        <v>0</v>
      </c>
    </row>
    <row r="33" customFormat="false" ht="15" hidden="false" customHeight="false" outlineLevel="0" collapsed="false">
      <c r="A33" s="28" t="str">
        <f aca="false">Settings!$A$19</f>
        <v>Germany</v>
      </c>
      <c r="B33" s="52" t="n">
        <f aca="false">COUNTIF(Customers!$F$4:$F$1003,$A33)</f>
        <v>2</v>
      </c>
      <c r="C33" s="41" t="n">
        <f aca="false">SUMIF(Customers!$F$4:$F$1003,$A33,Customers!$M$4:$M$1003)</f>
        <v>56000</v>
      </c>
      <c r="D33" s="56" t="n">
        <f aca="false">IFERROR($B33/SUM($B$32:$B$41),"")</f>
        <v>0.166666666666667</v>
      </c>
      <c r="F33" s="28" t="str">
        <f aca="false">'Employee Management'!$B$5</f>
        <v>Nilufar Karimova</v>
      </c>
      <c r="G33" s="28" t="str">
        <f aca="false">'Employee Management'!$C$5</f>
        <v>Sales Manager</v>
      </c>
      <c r="H33" s="52" t="n">
        <f aca="false">'Employee Management'!$J$5</f>
        <v>10</v>
      </c>
      <c r="I33" s="52" t="n">
        <f aca="false">'Employee Management'!$K$5</f>
        <v>0</v>
      </c>
      <c r="J33" s="52" t="n">
        <f aca="false">'Employee Management'!$L$5</f>
        <v>4</v>
      </c>
      <c r="K33" s="41" t="n">
        <f aca="false">'Employee Management'!$M$5</f>
        <v>77000</v>
      </c>
    </row>
    <row r="34" customFormat="false" ht="15" hidden="false" customHeight="false" outlineLevel="0" collapsed="false">
      <c r="A34" s="28" t="str">
        <f aca="false">Settings!$A$20</f>
        <v>Czech Republic</v>
      </c>
      <c r="B34" s="52" t="n">
        <f aca="false">COUNTIF(Customers!$F$4:$F$1003,$A34)</f>
        <v>2</v>
      </c>
      <c r="C34" s="41" t="n">
        <f aca="false">SUMIF(Customers!$F$4:$F$1003,$A34,Customers!$M$4:$M$1003)</f>
        <v>37500</v>
      </c>
      <c r="D34" s="56" t="n">
        <f aca="false">IFERROR($B34/SUM($B$32:$B$41),"")</f>
        <v>0.166666666666667</v>
      </c>
      <c r="F34" s="28" t="str">
        <f aca="false">'Employee Management'!$B$6</f>
        <v>Jamshed Sattorov</v>
      </c>
      <c r="G34" s="28" t="str">
        <f aca="false">'Employee Management'!$C$6</f>
        <v>Sales Manager</v>
      </c>
      <c r="H34" s="52" t="n">
        <f aca="false">'Employee Management'!$J$6</f>
        <v>10</v>
      </c>
      <c r="I34" s="52" t="n">
        <f aca="false">'Employee Management'!$K$6</f>
        <v>0</v>
      </c>
      <c r="J34" s="52" t="n">
        <f aca="false">'Employee Management'!$L$6</f>
        <v>4</v>
      </c>
      <c r="K34" s="41" t="n">
        <f aca="false">'Employee Management'!$M$6</f>
        <v>77250</v>
      </c>
    </row>
    <row r="35" customFormat="false" ht="15" hidden="false" customHeight="false" outlineLevel="0" collapsed="false">
      <c r="A35" s="28" t="str">
        <f aca="false">Settings!$A$21</f>
        <v>Slovakia</v>
      </c>
      <c r="B35" s="52" t="n">
        <f aca="false">COUNTIF(Customers!$F$4:$F$1003,$A35)</f>
        <v>1</v>
      </c>
      <c r="C35" s="41" t="n">
        <f aca="false">SUMIF(Customers!$F$4:$F$1003,$A35,Customers!$M$4:$M$1003)</f>
        <v>18000</v>
      </c>
      <c r="D35" s="56" t="n">
        <f aca="false">IFERROR($B35/SUM($B$32:$B$41),"")</f>
        <v>0.0833333333333333</v>
      </c>
      <c r="F35" s="28" t="str">
        <f aca="false">'Employee Management'!$B$7</f>
        <v>Zarina Nazarova</v>
      </c>
      <c r="G35" s="28" t="str">
        <f aca="false">'Employee Management'!$C$7</f>
        <v>Consultant</v>
      </c>
      <c r="H35" s="52" t="n">
        <f aca="false">'Employee Management'!$J$7</f>
        <v>0</v>
      </c>
      <c r="I35" s="52" t="n">
        <f aca="false">'Employee Management'!$K$7</f>
        <v>9</v>
      </c>
      <c r="J35" s="52" t="n">
        <f aca="false">'Employee Management'!$L$7</f>
        <v>0</v>
      </c>
      <c r="K35" s="41" t="n">
        <f aca="false">'Employee Management'!$M$7</f>
        <v>0</v>
      </c>
    </row>
    <row r="36" customFormat="false" ht="15" hidden="false" customHeight="false" outlineLevel="0" collapsed="false">
      <c r="A36" s="28" t="str">
        <f aca="false">Settings!$A$22</f>
        <v>Lithuania</v>
      </c>
      <c r="B36" s="52" t="n">
        <f aca="false">COUNTIF(Customers!$F$4:$F$1003,$A36)</f>
        <v>1</v>
      </c>
      <c r="C36" s="41" t="n">
        <f aca="false">SUMIF(Customers!$F$4:$F$1003,$A36,Customers!$M$4:$M$1003)</f>
        <v>15750</v>
      </c>
      <c r="D36" s="56" t="n">
        <f aca="false">IFERROR($B36/SUM($B$32:$B$41),"")</f>
        <v>0.0833333333333333</v>
      </c>
      <c r="F36" s="28" t="str">
        <f aca="false">'Employee Management'!$B$8</f>
        <v>Bakhtiyor Umarov</v>
      </c>
      <c r="G36" s="28" t="str">
        <f aca="false">'Employee Management'!$C$8</f>
        <v>Document Specialist</v>
      </c>
      <c r="H36" s="52" t="n">
        <f aca="false">'Employee Management'!$J$8</f>
        <v>0</v>
      </c>
      <c r="I36" s="52" t="n">
        <f aca="false">'Employee Management'!$K$8</f>
        <v>0</v>
      </c>
      <c r="J36" s="52" t="n">
        <f aca="false">'Employee Management'!$L$8</f>
        <v>0</v>
      </c>
      <c r="K36" s="41" t="n">
        <f aca="false">'Employee Management'!$M$8</f>
        <v>0</v>
      </c>
    </row>
    <row r="37" customFormat="false" ht="15" hidden="false" customHeight="false" outlineLevel="0" collapsed="false">
      <c r="A37" s="28" t="str">
        <f aca="false">Settings!$A$23</f>
        <v>Hungary</v>
      </c>
      <c r="B37" s="52" t="n">
        <f aca="false">COUNTIF(Customers!$F$4:$F$1003,$A37)</f>
        <v>1</v>
      </c>
      <c r="C37" s="41" t="n">
        <f aca="false">SUMIF(Customers!$F$4:$F$1003,$A37,Customers!$M$4:$M$1003)</f>
        <v>11500</v>
      </c>
      <c r="D37" s="56" t="n">
        <f aca="false">IFERROR($B37/SUM($B$32:$B$41),"")</f>
        <v>0.0833333333333333</v>
      </c>
      <c r="F37" s="28" t="str">
        <f aca="false">'Employee Management'!$B$9</f>
        <v>Manizha Sharipova</v>
      </c>
      <c r="G37" s="28" t="str">
        <f aca="false">'Employee Management'!$C$9</f>
        <v>Accountant</v>
      </c>
      <c r="H37" s="52" t="n">
        <f aca="false">'Employee Management'!$J$9</f>
        <v>0</v>
      </c>
      <c r="I37" s="52" t="n">
        <f aca="false">'Employee Management'!$K$9</f>
        <v>0</v>
      </c>
      <c r="J37" s="52" t="n">
        <f aca="false">'Employee Management'!$L$9</f>
        <v>0</v>
      </c>
      <c r="K37" s="41" t="n">
        <f aca="false">'Employee Management'!$M$9</f>
        <v>0</v>
      </c>
    </row>
    <row r="38" customFormat="false" ht="15" hidden="false" customHeight="false" outlineLevel="0" collapsed="false">
      <c r="A38" s="28" t="str">
        <f aca="false">Settings!$A$24</f>
        <v>Romania</v>
      </c>
      <c r="B38" s="52" t="n">
        <f aca="false">COUNTIF(Customers!$F$4:$F$1003,$A38)</f>
        <v>1</v>
      </c>
      <c r="C38" s="41" t="n">
        <f aca="false">SUMIF(Customers!$F$4:$F$1003,$A38,Customers!$M$4:$M$1003)</f>
        <v>9500</v>
      </c>
      <c r="D38" s="56" t="n">
        <f aca="false">IFERROR($B38/SUM($B$32:$B$41),"")</f>
        <v>0.0833333333333333</v>
      </c>
      <c r="F38" s="28" t="str">
        <f aca="false">'Employee Management'!$B$10</f>
        <v>Rustam Qodirov</v>
      </c>
      <c r="G38" s="28" t="str">
        <f aca="false">'Employee Management'!$C$10</f>
        <v>Marketing Specialist</v>
      </c>
      <c r="H38" s="52" t="n">
        <f aca="false">'Employee Management'!$J$10</f>
        <v>0</v>
      </c>
      <c r="I38" s="52" t="n">
        <f aca="false">'Employee Management'!$K$10</f>
        <v>0</v>
      </c>
      <c r="J38" s="52" t="n">
        <f aca="false">'Employee Management'!$L$10</f>
        <v>0</v>
      </c>
      <c r="K38" s="41" t="n">
        <f aca="false">'Employee Management'!$M$10</f>
        <v>0</v>
      </c>
    </row>
    <row r="39" customFormat="false" ht="15" hidden="false" customHeight="false" outlineLevel="0" collapsed="false">
      <c r="A39" s="28" t="str">
        <f aca="false">Settings!$A$25</f>
        <v>Croatia</v>
      </c>
      <c r="B39" s="52" t="n">
        <f aca="false">COUNTIF(Customers!$F$4:$F$1003,$A39)</f>
        <v>0</v>
      </c>
      <c r="C39" s="41" t="n">
        <f aca="false">SUMIF(Customers!$F$4:$F$1003,$A39,Customers!$M$4:$M$1003)</f>
        <v>0</v>
      </c>
      <c r="D39" s="56" t="n">
        <f aca="false">IFERROR($B39/SUM($B$32:$B$41),"")</f>
        <v>0</v>
      </c>
      <c r="F39" s="28" t="str">
        <f aca="false">'Employee Management'!$B$11</f>
        <v>Dilnoza Aliyeva</v>
      </c>
      <c r="G39" s="28" t="str">
        <f aca="false">'Employee Management'!$C$11</f>
        <v>Manager</v>
      </c>
      <c r="H39" s="52" t="n">
        <f aca="false">'Employee Management'!$J$11</f>
        <v>10</v>
      </c>
      <c r="I39" s="52" t="n">
        <f aca="false">'Employee Management'!$K$11</f>
        <v>9</v>
      </c>
      <c r="J39" s="52" t="n">
        <f aca="false">'Employee Management'!$L$11</f>
        <v>4</v>
      </c>
      <c r="K39" s="41" t="n">
        <f aca="false">'Employee Management'!$M$11</f>
        <v>71000</v>
      </c>
    </row>
    <row r="40" customFormat="false" ht="15" hidden="false" customHeight="false" outlineLevel="0" collapsed="false">
      <c r="A40" s="28" t="str">
        <f aca="false">Settings!$A$26</f>
        <v>Netherlands</v>
      </c>
      <c r="B40" s="52" t="n">
        <f aca="false">COUNTIF(Customers!$F$4:$F$1003,$A40)</f>
        <v>0</v>
      </c>
      <c r="C40" s="41" t="n">
        <f aca="false">SUMIF(Customers!$F$4:$F$1003,$A40,Customers!$M$4:$M$1003)</f>
        <v>0</v>
      </c>
      <c r="D40" s="56" t="n">
        <f aca="false">IFERROR($B40/SUM($B$32:$B$41),"")</f>
        <v>0</v>
      </c>
    </row>
    <row r="41" customFormat="false" ht="15" hidden="false" customHeight="false" outlineLevel="0" collapsed="false">
      <c r="A41" s="28" t="str">
        <f aca="false">Settings!$A$27</f>
        <v>Portugal</v>
      </c>
      <c r="B41" s="52" t="n">
        <f aca="false">COUNTIF(Customers!$F$4:$F$1003,$A41)</f>
        <v>0</v>
      </c>
      <c r="C41" s="41" t="n">
        <f aca="false">SUMIF(Customers!$F$4:$F$1003,$A41,Customers!$M$4:$M$1003)</f>
        <v>0</v>
      </c>
      <c r="D41" s="56" t="n">
        <f aca="false">IFERROR($B41/SUM($B$32:$B$41),"")</f>
        <v>0</v>
      </c>
    </row>
    <row r="43" customFormat="false" ht="19.5" hidden="false" customHeight="true" outlineLevel="0" collapsed="false">
      <c r="A43" s="40" t="s">
        <v>748</v>
      </c>
      <c r="B43" s="40"/>
      <c r="C43" s="40"/>
      <c r="D43" s="40"/>
      <c r="E43" s="40"/>
      <c r="F43" s="40"/>
      <c r="G43" s="40"/>
    </row>
    <row r="44" customFormat="false" ht="27.75" hidden="false" customHeight="true" outlineLevel="0" collapsed="false">
      <c r="A44" s="26" t="s">
        <v>749</v>
      </c>
      <c r="B44" s="26" t="s">
        <v>674</v>
      </c>
      <c r="C44" s="26" t="s">
        <v>750</v>
      </c>
      <c r="D44" s="26" t="s">
        <v>731</v>
      </c>
      <c r="E44" s="26" t="s">
        <v>732</v>
      </c>
      <c r="F44" s="26" t="s">
        <v>751</v>
      </c>
      <c r="G44" s="26" t="s">
        <v>687</v>
      </c>
    </row>
    <row r="45" customFormat="false" ht="15" hidden="false" customHeight="false" outlineLevel="0" collapsed="false">
      <c r="A45" s="28" t="str">
        <f aca="false">'Marketing &amp; Advertising'!$B$4</f>
        <v>Instagram - Winter Europe Jobs</v>
      </c>
      <c r="B45" s="27" t="str">
        <f aca="false">'Marketing &amp; Advertising'!$C$4</f>
        <v>Instagram</v>
      </c>
      <c r="C45" s="41" t="n">
        <f aca="false">'Marketing &amp; Advertising'!$G$4</f>
        <v>4300</v>
      </c>
      <c r="D45" s="52" t="n">
        <f aca="false">'Marketing &amp; Advertising'!$K$4</f>
        <v>3</v>
      </c>
      <c r="E45" s="52" t="n">
        <f aca="false">'Marketing &amp; Advertising'!$N$4</f>
        <v>3</v>
      </c>
      <c r="F45" s="41" t="n">
        <f aca="false">'Marketing &amp; Advertising'!$O$4</f>
        <v>76000</v>
      </c>
      <c r="G45" s="56" t="n">
        <f aca="false">'Marketing &amp; Advertising'!$P$4</f>
        <v>16.6744186046512</v>
      </c>
    </row>
    <row r="46" customFormat="false" ht="15" hidden="false" customHeight="false" outlineLevel="0" collapsed="false">
      <c r="A46" s="28" t="str">
        <f aca="false">'Marketing &amp; Advertising'!$B$5</f>
        <v>Instagram - Spring Poland Push</v>
      </c>
      <c r="B46" s="27" t="str">
        <f aca="false">'Marketing &amp; Advertising'!$C$5</f>
        <v>Instagram</v>
      </c>
      <c r="C46" s="41" t="n">
        <f aca="false">'Marketing &amp; Advertising'!$G$5</f>
        <v>5850</v>
      </c>
      <c r="D46" s="52" t="n">
        <f aca="false">'Marketing &amp; Advertising'!$K$5</f>
        <v>4</v>
      </c>
      <c r="E46" s="52" t="n">
        <f aca="false">'Marketing &amp; Advertising'!$N$5</f>
        <v>3</v>
      </c>
      <c r="F46" s="41" t="n">
        <f aca="false">'Marketing &amp; Advertising'!$O$5</f>
        <v>48750</v>
      </c>
      <c r="G46" s="56" t="n">
        <f aca="false">'Marketing &amp; Advertising'!$P$5</f>
        <v>7.33333333333333</v>
      </c>
    </row>
    <row r="47" customFormat="false" ht="15" hidden="false" customHeight="false" outlineLevel="0" collapsed="false">
      <c r="A47" s="28" t="str">
        <f aca="false">'Marketing &amp; Advertising'!$B$6</f>
        <v>Facebook - Germany Welders</v>
      </c>
      <c r="B47" s="27" t="str">
        <f aca="false">'Marketing &amp; Advertising'!$C$6</f>
        <v>Facebook</v>
      </c>
      <c r="C47" s="41" t="n">
        <f aca="false">'Marketing &amp; Advertising'!$G$6</f>
        <v>3050</v>
      </c>
      <c r="D47" s="52" t="n">
        <f aca="false">'Marketing &amp; Advertising'!$K$6</f>
        <v>3</v>
      </c>
      <c r="E47" s="52" t="n">
        <f aca="false">'Marketing &amp; Advertising'!$N$6</f>
        <v>2</v>
      </c>
      <c r="F47" s="41" t="n">
        <f aca="false">'Marketing &amp; Advertising'!$O$6</f>
        <v>37500</v>
      </c>
      <c r="G47" s="56" t="n">
        <f aca="false">'Marketing &amp; Advertising'!$P$6</f>
        <v>11.2950819672131</v>
      </c>
    </row>
    <row r="48" customFormat="false" ht="15" hidden="false" customHeight="false" outlineLevel="0" collapsed="false">
      <c r="A48" s="28" t="str">
        <f aca="false">'Marketing &amp; Advertising'!$B$7</f>
        <v>Website SEO &amp; Landing Page</v>
      </c>
      <c r="B48" s="27" t="str">
        <f aca="false">'Marketing &amp; Advertising'!$C$7</f>
        <v>Website</v>
      </c>
      <c r="C48" s="41" t="n">
        <f aca="false">'Marketing &amp; Advertising'!$G$7</f>
        <v>2400</v>
      </c>
      <c r="D48" s="52" t="n">
        <f aca="false">'Marketing &amp; Advertising'!$K$7</f>
        <v>5</v>
      </c>
      <c r="E48" s="52" t="n">
        <f aca="false">'Marketing &amp; Advertising'!$N$7</f>
        <v>2</v>
      </c>
      <c r="F48" s="41" t="n">
        <f aca="false">'Marketing &amp; Advertising'!$O$7</f>
        <v>29500</v>
      </c>
      <c r="G48" s="56" t="n">
        <f aca="false">'Marketing &amp; Advertising'!$P$7</f>
        <v>11.2916666666667</v>
      </c>
    </row>
    <row r="49" customFormat="false" ht="15" hidden="false" customHeight="false" outlineLevel="0" collapsed="false">
      <c r="A49" s="28" t="str">
        <f aca="false">'Marketing &amp; Advertising'!$B$8</f>
        <v>Referral Bonus Program</v>
      </c>
      <c r="B49" s="27" t="str">
        <f aca="false">'Marketing &amp; Advertising'!$C$8</f>
        <v>Referral</v>
      </c>
      <c r="C49" s="41" t="n">
        <f aca="false">'Marketing &amp; Advertising'!$G$8</f>
        <v>1400</v>
      </c>
      <c r="D49" s="52" t="n">
        <f aca="false">'Marketing &amp; Advertising'!$K$8</f>
        <v>4</v>
      </c>
      <c r="E49" s="52" t="n">
        <f aca="false">'Marketing &amp; Advertising'!$N$8</f>
        <v>2</v>
      </c>
      <c r="F49" s="41" t="n">
        <f aca="false">'Marketing &amp; Advertising'!$O$8</f>
        <v>33500</v>
      </c>
      <c r="G49" s="56" t="n">
        <f aca="false">'Marketing &amp; Advertising'!$P$8</f>
        <v>22.9285714285714</v>
      </c>
    </row>
    <row r="50" customFormat="false" ht="15" hidden="false" customHeight="false" outlineLevel="0" collapsed="false">
      <c r="A50" s="28" t="str">
        <f aca="false">'Marketing &amp; Advertising'!$B$9</f>
        <v>Instagram - Summer Reels</v>
      </c>
      <c r="B50" s="27" t="str">
        <f aca="false">'Marketing &amp; Advertising'!$C$9</f>
        <v>Instagram</v>
      </c>
      <c r="C50" s="41" t="n">
        <f aca="false">'Marketing &amp; Advertising'!$G$9</f>
        <v>2300</v>
      </c>
      <c r="D50" s="52" t="n">
        <f aca="false">'Marketing &amp; Advertising'!$K$9</f>
        <v>8</v>
      </c>
      <c r="E50" s="52" t="n">
        <f aca="false">'Marketing &amp; Advertising'!$N$9</f>
        <v>0</v>
      </c>
      <c r="F50" s="41" t="n">
        <f aca="false">'Marketing &amp; Advertising'!$O$9</f>
        <v>0</v>
      </c>
      <c r="G50" s="56" t="n">
        <f aca="false">'Marketing &amp; Advertising'!$P$9</f>
        <v>-1</v>
      </c>
    </row>
    <row r="52" customFormat="false" ht="19.5" hidden="false" customHeight="true" outlineLevel="0" collapsed="false">
      <c r="A52" s="40" t="s">
        <v>752</v>
      </c>
      <c r="B52" s="40"/>
      <c r="C52" s="40"/>
    </row>
    <row r="53" customFormat="false" ht="27.75" hidden="false" customHeight="true" outlineLevel="0" collapsed="false">
      <c r="A53" s="26" t="s">
        <v>753</v>
      </c>
      <c r="B53" s="26" t="s">
        <v>754</v>
      </c>
      <c r="C53" s="26" t="s">
        <v>730</v>
      </c>
    </row>
    <row r="54" customFormat="false" ht="15" hidden="false" customHeight="false" outlineLevel="0" collapsed="false">
      <c r="A54" s="28" t="str">
        <f aca="false">Settings!$U$32</f>
        <v>Contract Signed</v>
      </c>
      <c r="B54" s="52" t="n">
        <f aca="false">COUNTIF(Customers!$P$4:$P$1003,$A54)</f>
        <v>0</v>
      </c>
      <c r="C54" s="56" t="n">
        <f aca="false">IFERROR($B54/SUM($B$54:$B$67),"")</f>
        <v>0</v>
      </c>
    </row>
    <row r="55" customFormat="false" ht="15" hidden="false" customHeight="false" outlineLevel="0" collapsed="false">
      <c r="A55" s="28" t="str">
        <f aca="false">Settings!$U$33</f>
        <v>Documents Being Prepared</v>
      </c>
      <c r="B55" s="52" t="n">
        <f aca="false">COUNTIF(Customers!$P$4:$P$1003,$A55)</f>
        <v>1</v>
      </c>
      <c r="C55" s="56" t="n">
        <f aca="false">IFERROR($B55/SUM($B$54:$B$67),"")</f>
        <v>0.0833333333333333</v>
      </c>
    </row>
    <row r="56" customFormat="false" ht="15" hidden="false" customHeight="false" outlineLevel="0" collapsed="false">
      <c r="A56" s="28" t="str">
        <f aca="false">Settings!$U$34</f>
        <v>Documents Completed</v>
      </c>
      <c r="B56" s="52" t="n">
        <f aca="false">COUNTIF(Customers!$P$4:$P$1003,$A56)</f>
        <v>0</v>
      </c>
      <c r="C56" s="56" t="n">
        <f aca="false">IFERROR($B56/SUM($B$54:$B$67),"")</f>
        <v>0</v>
      </c>
    </row>
    <row r="57" customFormat="false" ht="15" hidden="false" customHeight="false" outlineLevel="0" collapsed="false">
      <c r="A57" s="28" t="str">
        <f aca="false">Settings!$U$35</f>
        <v>Documents Sent to Employer</v>
      </c>
      <c r="B57" s="52" t="n">
        <f aca="false">COUNTIF(Customers!$P$4:$P$1003,$A57)</f>
        <v>1</v>
      </c>
      <c r="C57" s="56" t="n">
        <f aca="false">IFERROR($B57/SUM($B$54:$B$67),"")</f>
        <v>0.0833333333333333</v>
      </c>
    </row>
    <row r="58" customFormat="false" ht="15" hidden="false" customHeight="false" outlineLevel="0" collapsed="false">
      <c r="A58" s="28" t="str">
        <f aca="false">Settings!$U$36</f>
        <v>Work Permit Issued</v>
      </c>
      <c r="B58" s="52" t="n">
        <f aca="false">COUNTIF(Customers!$P$4:$P$1003,$A58)</f>
        <v>0</v>
      </c>
      <c r="C58" s="56" t="n">
        <f aca="false">IFERROR($B58/SUM($B$54:$B$67),"")</f>
        <v>0</v>
      </c>
    </row>
    <row r="59" customFormat="false" ht="15" hidden="false" customHeight="false" outlineLevel="0" collapsed="false">
      <c r="A59" s="28" t="str">
        <f aca="false">Settings!$U$37</f>
        <v>Employment Contract Issued</v>
      </c>
      <c r="B59" s="52" t="n">
        <f aca="false">COUNTIF(Customers!$P$4:$P$1003,$A59)</f>
        <v>1</v>
      </c>
      <c r="C59" s="56" t="n">
        <f aca="false">IFERROR($B59/SUM($B$54:$B$67),"")</f>
        <v>0.0833333333333333</v>
      </c>
    </row>
    <row r="60" customFormat="false" ht="15" hidden="false" customHeight="false" outlineLevel="0" collapsed="false">
      <c r="A60" s="28" t="str">
        <f aca="false">Settings!$U$38</f>
        <v>Embassy Appointment Booked</v>
      </c>
      <c r="B60" s="52" t="n">
        <f aca="false">COUNTIF(Customers!$P$4:$P$1003,$A60)</f>
        <v>1</v>
      </c>
      <c r="C60" s="56" t="n">
        <f aca="false">IFERROR($B60/SUM($B$54:$B$67),"")</f>
        <v>0.0833333333333333</v>
      </c>
    </row>
    <row r="61" customFormat="false" ht="15" hidden="false" customHeight="false" outlineLevel="0" collapsed="false">
      <c r="A61" s="28" t="str">
        <f aca="false">Settings!$U$39</f>
        <v>Visa Application Submitted</v>
      </c>
      <c r="B61" s="52" t="n">
        <f aca="false">COUNTIF(Customers!$P$4:$P$1003,$A61)</f>
        <v>1</v>
      </c>
      <c r="C61" s="56" t="n">
        <f aca="false">IFERROR($B61/SUM($B$54:$B$67),"")</f>
        <v>0.0833333333333333</v>
      </c>
    </row>
    <row r="62" customFormat="false" ht="15" hidden="false" customHeight="false" outlineLevel="0" collapsed="false">
      <c r="A62" s="28" t="str">
        <f aca="false">Settings!$U$40</f>
        <v>Visa Decision Pending</v>
      </c>
      <c r="B62" s="52" t="n">
        <f aca="false">COUNTIF(Customers!$P$4:$P$1003,$A62)</f>
        <v>1</v>
      </c>
      <c r="C62" s="56" t="n">
        <f aca="false">IFERROR($B62/SUM($B$54:$B$67),"")</f>
        <v>0.0833333333333333</v>
      </c>
    </row>
    <row r="63" customFormat="false" ht="15" hidden="false" customHeight="false" outlineLevel="0" collapsed="false">
      <c r="A63" s="28" t="str">
        <f aca="false">Settings!$U$41</f>
        <v>Visa Approved</v>
      </c>
      <c r="B63" s="52" t="n">
        <f aca="false">COUNTIF(Customers!$P$4:$P$1003,$A63)</f>
        <v>1</v>
      </c>
      <c r="C63" s="56" t="n">
        <f aca="false">IFERROR($B63/SUM($B$54:$B$67),"")</f>
        <v>0.0833333333333333</v>
      </c>
    </row>
    <row r="64" customFormat="false" ht="15" hidden="false" customHeight="false" outlineLevel="0" collapsed="false">
      <c r="A64" s="28" t="str">
        <f aca="false">Settings!$U$42</f>
        <v>Visa Rejected</v>
      </c>
      <c r="B64" s="52" t="n">
        <f aca="false">COUNTIF(Customers!$P$4:$P$1003,$A64)</f>
        <v>1</v>
      </c>
      <c r="C64" s="56" t="n">
        <f aca="false">IFERROR($B64/SUM($B$54:$B$67),"")</f>
        <v>0.0833333333333333</v>
      </c>
    </row>
    <row r="65" customFormat="false" ht="15" hidden="false" customHeight="false" outlineLevel="0" collapsed="false">
      <c r="A65" s="28" t="str">
        <f aca="false">Settings!$U$43</f>
        <v>Flight Ticket Prepared</v>
      </c>
      <c r="B65" s="52" t="n">
        <f aca="false">COUNTIF(Customers!$P$4:$P$1003,$A65)</f>
        <v>1</v>
      </c>
      <c r="C65" s="56" t="n">
        <f aca="false">IFERROR($B65/SUM($B$54:$B$67),"")</f>
        <v>0.0833333333333333</v>
      </c>
    </row>
    <row r="66" customFormat="false" ht="15" hidden="false" customHeight="false" outlineLevel="0" collapsed="false">
      <c r="A66" s="28" t="str">
        <f aca="false">Settings!$U$44</f>
        <v>Customer Departed to Europe</v>
      </c>
      <c r="B66" s="52" t="n">
        <f aca="false">COUNTIF(Customers!$P$4:$P$1003,$A66)</f>
        <v>1</v>
      </c>
      <c r="C66" s="56" t="n">
        <f aca="false">IFERROR($B66/SUM($B$54:$B$67),"")</f>
        <v>0.0833333333333333</v>
      </c>
    </row>
    <row r="67" customFormat="false" ht="15" hidden="false" customHeight="false" outlineLevel="0" collapsed="false">
      <c r="A67" s="28" t="str">
        <f aca="false">Settings!$U$45</f>
        <v>Case Completed</v>
      </c>
      <c r="B67" s="52" t="n">
        <f aca="false">COUNTIF(Customers!$P$4:$P$1003,$A67)</f>
        <v>2</v>
      </c>
      <c r="C67" s="56" t="n">
        <f aca="false">IFERROR($B67/SUM($B$54:$B$67),"")</f>
        <v>0.166666666666667</v>
      </c>
    </row>
  </sheetData>
  <mergeCells count="10">
    <mergeCell ref="A1:L1"/>
    <mergeCell ref="A2:L2"/>
    <mergeCell ref="A4:K4"/>
    <mergeCell ref="A20:C20"/>
    <mergeCell ref="E20:G20"/>
    <mergeCell ref="I20:L20"/>
    <mergeCell ref="A30:D30"/>
    <mergeCell ref="F30:K30"/>
    <mergeCell ref="A43:G43"/>
    <mergeCell ref="A52:C5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5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2734375" defaultRowHeight="15" customHeight="false"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22"/>
    <col collapsed="false" customWidth="true" hidden="false" outlineLevel="0" max="4" min="4" style="0" width="17"/>
    <col collapsed="false" customWidth="true" hidden="false" outlineLevel="0" max="5" min="5" style="0" width="16"/>
    <col collapsed="false" customWidth="true" hidden="false" outlineLevel="0" max="6" min="6" style="0" width="20"/>
    <col collapsed="false" customWidth="true" hidden="false" outlineLevel="0" max="8" min="7" style="0" width="25"/>
    <col collapsed="false" customWidth="true" hidden="false" outlineLevel="0" max="10" min="9" style="0" width="20"/>
    <col collapsed="false" customWidth="true" hidden="false" outlineLevel="0" max="11" min="11" style="0" width="19"/>
    <col collapsed="false" customWidth="true" hidden="false" outlineLevel="0" max="12" min="12" style="0" width="18"/>
    <col collapsed="false" customWidth="true" hidden="false" outlineLevel="0" max="13" min="13" style="0" width="16"/>
    <col collapsed="false" customWidth="true" hidden="false" outlineLevel="0" max="15" min="14" style="0" width="21"/>
    <col collapsed="false" customWidth="true" hidden="false" outlineLevel="0" max="16" min="16" style="0" width="19"/>
    <col collapsed="false" customWidth="true" hidden="false" outlineLevel="0" max="17" min="17" style="0" width="22"/>
    <col collapsed="false" customWidth="true" hidden="false" outlineLevel="0" max="18" min="18" style="0" width="23"/>
    <col collapsed="false" customWidth="true" hidden="false" outlineLevel="0" max="19" min="19" style="0" width="16"/>
    <col collapsed="false" customWidth="true" hidden="false" outlineLevel="0" max="20" min="20" style="0" width="17"/>
    <col collapsed="false" customWidth="true" hidden="false" outlineLevel="0" max="21" min="21" style="0" width="20"/>
  </cols>
  <sheetData>
    <row r="1" customFormat="false" ht="30" hidden="false" customHeight="true" outlineLevel="0" collapsed="false">
      <c r="A1" s="1" t="s">
        <v>755</v>
      </c>
      <c r="B1" s="1"/>
      <c r="C1" s="1"/>
      <c r="D1" s="1"/>
      <c r="E1" s="1"/>
      <c r="F1" s="1"/>
      <c r="G1" s="1"/>
      <c r="H1" s="1"/>
      <c r="I1" s="1"/>
      <c r="J1" s="1"/>
      <c r="K1" s="1"/>
      <c r="L1" s="1"/>
      <c r="M1" s="1"/>
      <c r="N1" s="1"/>
      <c r="O1" s="1"/>
      <c r="P1" s="1"/>
      <c r="Q1" s="1"/>
      <c r="R1" s="1"/>
      <c r="S1" s="1"/>
      <c r="T1" s="1"/>
      <c r="U1" s="1"/>
    </row>
    <row r="2" customFormat="false" ht="15.75" hidden="false" customHeight="true" outlineLevel="0" collapsed="false">
      <c r="A2" s="2" t="s">
        <v>756</v>
      </c>
      <c r="B2" s="2"/>
      <c r="C2" s="2"/>
      <c r="D2" s="2"/>
      <c r="E2" s="2"/>
      <c r="F2" s="2"/>
      <c r="G2" s="2"/>
      <c r="H2" s="2"/>
      <c r="I2" s="2"/>
      <c r="J2" s="2"/>
      <c r="K2" s="2"/>
      <c r="L2" s="2"/>
      <c r="M2" s="2"/>
      <c r="N2" s="2"/>
      <c r="O2" s="2"/>
      <c r="P2" s="2"/>
      <c r="Q2" s="2"/>
      <c r="R2" s="2"/>
      <c r="S2" s="2"/>
      <c r="T2" s="2"/>
      <c r="U2" s="2"/>
    </row>
    <row r="4" customFormat="false" ht="19.5" hidden="false" customHeight="true" outlineLevel="0" collapsed="false">
      <c r="A4" s="40" t="s">
        <v>757</v>
      </c>
      <c r="B4" s="40"/>
      <c r="C4" s="40"/>
      <c r="D4" s="40"/>
      <c r="E4" s="40"/>
      <c r="F4" s="40"/>
      <c r="G4" s="40"/>
    </row>
    <row r="5" customFormat="false" ht="15" hidden="false" customHeight="false" outlineLevel="0" collapsed="false">
      <c r="A5" s="44" t="s">
        <v>758</v>
      </c>
      <c r="B5" s="57" t="s">
        <v>759</v>
      </c>
    </row>
    <row r="6" customFormat="false" ht="15" hidden="false" customHeight="false" outlineLevel="0" collapsed="false">
      <c r="A6" s="44" t="s">
        <v>760</v>
      </c>
      <c r="B6" s="57" t="s">
        <v>761</v>
      </c>
    </row>
    <row r="7" customFormat="false" ht="15" hidden="false" customHeight="false" outlineLevel="0" collapsed="false">
      <c r="A7" s="44" t="s">
        <v>762</v>
      </c>
      <c r="B7" s="57" t="s">
        <v>763</v>
      </c>
    </row>
    <row r="8" customFormat="false" ht="15" hidden="false" customHeight="false" outlineLevel="0" collapsed="false">
      <c r="A8" s="44" t="s">
        <v>262</v>
      </c>
      <c r="B8" s="58" t="n">
        <v>50</v>
      </c>
    </row>
    <row r="9" customFormat="false" ht="15" hidden="false" customHeight="false" outlineLevel="0" collapsed="false">
      <c r="A9" s="44" t="s">
        <v>764</v>
      </c>
      <c r="B9" s="59" t="n">
        <v>0.3</v>
      </c>
    </row>
    <row r="10" customFormat="false" ht="15" hidden="false" customHeight="false" outlineLevel="0" collapsed="false">
      <c r="A10" s="44" t="s">
        <v>765</v>
      </c>
      <c r="B10" s="59" t="n">
        <v>0.2</v>
      </c>
    </row>
    <row r="11" customFormat="false" ht="15" hidden="false" customHeight="false" outlineLevel="0" collapsed="false">
      <c r="A11" s="44" t="s">
        <v>766</v>
      </c>
      <c r="B11" s="59" t="n">
        <v>0.25</v>
      </c>
    </row>
    <row r="12" customFormat="false" ht="15" hidden="false" customHeight="false" outlineLevel="0" collapsed="false">
      <c r="A12" s="44" t="s">
        <v>767</v>
      </c>
      <c r="B12" s="59" t="n">
        <v>0.25</v>
      </c>
    </row>
    <row r="13" customFormat="false" ht="15" hidden="false" customHeight="false" outlineLevel="0" collapsed="false">
      <c r="A13" s="44" t="s">
        <v>768</v>
      </c>
      <c r="B13" s="60" t="n">
        <f aca="false">SUM($B$9:$B$12)</f>
        <v>1</v>
      </c>
      <c r="C13" s="61" t="str">
        <f aca="false">IF(ROUND($B$13,4)=1,"OK - split is valid","ERROR - the four payments must total 100%")</f>
        <v>OK - split is valid</v>
      </c>
    </row>
    <row r="14" customFormat="false" ht="15" hidden="false" customHeight="false" outlineLevel="0" collapsed="false">
      <c r="A14" s="44" t="s">
        <v>769</v>
      </c>
      <c r="B14" s="62" t="n">
        <v>2026</v>
      </c>
    </row>
    <row r="16" customFormat="false" ht="19.5" hidden="false" customHeight="true" outlineLevel="0" collapsed="false">
      <c r="A16" s="40" t="s">
        <v>770</v>
      </c>
      <c r="B16" s="40"/>
      <c r="C16" s="40"/>
      <c r="D16" s="40"/>
      <c r="E16" s="40"/>
      <c r="F16" s="40"/>
      <c r="G16" s="40"/>
    </row>
    <row r="17" customFormat="false" ht="27.75" hidden="false" customHeight="true" outlineLevel="0" collapsed="false">
      <c r="A17" s="26" t="s">
        <v>771</v>
      </c>
      <c r="B17" s="26" t="s">
        <v>335</v>
      </c>
      <c r="C17" s="26" t="s">
        <v>772</v>
      </c>
      <c r="D17" s="26" t="s">
        <v>773</v>
      </c>
      <c r="E17" s="26" t="s">
        <v>774</v>
      </c>
      <c r="F17" s="26" t="s">
        <v>775</v>
      </c>
      <c r="G17" s="26" t="s">
        <v>776</v>
      </c>
    </row>
    <row r="18" customFormat="false" ht="15" hidden="false" customHeight="false" outlineLevel="0" collapsed="false">
      <c r="A18" s="28" t="s">
        <v>65</v>
      </c>
      <c r="B18" s="63" t="n">
        <v>22000</v>
      </c>
      <c r="C18" s="41" t="n">
        <f aca="false">$B18*$B$9</f>
        <v>6600</v>
      </c>
      <c r="D18" s="41" t="n">
        <f aca="false">$B18*$B$10</f>
        <v>4400</v>
      </c>
      <c r="E18" s="41" t="n">
        <f aca="false">$B18*$B$11</f>
        <v>5500</v>
      </c>
      <c r="F18" s="41" t="n">
        <f aca="false">$B18*$B$12</f>
        <v>5500</v>
      </c>
      <c r="G18" s="52" t="n">
        <v>90</v>
      </c>
    </row>
    <row r="19" customFormat="false" ht="15" hidden="false" customHeight="false" outlineLevel="0" collapsed="false">
      <c r="A19" s="28" t="s">
        <v>78</v>
      </c>
      <c r="B19" s="63" t="n">
        <v>32000</v>
      </c>
      <c r="C19" s="41" t="n">
        <f aca="false">$B19*$B$9</f>
        <v>9600</v>
      </c>
      <c r="D19" s="41" t="n">
        <f aca="false">$B19*$B$10</f>
        <v>6400</v>
      </c>
      <c r="E19" s="41" t="n">
        <f aca="false">$B19*$B$11</f>
        <v>8000</v>
      </c>
      <c r="F19" s="41" t="n">
        <f aca="false">$B19*$B$12</f>
        <v>8000</v>
      </c>
      <c r="G19" s="52" t="n">
        <v>120</v>
      </c>
    </row>
    <row r="20" customFormat="false" ht="15" hidden="false" customHeight="false" outlineLevel="0" collapsed="false">
      <c r="A20" s="28" t="s">
        <v>88</v>
      </c>
      <c r="B20" s="63" t="n">
        <v>25000</v>
      </c>
      <c r="C20" s="41" t="n">
        <f aca="false">$B20*$B$9</f>
        <v>7500</v>
      </c>
      <c r="D20" s="41" t="n">
        <f aca="false">$B20*$B$10</f>
        <v>5000</v>
      </c>
      <c r="E20" s="41" t="n">
        <f aca="false">$B20*$B$11</f>
        <v>6250</v>
      </c>
      <c r="F20" s="41" t="n">
        <f aca="false">$B20*$B$12</f>
        <v>6250</v>
      </c>
      <c r="G20" s="52" t="n">
        <v>100</v>
      </c>
    </row>
    <row r="21" customFormat="false" ht="15" hidden="false" customHeight="false" outlineLevel="0" collapsed="false">
      <c r="A21" s="28" t="s">
        <v>106</v>
      </c>
      <c r="B21" s="63" t="n">
        <v>24000</v>
      </c>
      <c r="C21" s="41" t="n">
        <f aca="false">$B21*$B$9</f>
        <v>7200</v>
      </c>
      <c r="D21" s="41" t="n">
        <f aca="false">$B21*$B$10</f>
        <v>4800</v>
      </c>
      <c r="E21" s="41" t="n">
        <f aca="false">$B21*$B$11</f>
        <v>6000</v>
      </c>
      <c r="F21" s="41" t="n">
        <f aca="false">$B21*$B$12</f>
        <v>6000</v>
      </c>
      <c r="G21" s="52" t="n">
        <v>95</v>
      </c>
    </row>
    <row r="22" customFormat="false" ht="15" hidden="false" customHeight="false" outlineLevel="0" collapsed="false">
      <c r="A22" s="28" t="s">
        <v>124</v>
      </c>
      <c r="B22" s="63" t="n">
        <v>21000</v>
      </c>
      <c r="C22" s="41" t="n">
        <f aca="false">$B22*$B$9</f>
        <v>6300</v>
      </c>
      <c r="D22" s="41" t="n">
        <f aca="false">$B22*$B$10</f>
        <v>4200</v>
      </c>
      <c r="E22" s="41" t="n">
        <f aca="false">$B22*$B$11</f>
        <v>5250</v>
      </c>
      <c r="F22" s="41" t="n">
        <f aca="false">$B22*$B$12</f>
        <v>5250</v>
      </c>
      <c r="G22" s="52" t="n">
        <v>85</v>
      </c>
    </row>
    <row r="23" customFormat="false" ht="15" hidden="false" customHeight="false" outlineLevel="0" collapsed="false">
      <c r="A23" s="28" t="s">
        <v>142</v>
      </c>
      <c r="B23" s="63" t="n">
        <v>23000</v>
      </c>
      <c r="C23" s="41" t="n">
        <f aca="false">$B23*$B$9</f>
        <v>6900</v>
      </c>
      <c r="D23" s="41" t="n">
        <f aca="false">$B23*$B$10</f>
        <v>4600</v>
      </c>
      <c r="E23" s="41" t="n">
        <f aca="false">$B23*$B$11</f>
        <v>5750</v>
      </c>
      <c r="F23" s="41" t="n">
        <f aca="false">$B23*$B$12</f>
        <v>5750</v>
      </c>
      <c r="G23" s="52" t="n">
        <v>90</v>
      </c>
    </row>
    <row r="24" customFormat="false" ht="15" hidden="false" customHeight="false" outlineLevel="0" collapsed="false">
      <c r="A24" s="28" t="s">
        <v>148</v>
      </c>
      <c r="B24" s="63" t="n">
        <v>19000</v>
      </c>
      <c r="C24" s="41" t="n">
        <f aca="false">$B24*$B$9</f>
        <v>5700</v>
      </c>
      <c r="D24" s="41" t="n">
        <f aca="false">$B24*$B$10</f>
        <v>3800</v>
      </c>
      <c r="E24" s="41" t="n">
        <f aca="false">$B24*$B$11</f>
        <v>4750</v>
      </c>
      <c r="F24" s="41" t="n">
        <f aca="false">$B24*$B$12</f>
        <v>4750</v>
      </c>
      <c r="G24" s="52" t="n">
        <v>75</v>
      </c>
    </row>
    <row r="25" customFormat="false" ht="15" hidden="false" customHeight="false" outlineLevel="0" collapsed="false">
      <c r="A25" s="28" t="s">
        <v>249</v>
      </c>
      <c r="B25" s="63" t="n">
        <v>22000</v>
      </c>
      <c r="C25" s="41" t="n">
        <f aca="false">$B25*$B$9</f>
        <v>6600</v>
      </c>
      <c r="D25" s="41" t="n">
        <f aca="false">$B25*$B$10</f>
        <v>4400</v>
      </c>
      <c r="E25" s="41" t="n">
        <f aca="false">$B25*$B$11</f>
        <v>5500</v>
      </c>
      <c r="F25" s="41" t="n">
        <f aca="false">$B25*$B$12</f>
        <v>5500</v>
      </c>
      <c r="G25" s="52" t="n">
        <v>80</v>
      </c>
    </row>
    <row r="26" customFormat="false" ht="15" hidden="false" customHeight="false" outlineLevel="0" collapsed="false">
      <c r="A26" s="28" t="s">
        <v>220</v>
      </c>
      <c r="B26" s="63" t="n">
        <v>35000</v>
      </c>
      <c r="C26" s="41" t="n">
        <f aca="false">$B26*$B$9</f>
        <v>10500</v>
      </c>
      <c r="D26" s="41" t="n">
        <f aca="false">$B26*$B$10</f>
        <v>7000</v>
      </c>
      <c r="E26" s="41" t="n">
        <f aca="false">$B26*$B$11</f>
        <v>8750</v>
      </c>
      <c r="F26" s="41" t="n">
        <f aca="false">$B26*$B$12</f>
        <v>8750</v>
      </c>
      <c r="G26" s="52" t="n">
        <v>130</v>
      </c>
    </row>
    <row r="27" customFormat="false" ht="15" hidden="false" customHeight="false" outlineLevel="0" collapsed="false">
      <c r="A27" s="28" t="s">
        <v>231</v>
      </c>
      <c r="B27" s="63" t="n">
        <v>28000</v>
      </c>
      <c r="C27" s="41" t="n">
        <f aca="false">$B27*$B$9</f>
        <v>8400</v>
      </c>
      <c r="D27" s="41" t="n">
        <f aca="false">$B27*$B$10</f>
        <v>5600</v>
      </c>
      <c r="E27" s="41" t="n">
        <f aca="false">$B27*$B$11</f>
        <v>7000</v>
      </c>
      <c r="F27" s="41" t="n">
        <f aca="false">$B27*$B$12</f>
        <v>7000</v>
      </c>
      <c r="G27" s="52" t="n">
        <v>110</v>
      </c>
    </row>
    <row r="29" customFormat="false" ht="19.5" hidden="false" customHeight="true" outlineLevel="0" collapsed="false">
      <c r="A29" s="40" t="s">
        <v>777</v>
      </c>
      <c r="B29" s="40"/>
      <c r="C29" s="40"/>
      <c r="D29" s="40"/>
      <c r="E29" s="40"/>
      <c r="F29" s="40"/>
      <c r="G29" s="40"/>
      <c r="H29" s="40"/>
      <c r="I29" s="40"/>
      <c r="J29" s="40"/>
      <c r="K29" s="40"/>
      <c r="L29" s="40"/>
      <c r="M29" s="40"/>
      <c r="N29" s="40"/>
      <c r="O29" s="40"/>
      <c r="P29" s="40"/>
      <c r="Q29" s="40"/>
      <c r="R29" s="40"/>
      <c r="S29" s="40"/>
      <c r="T29" s="40"/>
      <c r="U29" s="40"/>
    </row>
    <row r="30" customFormat="false" ht="15" hidden="false" customHeight="false" outlineLevel="0" collapsed="false">
      <c r="A30" s="64" t="s">
        <v>778</v>
      </c>
    </row>
    <row r="31" customFormat="false" ht="15" hidden="false" customHeight="false" outlineLevel="0" collapsed="false">
      <c r="A31" s="26" t="s">
        <v>48</v>
      </c>
      <c r="B31" s="26" t="s">
        <v>45</v>
      </c>
      <c r="C31" s="26" t="s">
        <v>771</v>
      </c>
      <c r="D31" s="26" t="s">
        <v>37</v>
      </c>
      <c r="E31" s="26" t="s">
        <v>41</v>
      </c>
      <c r="F31" s="26" t="s">
        <v>779</v>
      </c>
      <c r="G31" s="26" t="s">
        <v>264</v>
      </c>
      <c r="H31" s="26" t="s">
        <v>265</v>
      </c>
      <c r="I31" s="26" t="s">
        <v>263</v>
      </c>
      <c r="J31" s="26" t="s">
        <v>436</v>
      </c>
      <c r="K31" s="26" t="s">
        <v>433</v>
      </c>
      <c r="L31" s="26" t="s">
        <v>780</v>
      </c>
      <c r="M31" s="26" t="s">
        <v>781</v>
      </c>
      <c r="N31" s="26" t="s">
        <v>341</v>
      </c>
      <c r="O31" s="26" t="s">
        <v>387</v>
      </c>
      <c r="P31" s="26" t="s">
        <v>782</v>
      </c>
      <c r="Q31" s="26" t="s">
        <v>783</v>
      </c>
      <c r="R31" s="26" t="s">
        <v>784</v>
      </c>
      <c r="S31" s="26" t="s">
        <v>40</v>
      </c>
      <c r="T31" s="26" t="s">
        <v>268</v>
      </c>
      <c r="U31" s="26" t="s">
        <v>753</v>
      </c>
    </row>
    <row r="32" customFormat="false" ht="15" hidden="false" customHeight="false" outlineLevel="0" collapsed="false">
      <c r="A32" s="42" t="s">
        <v>191</v>
      </c>
      <c r="B32" s="42" t="s">
        <v>66</v>
      </c>
      <c r="C32" s="42" t="s">
        <v>65</v>
      </c>
      <c r="D32" s="42" t="s">
        <v>60</v>
      </c>
      <c r="E32" s="42" t="s">
        <v>98</v>
      </c>
      <c r="F32" s="42" t="s">
        <v>99</v>
      </c>
      <c r="G32" s="42" t="s">
        <v>316</v>
      </c>
      <c r="H32" s="42" t="s">
        <v>276</v>
      </c>
      <c r="I32" s="42" t="s">
        <v>274</v>
      </c>
      <c r="J32" s="42" t="s">
        <v>471</v>
      </c>
      <c r="K32" s="42" t="s">
        <v>380</v>
      </c>
      <c r="L32" s="42" t="s">
        <v>315</v>
      </c>
      <c r="M32" s="42" t="s">
        <v>614</v>
      </c>
      <c r="N32" s="42" t="s">
        <v>351</v>
      </c>
      <c r="O32" s="42" t="s">
        <v>785</v>
      </c>
      <c r="P32" s="42" t="s">
        <v>633</v>
      </c>
      <c r="Q32" s="42" t="s">
        <v>454</v>
      </c>
      <c r="R32" s="42" t="s">
        <v>66</v>
      </c>
      <c r="S32" s="42" t="s">
        <v>105</v>
      </c>
      <c r="T32" s="42" t="s">
        <v>277</v>
      </c>
      <c r="U32" s="42" t="s">
        <v>786</v>
      </c>
    </row>
    <row r="33" customFormat="false" ht="15" hidden="false" customHeight="false" outlineLevel="0" collapsed="false">
      <c r="A33" s="42" t="s">
        <v>197</v>
      </c>
      <c r="B33" s="42" t="s">
        <v>89</v>
      </c>
      <c r="C33" s="42" t="s">
        <v>78</v>
      </c>
      <c r="D33" s="42" t="s">
        <v>131</v>
      </c>
      <c r="E33" s="42" t="s">
        <v>62</v>
      </c>
      <c r="F33" s="42" t="s">
        <v>64</v>
      </c>
      <c r="G33" s="42" t="s">
        <v>275</v>
      </c>
      <c r="H33" s="42" t="s">
        <v>283</v>
      </c>
      <c r="I33" s="42" t="s">
        <v>315</v>
      </c>
      <c r="J33" s="42" t="s">
        <v>450</v>
      </c>
      <c r="K33" s="42" t="s">
        <v>381</v>
      </c>
      <c r="L33" s="42" t="s">
        <v>426</v>
      </c>
      <c r="M33" s="42" t="s">
        <v>615</v>
      </c>
      <c r="N33" s="42" t="s">
        <v>232</v>
      </c>
      <c r="O33" s="42" t="s">
        <v>787</v>
      </c>
      <c r="P33" s="42" t="s">
        <v>667</v>
      </c>
      <c r="Q33" s="42" t="s">
        <v>462</v>
      </c>
      <c r="R33" s="42" t="s">
        <v>89</v>
      </c>
      <c r="S33" s="42" t="s">
        <v>287</v>
      </c>
      <c r="T33" s="42" t="s">
        <v>317</v>
      </c>
      <c r="U33" s="42" t="s">
        <v>788</v>
      </c>
    </row>
    <row r="34" customFormat="false" ht="15" hidden="false" customHeight="false" outlineLevel="0" collapsed="false">
      <c r="A34" s="42" t="s">
        <v>208</v>
      </c>
      <c r="B34" s="42" t="s">
        <v>114</v>
      </c>
      <c r="C34" s="42" t="s">
        <v>88</v>
      </c>
      <c r="D34" s="42" t="s">
        <v>789</v>
      </c>
      <c r="E34" s="42" t="s">
        <v>76</v>
      </c>
      <c r="F34" s="42" t="s">
        <v>63</v>
      </c>
      <c r="G34" s="42" t="s">
        <v>321</v>
      </c>
      <c r="H34" s="42" t="s">
        <v>298</v>
      </c>
      <c r="I34" s="42" t="s">
        <v>576</v>
      </c>
      <c r="J34" s="42" t="s">
        <v>563</v>
      </c>
      <c r="K34" s="42" t="s">
        <v>382</v>
      </c>
      <c r="L34" s="42" t="s">
        <v>275</v>
      </c>
      <c r="M34" s="42" t="s">
        <v>423</v>
      </c>
      <c r="N34" s="42" t="s">
        <v>275</v>
      </c>
      <c r="O34" s="42" t="s">
        <v>351</v>
      </c>
      <c r="P34" s="42" t="s">
        <v>639</v>
      </c>
      <c r="Q34" s="42" t="s">
        <v>469</v>
      </c>
      <c r="R34" s="42" t="s">
        <v>114</v>
      </c>
      <c r="S34" s="42" t="s">
        <v>284</v>
      </c>
      <c r="T34" s="42" t="s">
        <v>322</v>
      </c>
      <c r="U34" s="42" t="s">
        <v>790</v>
      </c>
    </row>
    <row r="35" customFormat="false" ht="15" hidden="false" customHeight="false" outlineLevel="0" collapsed="false">
      <c r="A35" s="42" t="s">
        <v>177</v>
      </c>
      <c r="B35" s="42" t="s">
        <v>107</v>
      </c>
      <c r="C35" s="42" t="s">
        <v>106</v>
      </c>
      <c r="D35" s="42" t="s">
        <v>791</v>
      </c>
      <c r="E35" s="42" t="s">
        <v>86</v>
      </c>
      <c r="F35" s="42" t="s">
        <v>77</v>
      </c>
      <c r="G35" s="42" t="s">
        <v>320</v>
      </c>
      <c r="H35" s="42" t="s">
        <v>307</v>
      </c>
      <c r="I35" s="42" t="s">
        <v>792</v>
      </c>
      <c r="J35" s="42" t="s">
        <v>459</v>
      </c>
      <c r="K35" s="42" t="s">
        <v>383</v>
      </c>
      <c r="L35" s="42" t="s">
        <v>793</v>
      </c>
      <c r="N35" s="42" t="s">
        <v>320</v>
      </c>
      <c r="O35" s="42" t="s">
        <v>275</v>
      </c>
      <c r="P35" s="42" t="s">
        <v>261</v>
      </c>
      <c r="Q35" s="42" t="s">
        <v>477</v>
      </c>
      <c r="R35" s="42" t="s">
        <v>107</v>
      </c>
      <c r="S35" s="42" t="s">
        <v>61</v>
      </c>
      <c r="T35" s="42" t="s">
        <v>794</v>
      </c>
      <c r="U35" s="42" t="s">
        <v>795</v>
      </c>
    </row>
    <row r="36" customFormat="false" ht="15" hidden="false" customHeight="false" outlineLevel="0" collapsed="false">
      <c r="A36" s="42" t="s">
        <v>165</v>
      </c>
      <c r="B36" s="42" t="s">
        <v>176</v>
      </c>
      <c r="C36" s="42" t="s">
        <v>124</v>
      </c>
      <c r="F36" s="42" t="s">
        <v>87</v>
      </c>
      <c r="I36" s="42" t="s">
        <v>320</v>
      </c>
      <c r="J36" s="42" t="s">
        <v>796</v>
      </c>
      <c r="L36" s="42" t="s">
        <v>423</v>
      </c>
      <c r="O36" s="42" t="s">
        <v>392</v>
      </c>
      <c r="P36" s="42" t="s">
        <v>651</v>
      </c>
      <c r="Q36" s="42" t="s">
        <v>484</v>
      </c>
      <c r="R36" s="42" t="s">
        <v>176</v>
      </c>
      <c r="S36" s="42" t="s">
        <v>280</v>
      </c>
      <c r="T36" s="42" t="s">
        <v>312</v>
      </c>
      <c r="U36" s="42" t="s">
        <v>797</v>
      </c>
    </row>
    <row r="37" customFormat="false" ht="15" hidden="false" customHeight="false" outlineLevel="0" collapsed="false">
      <c r="A37" s="42" t="s">
        <v>68</v>
      </c>
      <c r="C37" s="42" t="s">
        <v>142</v>
      </c>
      <c r="P37" s="42" t="s">
        <v>656</v>
      </c>
      <c r="S37" s="42" t="s">
        <v>292</v>
      </c>
      <c r="T37" s="42" t="s">
        <v>309</v>
      </c>
      <c r="U37" s="42" t="s">
        <v>798</v>
      </c>
    </row>
    <row r="38" customFormat="false" ht="15" hidden="false" customHeight="false" outlineLevel="0" collapsed="false">
      <c r="A38" s="42" t="s">
        <v>184</v>
      </c>
      <c r="C38" s="42" t="s">
        <v>148</v>
      </c>
      <c r="P38" s="42" t="s">
        <v>662</v>
      </c>
      <c r="S38" s="42" t="s">
        <v>75</v>
      </c>
      <c r="U38" s="42" t="s">
        <v>799</v>
      </c>
    </row>
    <row r="39" customFormat="false" ht="15" hidden="false" customHeight="false" outlineLevel="0" collapsed="false">
      <c r="A39" s="42" t="s">
        <v>232</v>
      </c>
      <c r="C39" s="42" t="s">
        <v>249</v>
      </c>
      <c r="P39" s="42" t="s">
        <v>800</v>
      </c>
      <c r="S39" s="42" t="s">
        <v>299</v>
      </c>
      <c r="U39" s="42" t="s">
        <v>801</v>
      </c>
    </row>
    <row r="40" customFormat="false" ht="15" hidden="false" customHeight="false" outlineLevel="0" collapsed="false">
      <c r="C40" s="42" t="s">
        <v>220</v>
      </c>
      <c r="S40" s="42" t="s">
        <v>301</v>
      </c>
      <c r="U40" s="42" t="s">
        <v>802</v>
      </c>
    </row>
    <row r="41" customFormat="false" ht="15" hidden="false" customHeight="false" outlineLevel="0" collapsed="false">
      <c r="C41" s="42" t="s">
        <v>231</v>
      </c>
      <c r="S41" s="42" t="s">
        <v>85</v>
      </c>
      <c r="U41" s="42" t="s">
        <v>803</v>
      </c>
    </row>
    <row r="42" customFormat="false" ht="15" hidden="false" customHeight="false" outlineLevel="0" collapsed="false">
      <c r="S42" s="42" t="s">
        <v>308</v>
      </c>
      <c r="U42" s="42" t="s">
        <v>804</v>
      </c>
    </row>
    <row r="43" customFormat="false" ht="15" hidden="false" customHeight="false" outlineLevel="0" collapsed="false">
      <c r="S43" s="42" t="s">
        <v>805</v>
      </c>
      <c r="U43" s="42" t="s">
        <v>806</v>
      </c>
    </row>
    <row r="44" customFormat="false" ht="15" hidden="false" customHeight="false" outlineLevel="0" collapsed="false">
      <c r="S44" s="42" t="s">
        <v>97</v>
      </c>
      <c r="U44" s="42" t="s">
        <v>807</v>
      </c>
    </row>
    <row r="45" customFormat="false" ht="15" hidden="false" customHeight="false" outlineLevel="0" collapsed="false">
      <c r="S45" s="42" t="s">
        <v>305</v>
      </c>
      <c r="U45" s="42" t="s">
        <v>808</v>
      </c>
    </row>
    <row r="46" customFormat="false" ht="15" hidden="false" customHeight="false" outlineLevel="0" collapsed="false">
      <c r="S46" s="42" t="s">
        <v>303</v>
      </c>
    </row>
    <row r="49" customFormat="false" ht="19.5" hidden="false" customHeight="true" outlineLevel="0" collapsed="false">
      <c r="A49" s="40" t="s">
        <v>809</v>
      </c>
      <c r="B49" s="40"/>
      <c r="C49" s="40"/>
      <c r="D49" s="40"/>
      <c r="E49" s="40"/>
      <c r="F49" s="40"/>
      <c r="G49" s="40"/>
      <c r="H49" s="40"/>
      <c r="I49" s="40"/>
      <c r="J49" s="40"/>
      <c r="K49" s="40"/>
      <c r="L49" s="40"/>
      <c r="M49" s="40"/>
      <c r="N49" s="40"/>
      <c r="O49" s="40"/>
      <c r="P49" s="40"/>
      <c r="Q49" s="40"/>
      <c r="R49" s="40"/>
      <c r="S49" s="40"/>
      <c r="T49" s="40"/>
      <c r="U49" s="40"/>
    </row>
    <row r="50" customFormat="false" ht="25.5" hidden="false" customHeight="true" outlineLevel="0" collapsed="false">
      <c r="A50" s="65" t="s">
        <v>810</v>
      </c>
      <c r="B50" s="65"/>
      <c r="C50" s="65"/>
      <c r="D50" s="65"/>
      <c r="E50" s="65"/>
      <c r="F50" s="65"/>
      <c r="G50" s="65"/>
      <c r="H50" s="65"/>
      <c r="I50" s="65"/>
      <c r="J50" s="65"/>
      <c r="K50" s="65"/>
      <c r="L50" s="65"/>
    </row>
    <row r="51" customFormat="false" ht="25.5" hidden="false" customHeight="true" outlineLevel="0" collapsed="false">
      <c r="A51" s="66" t="s">
        <v>811</v>
      </c>
      <c r="B51" s="66"/>
      <c r="C51" s="66"/>
      <c r="D51" s="66"/>
      <c r="E51" s="66"/>
      <c r="F51" s="66"/>
      <c r="G51" s="66"/>
      <c r="H51" s="66"/>
      <c r="I51" s="66"/>
      <c r="J51" s="66"/>
      <c r="K51" s="66"/>
      <c r="L51" s="66"/>
    </row>
    <row r="52" customFormat="false" ht="25.5" hidden="false" customHeight="true" outlineLevel="0" collapsed="false">
      <c r="A52" s="66" t="s">
        <v>812</v>
      </c>
      <c r="B52" s="66"/>
      <c r="C52" s="66"/>
      <c r="D52" s="66"/>
      <c r="E52" s="66"/>
      <c r="F52" s="66"/>
      <c r="G52" s="66"/>
      <c r="H52" s="66"/>
      <c r="I52" s="66"/>
      <c r="J52" s="66"/>
      <c r="K52" s="66"/>
      <c r="L52" s="66"/>
    </row>
    <row r="53" customFormat="false" ht="25.5" hidden="false" customHeight="true" outlineLevel="0" collapsed="false">
      <c r="A53" s="66" t="s">
        <v>813</v>
      </c>
      <c r="B53" s="66"/>
      <c r="C53" s="66"/>
      <c r="D53" s="66"/>
      <c r="E53" s="66"/>
      <c r="F53" s="66"/>
      <c r="G53" s="66"/>
      <c r="H53" s="66"/>
      <c r="I53" s="66"/>
      <c r="J53" s="66"/>
      <c r="K53" s="66"/>
      <c r="L53" s="66"/>
    </row>
    <row r="54" customFormat="false" ht="25.5" hidden="false" customHeight="true" outlineLevel="0" collapsed="false">
      <c r="A54" s="66" t="s">
        <v>814</v>
      </c>
      <c r="B54" s="66"/>
      <c r="C54" s="66"/>
      <c r="D54" s="66"/>
      <c r="E54" s="66"/>
      <c r="F54" s="66"/>
      <c r="G54" s="66"/>
      <c r="H54" s="66"/>
      <c r="I54" s="66"/>
      <c r="J54" s="66"/>
      <c r="K54" s="66"/>
      <c r="L54" s="66"/>
    </row>
    <row r="55" customFormat="false" ht="25.5" hidden="false" customHeight="true" outlineLevel="0" collapsed="false">
      <c r="A55" s="66" t="s">
        <v>815</v>
      </c>
      <c r="B55" s="66"/>
      <c r="C55" s="66"/>
      <c r="D55" s="66"/>
      <c r="E55" s="66"/>
      <c r="F55" s="66"/>
      <c r="G55" s="66"/>
      <c r="H55" s="66"/>
      <c r="I55" s="66"/>
      <c r="J55" s="66"/>
      <c r="K55" s="66"/>
      <c r="L55" s="66"/>
    </row>
    <row r="56" customFormat="false" ht="25.5" hidden="false" customHeight="true" outlineLevel="0" collapsed="false">
      <c r="A56" s="66" t="s">
        <v>816</v>
      </c>
      <c r="B56" s="66"/>
      <c r="C56" s="66"/>
      <c r="D56" s="66"/>
      <c r="E56" s="66"/>
      <c r="F56" s="66"/>
      <c r="G56" s="66"/>
      <c r="H56" s="66"/>
      <c r="I56" s="66"/>
      <c r="J56" s="66"/>
      <c r="K56" s="66"/>
      <c r="L56" s="66"/>
    </row>
    <row r="57" customFormat="false" ht="25.5" hidden="false" customHeight="true" outlineLevel="0" collapsed="false">
      <c r="A57" s="66" t="s">
        <v>817</v>
      </c>
      <c r="B57" s="66"/>
      <c r="C57" s="66"/>
      <c r="D57" s="66"/>
      <c r="E57" s="66"/>
      <c r="F57" s="66"/>
      <c r="G57" s="66"/>
      <c r="H57" s="66"/>
      <c r="I57" s="66"/>
      <c r="J57" s="66"/>
      <c r="K57" s="66"/>
      <c r="L57" s="66"/>
    </row>
  </sheetData>
  <mergeCells count="14">
    <mergeCell ref="A1:U1"/>
    <mergeCell ref="A2:U2"/>
    <mergeCell ref="A4:G4"/>
    <mergeCell ref="A16:G16"/>
    <mergeCell ref="A29:U29"/>
    <mergeCell ref="A49:U49"/>
    <mergeCell ref="A50:L50"/>
    <mergeCell ref="A51:L51"/>
    <mergeCell ref="A52:L52"/>
    <mergeCell ref="A53:L53"/>
    <mergeCell ref="A54:L54"/>
    <mergeCell ref="A55:L55"/>
    <mergeCell ref="A56:L56"/>
    <mergeCell ref="A57:L57"/>
  </mergeCells>
  <conditionalFormatting sqref="C13">
    <cfRule type="cellIs" priority="2" operator="equal" aboveAverage="0" equalAverage="0" bottom="0" percent="0" rank="0" text="" dxfId="27">
      <formula>"OK - split is valid"</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2026-07-30T11:25:12Z</dcterms:created>
  <dc:creator>Vuslat Recruitment Company</dc:creator>
  <dc:description>Customer relationship, pipeline and finance management system for recruiting workers from Tajikistan to Europe.</dc:description>
  <dc:language>en-US</dc:language>
  <cp:lastModifiedBy/>
  <dcterms:modified xsi:type="dcterms:W3CDTF">2026-07-30T11:25:13Z</dcterms:modified>
  <cp:revision>0</cp:revision>
  <dc:subject/>
  <dc:title>Vuslat Recruitment CRM</dc:title>
</cp:coreProperties>
</file>

<file path=docProps/custom.xml><?xml version="1.0" encoding="utf-8"?>
<Properties xmlns="http://schemas.openxmlformats.org/officeDocument/2006/custom-properties" xmlns:vt="http://schemas.openxmlformats.org/officeDocument/2006/docPropsVTypes"/>
</file>